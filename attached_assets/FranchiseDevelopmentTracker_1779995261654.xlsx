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9.xml" ContentType="application/vnd.openxmlformats-officedocument.spreadsheetml.table+xml"/>
  <Override PartName="/xl/tables/table2.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trategic Plan" sheetId="2" state="visible" r:id="rId4"/>
    <sheet name="Projects" sheetId="3" state="visible" r:id="rId5"/>
    <sheet name="Project Review" sheetId="4" state="visible" r:id="rId6"/>
    <sheet name="All Tasks" sheetId="5" state="visible" r:id="rId7"/>
    <sheet name="Quick Chadwick" sheetId="6" state="visible" r:id="rId8"/>
    <sheet name="MaryFran Anderson" sheetId="7" state="visible" r:id="rId9"/>
    <sheet name="Shane Mattingly" sheetId="8" state="visible" r:id="rId10"/>
    <sheet name="Leslie Toole" sheetId="9" state="visible" r:id="rId11"/>
    <sheet name="Leah Hanlon" sheetId="10" state="visible" r:id="rId12"/>
    <sheet name="Jamie Lavigne" sheetId="11" state="visible" r:id="rId13"/>
    <sheet name="Steve Griffith" sheetId="12" state="visible" r:id="rId14"/>
    <sheet name="Matt Motyka" sheetId="13" state="visible" r:id="rId15"/>
    <sheet name="Alvaro Leal" sheetId="14" state="visible" r:id="rId16"/>
    <sheet name="Cassidy Ford" sheetId="15" state="visible" r:id="rId17"/>
    <sheet name="Transition Plan (CEO+COO)" sheetId="16" state="hidden" r:id="rId18"/>
    <sheet name="Lists" sheetId="17" state="visible" r:id="rId19"/>
  </sheets>
  <definedNames>
    <definedName function="false" hidden="true" name="a" vbProcedure="false">#REF!</definedName>
    <definedName function="false" hidden="false" name="A1..ZZ1000" vbProcedure="false">#REF!</definedName>
    <definedName function="false" hidden="false" name="A1..ZZ500" vbProcedure="false">#REF!</definedName>
    <definedName function="false" hidden="false" name="a206..zz206" vbProcedure="false">#REF!</definedName>
    <definedName function="false" hidden="false" name="aa" vbProcedure="false">#REF!</definedName>
    <definedName function="false" hidden="false" name="aaa" vbProcedure="false">{#N/A,#N/A,FALSE,"Model";#N/A,#N/A,FALSE,"Division"}</definedName>
    <definedName function="false" hidden="true" name="aaaa" vbProcedure="false">#REF!</definedName>
    <definedName function="false" hidden="true" name="aaaaa" vbProcedure="false">{#N/A,#N/A,FALSE,"REPORT"}</definedName>
    <definedName function="false" hidden="true" name="aaaaaa" vbProcedure="false">{#N/A,#N/A,FALSE,"REPORT"}</definedName>
    <definedName function="false" hidden="true" name="aaaaaaaaaaa" vbProcedure="false">{#N/A,#N/A,FALSE,"REPORT"}</definedName>
    <definedName function="false" hidden="true" name="aaaaaaaaaaaaaaa" vbProcedure="false">{#N/A,#N/A,FALSE,"Pharm";#N/A,#N/A,FALSE,"WWCM"}</definedName>
    <definedName function="false" hidden="true" name="aaaaaaaaaaaaaaaaaa" vbProcedure="false">#REF!</definedName>
    <definedName function="false" hidden="true" name="aaasb" vbProcedure="false">{#N/A,#N/A,FALSE,"Pharm";#N/A,#N/A,FALSE,"WWCM"}</definedName>
    <definedName function="false" hidden="false" name="AAA_DOCTOPS" vbProcedure="false">"AAA_SET"</definedName>
    <definedName function="false" hidden="false" name="AAA_duser" vbProcedure="false">"OFF"</definedName>
    <definedName function="false" hidden="true" name="aab" vbProcedure="false">{#N/A,#N/A,FALSE,"Pharm";#N/A,#N/A,FALSE,"WWCM"}</definedName>
    <definedName function="false" hidden="tru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true" name="aaddd" vbProcedure="false">{#N/A,#N/A,FALSE,"REPORT"}</definedName>
    <definedName function="false" hidden="true" name="AADSDSKJH" vbProcedure="false">#REF!</definedName>
    <definedName function="false" hidden="true" name="aas" vbProcedure="false">{#N/A,#N/A,FALSE,"1";#N/A,#N/A,FALSE,"2";#N/A,#N/A,FALSE,"16 - 17";#N/A,#N/A,FALSE,"18 - 19";#N/A,#N/A,FALSE,"26";#N/A,#N/A,FALSE,"27";#N/A,#N/A,FALSE,"28"}</definedName>
    <definedName function="false" hidden="tru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true" name="ab" vbProcedure="false">#REF!</definedName>
    <definedName function="false" hidden="true" name="abc" vbProcedure="false">{"510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function="false" hidden="false" name="AccessDatabase" vbProcedure="false">"R:\S\Smith &amp; Nephew\Project Juice\Models\New Huge Model.mdb"</definedName>
    <definedName function="false" hidden="false" name="Access_Button" vbProcedure="false">"Grants_Summary_by_Employee_List"</definedName>
    <definedName function="false" hidden="false" name="AccountsPayable" vbProcedure="false">#REF!</definedName>
    <definedName function="false" hidden="false" name="AccountsReceivable" vbProcedure="false">#REF!</definedName>
    <definedName function="false" hidden="false" name="Acct_CH" vbProcedure="false">#REF!</definedName>
    <definedName function="false" hidden="false" name="Acct_HT" vbProcedure="false">#REF!</definedName>
    <definedName function="false" hidden="true" name="ACHART" vbProcedure="false">#REF!</definedName>
    <definedName function="false" hidden="false" name="ACM_Group" vbProcedure="false">#REF!</definedName>
    <definedName function="false" hidden="true" name="actual" vbProcedure="false">#REF!</definedName>
    <definedName function="false" hidden="true" name="ACwvu.monthly._.inc._.stmt." vbProcedure="false">#REF!</definedName>
    <definedName function="false" hidden="true" name="ACwvu.portrait._.look." vbProcedure="false">#REF!</definedName>
    <definedName function="false" hidden="true" name="ACwvu.summary1." vbProcedure="false">#REF!</definedName>
    <definedName function="false" hidden="true" name="ACwvu.summary2." vbProcedure="false">#REF!</definedName>
    <definedName function="false" hidden="true" name="ACwvu.summary3." vbProcedure="false">#REF!</definedName>
    <definedName function="false" hidden="true" name="ad" vbProcedure="false">{"CHART",#N/A,FALSE,"Arch Communications"}</definedName>
    <definedName function="false" hidden="false" name="ada" vbProcedure="false">#REF!</definedName>
    <definedName function="false" hidden="true" name="Adam_capitation_amt_curr" vbProcedure="false">#REF!</definedName>
    <definedName function="false" hidden="true" name="Adam_capitation_amt_prior" vbProcedure="false">#REF!</definedName>
    <definedName function="false" hidden="true" name="Adam_premium_amt_curr" vbProcedure="false">#REF!</definedName>
    <definedName function="false" hidden="true" name="Adam_premium_amt_prior" vbProcedure="false">#REF!</definedName>
    <definedName function="false" hidden="false" name="AdaptiveLevelName" vbProcedure="false">#REF!</definedName>
    <definedName function="false" hidden="false" name="AdaptiveReportDate" vbProcedure="false">#REF!</definedName>
    <definedName function="false" hidden="true" name="adfgasdysty" vbProcedure="false">{#N/A,#N/A,FALSE,"REPORT"}</definedName>
    <definedName function="false" hidden="true" name="adfsfjfjky" vbProcedure="false">{#N/A,#N/A,FALSE,"REPORT"}</definedName>
    <definedName function="false" hidden="true" name="ADF_Activity_By_Tier_Range" vbProcedure="false">#REF!</definedName>
    <definedName function="false" hidden="true" name="ADF_Activity_Detail_Range" vbProcedure="false">#REF!</definedName>
    <definedName function="false" hidden="true" name="adf_act_emp_fund_paid_curr" vbProcedure="false">#REF!</definedName>
    <definedName function="false" hidden="true" name="adf_act_emp_fund_paid_prior" vbProcedure="false">#REF!</definedName>
    <definedName function="false" hidden="true" name="adf_act_emp_plus_1_fund_paid_curr" vbProcedure="false">#REF!</definedName>
    <definedName function="false" hidden="true" name="adf_act_emp_plus_1_fund_paid_prior" vbProcedure="false">#REF!</definedName>
    <definedName function="false" hidden="true" name="adf_act_emp_plus_2_fund_paid_curr" vbProcedure="false">#REF!</definedName>
    <definedName function="false" hidden="true" name="adf_act_emp_plus_2_fund_paid_prior" vbProcedure="false">#REF!</definedName>
    <definedName function="false" hidden="true" name="adf_act_emp_plus_fam_fund_paid_curr" vbProcedure="false">#REF!</definedName>
    <definedName function="false" hidden="true" name="adf_act_emp_plus_fam_fund_paid_prior" vbProcedure="false">#REF!</definedName>
    <definedName function="false" hidden="true" name="adf_act_total_fund_paid_curr" vbProcedure="false">#REF!</definedName>
    <definedName function="false" hidden="true" name="adf_act_total_fund_paid_prior" vbProcedure="false">#REF!</definedName>
    <definedName function="false" hidden="true" name="ADF_Fund_Report_Range" vbProcedure="false">#REF!</definedName>
    <definedName function="false" hidden="true" name="adf_termed_tier1_active_employee_curr" vbProcedure="false">#REF!</definedName>
    <definedName function="false" hidden="true" name="adf_termed_tier1_cr_claim_paid_with_cr_funds_curr" vbProcedure="false">#REF!</definedName>
    <definedName function="false" hidden="true" name="adf_termed_tier1_cr_clm_paid_with_rollover_funds_curr" vbProcedure="false">#REF!</definedName>
    <definedName function="false" hidden="true" name="adf_termed_tier1_cr_fund_remaining_curr" vbProcedure="false">#REF!</definedName>
    <definedName function="false" hidden="true" name="adf_termed_tier1_cr_year_initial_fund_curr" vbProcedure="false">#REF!</definedName>
    <definedName function="false" hidden="true" name="adf_termed_tier1_emp_0_spend_curr" vbProcedure="false">#REF!</definedName>
    <definedName function="false" hidden="true" name="adf_termed_tier1_emp_100_spend_curr" vbProcedure="false">#REF!</definedName>
    <definedName function="false" hidden="true" name="adf_termed_tier1_emp_24_1_spend_curr" vbProcedure="false">#REF!</definedName>
    <definedName function="false" hidden="true" name="adf_termed_tier1_emp_49_25_spend_curr" vbProcedure="false">#REF!</definedName>
    <definedName function="false" hidden="true" name="adf_termed_tier1_emp_74_50_spend_curr" vbProcedure="false">#REF!</definedName>
    <definedName function="false" hidden="true" name="adf_termed_tier1_emp_99_75_spend_curr" vbProcedure="false">#REF!</definedName>
    <definedName function="false" hidden="true" name="adf_termed_tier1_Incentive_fund_earned_curr" vbProcedure="false">#REF!</definedName>
    <definedName function="false" hidden="true" name="adf_termed_tier1_rollover_fund_remaining_curr" vbProcedure="false">#REF!</definedName>
    <definedName function="false" hidden="true" name="adf_termed_tier1_rollover_pr_year_curr" vbProcedure="false">#REF!</definedName>
    <definedName function="false" hidden="true" name="adf_termed_tier1_tot_fund_available_curr" vbProcedure="false">#REF!</definedName>
    <definedName function="false" hidden="true" name="adf_termed_tier2_active_employee_curr" vbProcedure="false">#REF!</definedName>
    <definedName function="false" hidden="true" name="adf_termed_tier2_cr_claim_paid_with_cr_funds_curr" vbProcedure="false">#REF!</definedName>
    <definedName function="false" hidden="true" name="adf_termed_tier2_cr_clm_paid_with_rollover_funds_curr" vbProcedure="false">#REF!</definedName>
    <definedName function="false" hidden="true" name="adf_termed_tier2_cr_fund_remaining_curr" vbProcedure="false">#REF!</definedName>
    <definedName function="false" hidden="true" name="adf_termed_tier2_cr_year_initial_fund_curr" vbProcedure="false">#REF!</definedName>
    <definedName function="false" hidden="true" name="adf_termed_tier2_emp_0_spend_curr" vbProcedure="false">#REF!</definedName>
    <definedName function="false" hidden="true" name="adf_termed_tier2_emp_100_spend_curr" vbProcedure="false">#REF!</definedName>
    <definedName function="false" hidden="true" name="adf_termed_tier2_emp_24_1_spend_curr" vbProcedure="false">#REF!</definedName>
    <definedName function="false" hidden="true" name="adf_termed_tier2_emp_49_25_spend_curr" vbProcedure="false">#REF!</definedName>
    <definedName function="false" hidden="true" name="adf_termed_tier2_emp_74_50_spend_curr" vbProcedure="false">#REF!</definedName>
    <definedName function="false" hidden="true" name="adf_termed_tier2_emp_99_75_spend_curr" vbProcedure="false">#REF!</definedName>
    <definedName function="false" hidden="true" name="adf_termed_tier2_Incentive_fund_earned_curr" vbProcedure="false">#REF!</definedName>
    <definedName function="false" hidden="true" name="adf_termed_tier2_rollover_fund_remaining_curr" vbProcedure="false">#REF!</definedName>
    <definedName function="false" hidden="true" name="adf_termed_tier2_rollover_pr_year_curr" vbProcedure="false">#REF!</definedName>
    <definedName function="false" hidden="true" name="adf_termed_tier2_tot_fund_available_curr" vbProcedure="false">#REF!</definedName>
    <definedName function="false" hidden="true" name="adf_termed_tier3_active_employee_curr" vbProcedure="false">#REF!</definedName>
    <definedName function="false" hidden="true" name="adf_termed_tier3_cr_claim_paid_with_cr_funds_curr" vbProcedure="false">#REF!</definedName>
    <definedName function="false" hidden="true" name="adf_termed_tier3_cr_clm_paid_with_rollover_funds_curr" vbProcedure="false">#REF!</definedName>
    <definedName function="false" hidden="true" name="adf_termed_tier3_cr_fund_remaining_curr" vbProcedure="false">#REF!</definedName>
    <definedName function="false" hidden="true" name="adf_termed_tier3_cr_year_initial_fund_curr" vbProcedure="false">#REF!</definedName>
    <definedName function="false" hidden="true" name="adf_termed_tier3_emp_0_spend_curr" vbProcedure="false">#REF!</definedName>
    <definedName function="false" hidden="true" name="adf_termed_tier3_emp_100_spend_curr" vbProcedure="false">#REF!</definedName>
    <definedName function="false" hidden="true" name="adf_termed_tier3_emp_24_1_spend_curr" vbProcedure="false">#REF!</definedName>
    <definedName function="false" hidden="true" name="adf_termed_tier3_emp_49_25_spend_curr" vbProcedure="false">#REF!</definedName>
    <definedName function="false" hidden="true" name="adf_termed_tier3_emp_74_50_spend_curr" vbProcedure="false">#REF!</definedName>
    <definedName function="false" hidden="true" name="adf_termed_tier3_emp_99_75_spend_curr" vbProcedure="false">#REF!</definedName>
    <definedName function="false" hidden="true" name="adf_termed_tier3_Incentive_fund_earned_curr" vbProcedure="false">#REF!</definedName>
    <definedName function="false" hidden="true" name="adf_termed_tier3_rollover_fund_remaining_curr" vbProcedure="false">#REF!</definedName>
    <definedName function="false" hidden="true" name="adf_termed_tier3_rollover_pr_year_curr" vbProcedure="false">#REF!</definedName>
    <definedName function="false" hidden="true" name="adf_termed_tier3_tot_fund_available_curr" vbProcedure="false">#REF!</definedName>
    <definedName function="false" hidden="true" name="adf_termed_tier4_active_employee_curr" vbProcedure="false">#REF!</definedName>
    <definedName function="false" hidden="true" name="adf_termed_tier4_cr_claim_paid_with_cr_funds_curr" vbProcedure="false">#REF!</definedName>
    <definedName function="false" hidden="true" name="adf_termed_tier4_cr_clm_paid_with_rollover_funds_curr" vbProcedure="false">#REF!</definedName>
    <definedName function="false" hidden="true" name="adf_termed_tier4_cr_fund_remaining_curr" vbProcedure="false">#REF!</definedName>
    <definedName function="false" hidden="true" name="adf_termed_tier4_cr_year_initial_fund_curr" vbProcedure="false">#REF!</definedName>
    <definedName function="false" hidden="true" name="adf_termed_tier4_emp_0_spend_curr" vbProcedure="false">#REF!</definedName>
    <definedName function="false" hidden="true" name="adf_termed_tier4_emp_100_spend_curr" vbProcedure="false">#REF!</definedName>
    <definedName function="false" hidden="true" name="adf_termed_tier4_emp_24_1_spend_curr" vbProcedure="false">#REF!</definedName>
    <definedName function="false" hidden="true" name="adf_termed_tier4_emp_49_25_spend_curr" vbProcedure="false">#REF!</definedName>
    <definedName function="false" hidden="true" name="adf_termed_tier4_emp_74_50_spend_curr" vbProcedure="false">#REF!</definedName>
    <definedName function="false" hidden="true" name="adf_termed_tier4_emp_99_75_spend_curr" vbProcedure="false">#REF!</definedName>
    <definedName function="false" hidden="true" name="adf_termed_tier4_Incentive_fund_earned_curr" vbProcedure="false">#REF!</definedName>
    <definedName function="false" hidden="true" name="adf_termed_tier4_rollover_fund_remaining_curr" vbProcedure="false">#REF!</definedName>
    <definedName function="false" hidden="true" name="adf_termed_tier4_rollover_pr_year_curr" vbProcedure="false">#REF!</definedName>
    <definedName function="false" hidden="true" name="adf_termed_tier4_tot_fund_available_curr" vbProcedure="false">#REF!</definedName>
    <definedName function="false" hidden="true" name="adf_term_emp_fund_paid_curr" vbProcedure="false">#REF!</definedName>
    <definedName function="false" hidden="true" name="adf_term_emp_fund_paid_prior" vbProcedure="false">#REF!</definedName>
    <definedName function="false" hidden="true" name="adf_term_emp_plus_1_fund_paid_curr" vbProcedure="false">#REF!</definedName>
    <definedName function="false" hidden="true" name="adf_term_emp_plus_1_fund_paid_prior" vbProcedure="false">#REF!</definedName>
    <definedName function="false" hidden="true" name="adf_term_emp_plus_2_fund_paid_curr" vbProcedure="false">#REF!</definedName>
    <definedName function="false" hidden="true" name="adf_term_emp_plus_2_fund_paid_prior" vbProcedure="false">#REF!</definedName>
    <definedName function="false" hidden="true" name="adf_term_emp_plus_fam_fund_paid_curr" vbProcedure="false">#REF!</definedName>
    <definedName function="false" hidden="true" name="adf_term_emp_plus_fam_fund_paid_prior" vbProcedure="false">#REF!</definedName>
    <definedName function="false" hidden="true" name="adf_term_total_fund_paid_curr" vbProcedure="false">#REF!</definedName>
    <definedName function="false" hidden="true" name="adf_term_total_fund_paid_prior" vbProcedure="false">#REF!</definedName>
    <definedName function="false" hidden="true" name="adf_tier1_active_employee_curr" vbProcedure="false">#REF!</definedName>
    <definedName function="false" hidden="true" name="adf_tier1_cr_claim_paid_with_cr_funds_curr" vbProcedure="false">#REF!</definedName>
    <definedName function="false" hidden="true" name="adf_tier1_cr_clm_paid_with_rollover_funds_curr" vbProcedure="false">#REF!</definedName>
    <definedName function="false" hidden="true" name="adf_tier1_cr_fund_remaining_curr" vbProcedure="false">#REF!</definedName>
    <definedName function="false" hidden="true" name="adf_tier1_cr_year_initial_fund_curr" vbProcedure="false">#REF!</definedName>
    <definedName function="false" hidden="true" name="adf_tier1_emp_0_spend_curr" vbProcedure="false">#REF!</definedName>
    <definedName function="false" hidden="true" name="adf_tier1_emp_100_spend_curr" vbProcedure="false">#REF!</definedName>
    <definedName function="false" hidden="true" name="adf_tier1_emp_24_1_spend_curr" vbProcedure="false">#REF!</definedName>
    <definedName function="false" hidden="true" name="adf_tier1_emp_49_25_spend_curr" vbProcedure="false">#REF!</definedName>
    <definedName function="false" hidden="true" name="adf_tier1_emp_74_50_spend_curr" vbProcedure="false">#REF!</definedName>
    <definedName function="false" hidden="true" name="adf_tier1_emp_99_75_spend_curr" vbProcedure="false">#REF!</definedName>
    <definedName function="false" hidden="true" name="adf_tier1_Incentive_fund_earned_curr" vbProcedure="false">#REF!</definedName>
    <definedName function="false" hidden="true" name="adf_tier1_rollover_fund_remaining_curr" vbProcedure="false">#REF!</definedName>
    <definedName function="false" hidden="true" name="adf_tier1_rollover_pr_year_curr" vbProcedure="false">#REF!</definedName>
    <definedName function="false" hidden="true" name="adf_tier1_tot_fund_available_curr" vbProcedure="false">#REF!</definedName>
    <definedName function="false" hidden="true" name="adf_tier2_active_employee_curr" vbProcedure="false">#REF!</definedName>
    <definedName function="false" hidden="true" name="adf_tier2_cr_claim_paid_with_cr_funds_curr" vbProcedure="false">#REF!</definedName>
    <definedName function="false" hidden="true" name="adf_tier2_cr_clm_paid_with_rollover_funds_curr" vbProcedure="false">#REF!</definedName>
    <definedName function="false" hidden="true" name="adf_tier2_cr_fund_remaining_curr" vbProcedure="false">#REF!</definedName>
    <definedName function="false" hidden="true" name="adf_tier2_cr_year_initial_fund_curr" vbProcedure="false">#REF!</definedName>
    <definedName function="false" hidden="true" name="adf_tier2_emp_0_spend_curr" vbProcedure="false">#REF!</definedName>
    <definedName function="false" hidden="true" name="adf_tier2_emp_100_spend_curr" vbProcedure="false">#REF!</definedName>
    <definedName function="false" hidden="true" name="adf_tier2_emp_24_1_spend_curr" vbProcedure="false">#REF!</definedName>
    <definedName function="false" hidden="true" name="adf_tier2_emp_49_25_spend_curr" vbProcedure="false">#REF!</definedName>
    <definedName function="false" hidden="true" name="adf_tier2_emp_74_50_spend_curr" vbProcedure="false">#REF!</definedName>
    <definedName function="false" hidden="true" name="adf_tier2_emp_99_75_spend_curr" vbProcedure="false">#REF!</definedName>
    <definedName function="false" hidden="true" name="adf_tier2_Incentive_fund_earned_curr" vbProcedure="false">#REF!</definedName>
    <definedName function="false" hidden="true" name="adf_tier2_rollover_fund_remaining_curr" vbProcedure="false">#REF!</definedName>
    <definedName function="false" hidden="true" name="adf_tier2_rollover_pr_year_curr" vbProcedure="false">#REF!</definedName>
    <definedName function="false" hidden="true" name="adf_tier2_tot_fund_available_curr" vbProcedure="false">#REF!</definedName>
    <definedName function="false" hidden="true" name="adf_tier3_active_employee_curr" vbProcedure="false">#REF!</definedName>
    <definedName function="false" hidden="true" name="adf_tier3_cr_claim_paid_with_cr_funds_curr" vbProcedure="false">#REF!</definedName>
    <definedName function="false" hidden="true" name="adf_tier3_cr_clm_paid_with_rollover_funds_curr" vbProcedure="false">#REF!</definedName>
    <definedName function="false" hidden="true" name="adf_tier3_cr_fund_remaining_curr" vbProcedure="false">#REF!</definedName>
    <definedName function="false" hidden="true" name="adf_tier3_cr_year_initial_fund_curr" vbProcedure="false">#REF!</definedName>
    <definedName function="false" hidden="true" name="adf_tier3_emp_0_spend_curr" vbProcedure="false">#REF!</definedName>
    <definedName function="false" hidden="true" name="adf_tier3_emp_100_spend_curr" vbProcedure="false">#REF!</definedName>
    <definedName function="false" hidden="true" name="adf_tier3_emp_24_1_spend_curr" vbProcedure="false">#REF!</definedName>
    <definedName function="false" hidden="true" name="adf_tier3_emp_49_25_spend_curr" vbProcedure="false">#REF!</definedName>
    <definedName function="false" hidden="true" name="adf_tier3_emp_74_50_spend_curr" vbProcedure="false">#REF!</definedName>
    <definedName function="false" hidden="true" name="adf_tier3_emp_99_75_spend_curr" vbProcedure="false">#REF!</definedName>
    <definedName function="false" hidden="true" name="adf_tier3_Incentive_fund_earned_curr" vbProcedure="false">#REF!</definedName>
    <definedName function="false" hidden="true" name="adf_tier3_rollover_fund_remaining_curr" vbProcedure="false">#REF!</definedName>
    <definedName function="false" hidden="true" name="adf_tier3_rollover_pr_year_curr" vbProcedure="false">#REF!</definedName>
    <definedName function="false" hidden="true" name="adf_tier3_tot_fund_available_curr" vbProcedure="false">#REF!</definedName>
    <definedName function="false" hidden="true" name="adf_tier4_active_employee_curr" vbProcedure="false">#REF!</definedName>
    <definedName function="false" hidden="true" name="adf_tier4_cr_claim_paid_with_cr_funds_curr" vbProcedure="false">#REF!</definedName>
    <definedName function="false" hidden="true" name="adf_tier4_cr_clm_paid_with_rollover_funds_curr" vbProcedure="false">#REF!</definedName>
    <definedName function="false" hidden="true" name="adf_tier4_cr_fund_remaining_curr" vbProcedure="false">#REF!</definedName>
    <definedName function="false" hidden="true" name="adf_tier4_cr_year_initial_fund_curr" vbProcedure="false">#REF!</definedName>
    <definedName function="false" hidden="true" name="adf_tier4_emp_0_spend_curr" vbProcedure="false">#REF!</definedName>
    <definedName function="false" hidden="true" name="adf_tier4_emp_100_spend_curr" vbProcedure="false">#REF!</definedName>
    <definedName function="false" hidden="true" name="adf_tier4_emp_24_1_spend_curr" vbProcedure="false">#REF!</definedName>
    <definedName function="false" hidden="true" name="adf_tier4_emp_49_25_spend_curr" vbProcedure="false">#REF!</definedName>
    <definedName function="false" hidden="true" name="adf_tier4_emp_74_50_spend_curr" vbProcedure="false">#REF!</definedName>
    <definedName function="false" hidden="true" name="adf_tier4_emp_99_75_spend_curr" vbProcedure="false">#REF!</definedName>
    <definedName function="false" hidden="true" name="adf_tier4_Incentive_fund_earned_curr" vbProcedure="false">#REF!</definedName>
    <definedName function="false" hidden="true" name="adf_tier4_rollover_fund_remaining_curr" vbProcedure="false">#REF!</definedName>
    <definedName function="false" hidden="true" name="adf_tier4_rollover_pr_year_curr" vbProcedure="false">#REF!</definedName>
    <definedName function="false" hidden="true" name="adf_tier4_tot_fund_available_curr" vbProcedure="false">#REF!</definedName>
    <definedName function="false" hidden="true" name="adf_total_active_employee_curr" vbProcedure="false">#REF!</definedName>
    <definedName function="false" hidden="true" name="adf_total_cr_claim_paid_with_cr_funds_curr" vbProcedure="false">#REF!</definedName>
    <definedName function="false" hidden="true" name="adf_total_cr_clm_paid_with_rollover_funds_curr" vbProcedure="false">#REF!</definedName>
    <definedName function="false" hidden="true" name="adf_total_cr_fund_remaining_curr" vbProcedure="false">#REF!</definedName>
    <definedName function="false" hidden="true" name="adf_total_cr_year_initial_fund_curr" vbProcedure="false">#REF!</definedName>
    <definedName function="false" hidden="true" name="adf_total_emp_0_spend_curr" vbProcedure="false">#REF!</definedName>
    <definedName function="false" hidden="true" name="adf_total_emp_100_spend_curr" vbProcedure="false">#REF!</definedName>
    <definedName function="false" hidden="true" name="adf_total_emp_24_1_spend_curr" vbProcedure="false">#REF!</definedName>
    <definedName function="false" hidden="true" name="adf_total_emp_49_25_spend_curr" vbProcedure="false">#REF!</definedName>
    <definedName function="false" hidden="true" name="adf_total_emp_74_50_spend_curr" vbProcedure="false">#REF!</definedName>
    <definedName function="false" hidden="true" name="adf_total_emp_99_75_spend_curr" vbProcedure="false">#REF!</definedName>
    <definedName function="false" hidden="true" name="adf_total_Incentive_fund_earned_curr" vbProcedure="false">#REF!</definedName>
    <definedName function="false" hidden="true" name="adf_total_rollover_fund_remaining_curr" vbProcedure="false">#REF!</definedName>
    <definedName function="false" hidden="true" name="adf_total_rollover_pr_year_curr" vbProcedure="false">#REF!</definedName>
    <definedName function="false" hidden="true" name="adf_total_termd_active_employee_curr" vbProcedure="false">#REF!</definedName>
    <definedName function="false" hidden="true" name="adf_total_termd_cr_claim_paid_with_cr_funds_curr" vbProcedure="false">#REF!</definedName>
    <definedName function="false" hidden="true" name="adf_total_termd_cr_clm_paid_with_rollover_funds_curr" vbProcedure="false">#REF!</definedName>
    <definedName function="false" hidden="true" name="adf_total_termd_cr_fund_remaining_curr" vbProcedure="false">#REF!</definedName>
    <definedName function="false" hidden="true" name="adf_total_termd_cr_year_initial_fund_curr" vbProcedure="false">#REF!</definedName>
    <definedName function="false" hidden="true" name="adf_total_termd_emp_0_spend_curr" vbProcedure="false">#REF!</definedName>
    <definedName function="false" hidden="true" name="adf_total_termd_emp_100_spend_curr" vbProcedure="false">#REF!</definedName>
    <definedName function="false" hidden="true" name="adf_total_termd_emp_24_1_spend_curr" vbProcedure="false">#REF!</definedName>
    <definedName function="false" hidden="true" name="adf_total_termd_emp_49_25_spend_curr" vbProcedure="false">#REF!</definedName>
    <definedName function="false" hidden="true" name="adf_total_termd_emp_74_50_spend_curr" vbProcedure="false">#REF!</definedName>
    <definedName function="false" hidden="true" name="adf_total_termd_emp_99_75_spend_curr" vbProcedure="false">#REF!</definedName>
    <definedName function="false" hidden="true" name="adf_total_termd_Incentive_fund_earned_curr" vbProcedure="false">#REF!</definedName>
    <definedName function="false" hidden="true" name="adf_total_termd_rollover_fund_remaining_curr" vbProcedure="false">#REF!</definedName>
    <definedName function="false" hidden="true" name="adf_total_termd_rollover_pr_year_curr" vbProcedure="false">#REF!</definedName>
    <definedName function="false" hidden="true" name="adf_total_termd_tot_fund_available_curr" vbProcedure="false">#REF!</definedName>
    <definedName function="false" hidden="true" name="adf_total_tot_fund_available_curr" vbProcedure="false">#REF!</definedName>
    <definedName function="false" hidden="false" name="Adj" vbProcedure="false">#REF!</definedName>
    <definedName function="false" hidden="true" name="adj_lm" vbProcedure="false">{"UM Visits",#N/A,FALSE,"Unmanaged";"UM Dollars per Hour",#N/A,FALSE,"Unmanaged";"UM Hours per Visit",#N/A,FALSE,"Unmanaged";"UM Dollars per Visit",#N/A,FALSE,"Unmanaged";"UM Total Visits",#N/A,FALSE,"Unmanaged";"UM PMPM",#N/A,FALSE,"Unmanaged"}</definedName>
    <definedName function="false" hidden="true" name="adj_opt" vbProcedure="false">{"OM Visits",#N/A,TRUE,"Optimal";"OM Dollars per Hour",#N/A,TRUE,"Optimal";"OM Hours per Visit",#N/A,TRUE,"Optimal";"OM Dollars per Visit",#N/A,TRUE,"Optimal";"OM Total Visits",#N/A,TRUE,"Optimal";"OM PMPM",#N/A,TRUE,"Optimal"}</definedName>
    <definedName function="false" hidden="false" name="adprov" vbProcedure="false">#REF!</definedName>
    <definedName function="false" hidden="true" name="adsf" vbProcedure="false">#REF!</definedName>
    <definedName function="false" hidden="false" name="adsfasdd" vbProcedure="false">#REF!</definedName>
    <definedName function="false" hidden="true" name="ae" vbProcedure="false">{#N/A,#N/A,FALSE,"AE detail rpt"}</definedName>
    <definedName function="false" hidden="true" name="aertqet" vbProcedure="false">{#N/A,#N/A,FALSE,"Adj Proj";#N/A,#N/A,FALSE,"Sheet1";#N/A,#N/A,FALSE,"LBO";#N/A,#N/A,FALSE,"LBOMER";#N/A,#N/A,FALSE,"WACC";#N/A,#N/A,FALSE,"DCF";#N/A,#N/A,FALSE,"DCFMER";#N/A,#N/A,FALSE,"Pooling";#N/A,#N/A,FALSE,"income";#N/A,#N/A,FALSE,"Offer"}</definedName>
    <definedName function="false" hidden="true" name="AexcelBOBDate" vbProcedure="false">#REF!</definedName>
    <definedName function="false" hidden="true" name="Aexcel_Demographics_Headings1" vbProcedure="false">#REF!</definedName>
    <definedName function="false" hidden="true" name="Aexcel_Demographics_Headings2" vbProcedure="false">#REF!</definedName>
    <definedName function="false" hidden="true" name="Aexcel_Demographic_Line_Count" vbProcedure="false">#REF!</definedName>
    <definedName function="false" hidden="true" name="Aexcel_Prof_Cost_Line_Count" vbProcedure="false">#REF!</definedName>
    <definedName function="false" hidden="true" name="Aexcel_Prof_Exp_Cost_Headings" vbProcedure="false">#REF!</definedName>
    <definedName function="false" hidden="true" name="Aexcel_Prof_Exp_Location_Headings" vbProcedure="false">#REF!</definedName>
    <definedName function="false" hidden="true" name="Aexcel_Prof_Exp_PMPM_Headings" vbProcedure="false">#REF!</definedName>
    <definedName function="false" hidden="true" name="Aexcel_Prof_Exp_Util_Headings" vbProcedure="false">#REF!</definedName>
    <definedName function="false" hidden="true" name="Aexcel_Prof_Location_Line_Count" vbProcedure="false">#REF!</definedName>
    <definedName function="false" hidden="true" name="Aexcel_Prof_PMPM_Line_Count" vbProcedure="false">#REF!</definedName>
    <definedName function="false" hidden="true" name="Aexcel_Prof_Util_Line_Count" vbProcedure="false">#REF!</definedName>
    <definedName function="false" hidden="true" name="Aexcel_Structure_Headings" vbProcedure="false">#REF!</definedName>
    <definedName function="false" hidden="true" name="Aexcel_Structure_Line_Count" vbProcedure="false">#REF!</definedName>
    <definedName function="false" hidden="true" name="Aex_Amb_MDC_Range" vbProcedure="false">#REF!</definedName>
    <definedName function="false" hidden="true" name="aex_Amb_OON_claimants_00_curr" vbProcedure="false">#REF!</definedName>
    <definedName function="false" hidden="true" name="aex_Amb_OON_claimants_01_curr" vbProcedure="false">#REF!</definedName>
    <definedName function="false" hidden="true" name="aex_Amb_OON_claimants_02_curr" vbProcedure="false">#REF!</definedName>
    <definedName function="false" hidden="true" name="aex_Amb_OON_claimants_03_curr" vbProcedure="false">#REF!</definedName>
    <definedName function="false" hidden="true" name="aex_Amb_OON_claimants_04_curr" vbProcedure="false">#REF!</definedName>
    <definedName function="false" hidden="true" name="aex_Amb_OON_claimants_05_curr" vbProcedure="false">#REF!</definedName>
    <definedName function="false" hidden="true" name="aex_Amb_OON_claimants_06_curr" vbProcedure="false">#REF!</definedName>
    <definedName function="false" hidden="true" name="aex_Amb_OON_claimants_07_curr" vbProcedure="false">#REF!</definedName>
    <definedName function="false" hidden="true" name="aex_Amb_OON_claimants_08_curr" vbProcedure="false">#REF!</definedName>
    <definedName function="false" hidden="true" name="aex_Amb_OON_claimants_09_curr" vbProcedure="false">#REF!</definedName>
    <definedName function="false" hidden="true" name="aex_Amb_OON_claimants_10_curr" vbProcedure="false">#REF!</definedName>
    <definedName function="false" hidden="true" name="aex_Amb_OON_claimants_11_curr" vbProcedure="false">#REF!</definedName>
    <definedName function="false" hidden="true" name="aex_Amb_OON_claimants_12_curr" vbProcedure="false">#REF!</definedName>
    <definedName function="false" hidden="true" name="aex_Amb_OON_claimants_13_curr" vbProcedure="false">#REF!</definedName>
    <definedName function="false" hidden="true" name="aex_Amb_OON_claimants_14_curr" vbProcedure="false">#REF!</definedName>
    <definedName function="false" hidden="true" name="aex_Amb_OON_claimants_15_curr" vbProcedure="false">#REF!</definedName>
    <definedName function="false" hidden="true" name="aex_Amb_OON_claimants_16_curr" vbProcedure="false">#REF!</definedName>
    <definedName function="false" hidden="true" name="aex_Amb_OON_claimants_17_curr" vbProcedure="false">#REF!</definedName>
    <definedName function="false" hidden="true" name="aex_Amb_OON_claimants_18_curr" vbProcedure="false">#REF!</definedName>
    <definedName function="false" hidden="true" name="aex_Amb_OON_claimants_19_curr" vbProcedure="false">#REF!</definedName>
    <definedName function="false" hidden="true" name="aex_Amb_OON_claimants_20_curr" vbProcedure="false">#REF!</definedName>
    <definedName function="false" hidden="true" name="aex_Amb_OON_claimants_21_curr" vbProcedure="false">#REF!</definedName>
    <definedName function="false" hidden="true" name="aex_Amb_OON_claimants_22_curr" vbProcedure="false">#REF!</definedName>
    <definedName function="false" hidden="true" name="aex_Amb_OON_claimants_23_curr" vbProcedure="false">#REF!</definedName>
    <definedName function="false" hidden="true" name="aex_Amb_OON_claimants_24_curr" vbProcedure="false">#REF!</definedName>
    <definedName function="false" hidden="true" name="aex_Amb_OON_paid_amt_00_curr" vbProcedure="false">#REF!</definedName>
    <definedName function="false" hidden="true" name="aex_Amb_OON_paid_amt_01_curr" vbProcedure="false">#REF!</definedName>
    <definedName function="false" hidden="true" name="aex_Amb_OON_paid_amt_02_curr" vbProcedure="false">#REF!</definedName>
    <definedName function="false" hidden="true" name="aex_Amb_OON_paid_amt_03_curr" vbProcedure="false">#REF!</definedName>
    <definedName function="false" hidden="true" name="aex_Amb_OON_paid_amt_04_curr" vbProcedure="false">#REF!</definedName>
    <definedName function="false" hidden="true" name="aex_Amb_OON_paid_amt_05_curr" vbProcedure="false">#REF!</definedName>
    <definedName function="false" hidden="true" name="aex_Amb_OON_paid_amt_06_curr" vbProcedure="false">#REF!</definedName>
    <definedName function="false" hidden="true" name="aex_Amb_OON_paid_amt_07_curr" vbProcedure="false">#REF!</definedName>
    <definedName function="false" hidden="true" name="aex_Amb_OON_paid_amt_08_curr" vbProcedure="false">#REF!</definedName>
    <definedName function="false" hidden="true" name="aex_Amb_OON_paid_amt_09_curr" vbProcedure="false">#REF!</definedName>
    <definedName function="false" hidden="true" name="aex_Amb_OON_paid_amt_10_curr" vbProcedure="false">#REF!</definedName>
    <definedName function="false" hidden="true" name="aex_Amb_OON_paid_amt_11_curr" vbProcedure="false">#REF!</definedName>
    <definedName function="false" hidden="true" name="aex_Amb_OON_paid_amt_12_curr" vbProcedure="false">#REF!</definedName>
    <definedName function="false" hidden="true" name="aex_Amb_OON_paid_amt_13_curr" vbProcedure="false">#REF!</definedName>
    <definedName function="false" hidden="true" name="aex_Amb_OON_paid_amt_14_curr" vbProcedure="false">#REF!</definedName>
    <definedName function="false" hidden="true" name="aex_Amb_OON_paid_amt_15_curr" vbProcedure="false">#REF!</definedName>
    <definedName function="false" hidden="true" name="aex_Amb_OON_paid_amt_16_curr" vbProcedure="false">#REF!</definedName>
    <definedName function="false" hidden="true" name="aex_Amb_OON_paid_amt_17_curr" vbProcedure="false">#REF!</definedName>
    <definedName function="false" hidden="true" name="aex_Amb_OON_paid_amt_18_curr" vbProcedure="false">#REF!</definedName>
    <definedName function="false" hidden="true" name="aex_Amb_OON_paid_amt_19_curr" vbProcedure="false">#REF!</definedName>
    <definedName function="false" hidden="true" name="aex_Amb_OON_paid_amt_20_curr" vbProcedure="false">#REF!</definedName>
    <definedName function="false" hidden="true" name="aex_Amb_OON_paid_amt_21_curr" vbProcedure="false">#REF!</definedName>
    <definedName function="false" hidden="true" name="aex_Amb_OON_paid_amt_22_curr" vbProcedure="false">#REF!</definedName>
    <definedName function="false" hidden="true" name="aex_Amb_OON_paid_amt_23_curr" vbProcedure="false">#REF!</definedName>
    <definedName function="false" hidden="true" name="aex_Amb_OON_paid_amt_24_curr" vbProcedure="false">#REF!</definedName>
    <definedName function="false" hidden="true" name="aex_Amb_Tier1_claimants_00_curr" vbProcedure="false">#REF!</definedName>
    <definedName function="false" hidden="true" name="aex_Amb_Tier1_claimants_01_curr" vbProcedure="false">#REF!</definedName>
    <definedName function="false" hidden="true" name="aex_Amb_Tier1_claimants_02_curr" vbProcedure="false">#REF!</definedName>
    <definedName function="false" hidden="true" name="aex_Amb_Tier1_claimants_03_curr" vbProcedure="false">#REF!</definedName>
    <definedName function="false" hidden="true" name="aex_Amb_Tier1_claimants_04_curr" vbProcedure="false">#REF!</definedName>
    <definedName function="false" hidden="true" name="aex_Amb_Tier1_claimants_05_curr" vbProcedure="false">#REF!</definedName>
    <definedName function="false" hidden="true" name="aex_Amb_Tier1_claimants_06_curr" vbProcedure="false">#REF!</definedName>
    <definedName function="false" hidden="true" name="aex_Amb_Tier1_claimants_07_curr" vbProcedure="false">#REF!</definedName>
    <definedName function="false" hidden="true" name="aex_Amb_Tier1_claimants_08_curr" vbProcedure="false">#REF!</definedName>
    <definedName function="false" hidden="true" name="aex_Amb_Tier1_claimants_09_curr" vbProcedure="false">#REF!</definedName>
    <definedName function="false" hidden="true" name="aex_Amb_Tier1_claimants_10_curr" vbProcedure="false">#REF!</definedName>
    <definedName function="false" hidden="true" name="aex_Amb_Tier1_claimants_11_curr" vbProcedure="false">#REF!</definedName>
    <definedName function="false" hidden="true" name="aex_Amb_Tier1_claimants_12_curr" vbProcedure="false">#REF!</definedName>
    <definedName function="false" hidden="true" name="aex_Amb_Tier1_claimants_13_curr" vbProcedure="false">#REF!</definedName>
    <definedName function="false" hidden="true" name="aex_Amb_Tier1_claimants_14_curr" vbProcedure="false">#REF!</definedName>
    <definedName function="false" hidden="true" name="aex_Amb_Tier1_claimants_15_curr" vbProcedure="false">#REF!</definedName>
    <definedName function="false" hidden="true" name="aex_Amb_Tier1_claimants_16_curr" vbProcedure="false">#REF!</definedName>
    <definedName function="false" hidden="true" name="aex_Amb_Tier1_claimants_17_curr" vbProcedure="false">#REF!</definedName>
    <definedName function="false" hidden="true" name="aex_Amb_Tier1_claimants_18_curr" vbProcedure="false">#REF!</definedName>
    <definedName function="false" hidden="true" name="aex_Amb_Tier1_claimants_19_curr" vbProcedure="false">#REF!</definedName>
    <definedName function="false" hidden="true" name="aex_Amb_Tier1_claimants_20_curr" vbProcedure="false">#REF!</definedName>
    <definedName function="false" hidden="true" name="aex_Amb_Tier1_claimants_21_curr" vbProcedure="false">#REF!</definedName>
    <definedName function="false" hidden="true" name="aex_Amb_Tier1_claimants_22_curr" vbProcedure="false">#REF!</definedName>
    <definedName function="false" hidden="true" name="aex_Amb_Tier1_claimants_23_curr" vbProcedure="false">#REF!</definedName>
    <definedName function="false" hidden="true" name="aex_Amb_Tier1_claimants_24_curr" vbProcedure="false">#REF!</definedName>
    <definedName function="false" hidden="true" name="aex_Amb_Tier1_paid_amt_00_curr" vbProcedure="false">#REF!</definedName>
    <definedName function="false" hidden="true" name="aex_Amb_Tier1_paid_amt_01_curr" vbProcedure="false">#REF!</definedName>
    <definedName function="false" hidden="true" name="aex_Amb_Tier1_paid_amt_02_curr" vbProcedure="false">#REF!</definedName>
    <definedName function="false" hidden="true" name="aex_Amb_Tier1_paid_amt_03_curr" vbProcedure="false">#REF!</definedName>
    <definedName function="false" hidden="true" name="aex_Amb_Tier1_paid_amt_04_curr" vbProcedure="false">#REF!</definedName>
    <definedName function="false" hidden="true" name="aex_Amb_Tier1_paid_amt_05_curr" vbProcedure="false">#REF!</definedName>
    <definedName function="false" hidden="true" name="aex_Amb_Tier1_paid_amt_06_curr" vbProcedure="false">#REF!</definedName>
    <definedName function="false" hidden="true" name="aex_Amb_Tier1_paid_amt_07_curr" vbProcedure="false">#REF!</definedName>
    <definedName function="false" hidden="true" name="aex_Amb_Tier1_paid_amt_08_curr" vbProcedure="false">#REF!</definedName>
    <definedName function="false" hidden="true" name="aex_Amb_Tier1_paid_amt_09_curr" vbProcedure="false">#REF!</definedName>
    <definedName function="false" hidden="true" name="aex_Amb_Tier1_paid_amt_10_curr" vbProcedure="false">#REF!</definedName>
    <definedName function="false" hidden="true" name="aex_Amb_Tier1_paid_amt_11_curr" vbProcedure="false">#REF!</definedName>
    <definedName function="false" hidden="true" name="aex_Amb_Tier1_paid_amt_12_curr" vbProcedure="false">#REF!</definedName>
    <definedName function="false" hidden="true" name="aex_Amb_Tier1_paid_amt_13_curr" vbProcedure="false">#REF!</definedName>
    <definedName function="false" hidden="true" name="aex_Amb_Tier1_paid_amt_14_curr" vbProcedure="false">#REF!</definedName>
    <definedName function="false" hidden="true" name="aex_Amb_Tier1_paid_amt_15_curr" vbProcedure="false">#REF!</definedName>
    <definedName function="false" hidden="true" name="aex_Amb_Tier1_paid_amt_16_curr" vbProcedure="false">#REF!</definedName>
    <definedName function="false" hidden="true" name="aex_Amb_Tier1_paid_amt_17_curr" vbProcedure="false">#REF!</definedName>
    <definedName function="false" hidden="true" name="aex_Amb_Tier1_paid_amt_18_curr" vbProcedure="false">#REF!</definedName>
    <definedName function="false" hidden="true" name="aex_Amb_Tier1_paid_amt_19_curr" vbProcedure="false">#REF!</definedName>
    <definedName function="false" hidden="true" name="aex_Amb_Tier1_paid_amt_20_curr" vbProcedure="false">#REF!</definedName>
    <definedName function="false" hidden="true" name="aex_Amb_Tier1_paid_amt_21_curr" vbProcedure="false">#REF!</definedName>
    <definedName function="false" hidden="true" name="aex_Amb_Tier1_paid_amt_22_curr" vbProcedure="false">#REF!</definedName>
    <definedName function="false" hidden="true" name="aex_Amb_Tier1_paid_amt_23_curr" vbProcedure="false">#REF!</definedName>
    <definedName function="false" hidden="true" name="aex_Amb_Tier1_paid_amt_24_curr" vbProcedure="false">#REF!</definedName>
    <definedName function="false" hidden="true" name="aex_Amb_Tier2_claimants_00_curr" vbProcedure="false">#REF!</definedName>
    <definedName function="false" hidden="true" name="aex_Amb_Tier2_claimants_01_curr" vbProcedure="false">#REF!</definedName>
    <definedName function="false" hidden="true" name="aex_Amb_Tier2_claimants_02_curr" vbProcedure="false">#REF!</definedName>
    <definedName function="false" hidden="true" name="aex_Amb_Tier2_claimants_03_curr" vbProcedure="false">#REF!</definedName>
    <definedName function="false" hidden="true" name="aex_Amb_Tier2_claimants_04_curr" vbProcedure="false">#REF!</definedName>
    <definedName function="false" hidden="true" name="aex_Amb_Tier2_claimants_05_curr" vbProcedure="false">#REF!</definedName>
    <definedName function="false" hidden="true" name="aex_Amb_Tier2_claimants_06_curr" vbProcedure="false">#REF!</definedName>
    <definedName function="false" hidden="true" name="aex_Amb_Tier2_claimants_07_curr" vbProcedure="false">#REF!</definedName>
    <definedName function="false" hidden="true" name="aex_Amb_Tier2_claimants_08_curr" vbProcedure="false">#REF!</definedName>
    <definedName function="false" hidden="true" name="aex_Amb_Tier2_claimants_09_curr" vbProcedure="false">#REF!</definedName>
    <definedName function="false" hidden="true" name="aex_Amb_Tier2_claimants_10_curr" vbProcedure="false">#REF!</definedName>
    <definedName function="false" hidden="true" name="aex_Amb_Tier2_claimants_11_curr" vbProcedure="false">#REF!</definedName>
    <definedName function="false" hidden="true" name="aex_Amb_Tier2_claimants_12_curr" vbProcedure="false">#REF!</definedName>
    <definedName function="false" hidden="true" name="aex_Amb_Tier2_claimants_13_curr" vbProcedure="false">#REF!</definedName>
    <definedName function="false" hidden="true" name="aex_Amb_Tier2_claimants_14_curr" vbProcedure="false">#REF!</definedName>
    <definedName function="false" hidden="true" name="aex_Amb_Tier2_claimants_15_curr" vbProcedure="false">#REF!</definedName>
    <definedName function="false" hidden="true" name="aex_Amb_Tier2_claimants_16_curr" vbProcedure="false">#REF!</definedName>
    <definedName function="false" hidden="true" name="aex_Amb_Tier2_claimants_17_curr" vbProcedure="false">#REF!</definedName>
    <definedName function="false" hidden="true" name="aex_Amb_Tier2_claimants_18_curr" vbProcedure="false">#REF!</definedName>
    <definedName function="false" hidden="true" name="aex_Amb_Tier2_claimants_19_curr" vbProcedure="false">#REF!</definedName>
    <definedName function="false" hidden="true" name="aex_Amb_Tier2_claimants_20_curr" vbProcedure="false">#REF!</definedName>
    <definedName function="false" hidden="true" name="aex_Amb_Tier2_claimants_21_curr" vbProcedure="false">#REF!</definedName>
    <definedName function="false" hidden="true" name="aex_Amb_Tier2_claimants_22_curr" vbProcedure="false">#REF!</definedName>
    <definedName function="false" hidden="true" name="aex_Amb_Tier2_claimants_23_curr" vbProcedure="false">#REF!</definedName>
    <definedName function="false" hidden="true" name="aex_Amb_Tier2_claimants_24_curr" vbProcedure="false">#REF!</definedName>
    <definedName function="false" hidden="true" name="aex_Amb_Tier2_paid_amt_00_curr" vbProcedure="false">#REF!</definedName>
    <definedName function="false" hidden="true" name="aex_Amb_Tier2_paid_amt_01_curr" vbProcedure="false">#REF!</definedName>
    <definedName function="false" hidden="true" name="aex_Amb_Tier2_paid_amt_02_curr" vbProcedure="false">#REF!</definedName>
    <definedName function="false" hidden="true" name="aex_Amb_Tier2_paid_amt_03_curr" vbProcedure="false">#REF!</definedName>
    <definedName function="false" hidden="true" name="aex_Amb_Tier2_paid_amt_04_curr" vbProcedure="false">#REF!</definedName>
    <definedName function="false" hidden="true" name="aex_Amb_Tier2_paid_amt_05_curr" vbProcedure="false">#REF!</definedName>
    <definedName function="false" hidden="true" name="aex_Amb_Tier2_paid_amt_06_curr" vbProcedure="false">#REF!</definedName>
    <definedName function="false" hidden="true" name="aex_Amb_Tier2_paid_amt_07_curr" vbProcedure="false">#REF!</definedName>
    <definedName function="false" hidden="true" name="aex_Amb_Tier2_paid_amt_08_curr" vbProcedure="false">#REF!</definedName>
    <definedName function="false" hidden="true" name="aex_Amb_Tier2_paid_amt_09_curr" vbProcedure="false">#REF!</definedName>
    <definedName function="false" hidden="true" name="aex_Amb_Tier2_paid_amt_10_curr" vbProcedure="false">#REF!</definedName>
    <definedName function="false" hidden="true" name="aex_Amb_Tier2_paid_amt_11_curr" vbProcedure="false">#REF!</definedName>
    <definedName function="false" hidden="true" name="aex_Amb_Tier2_paid_amt_12_curr" vbProcedure="false">#REF!</definedName>
    <definedName function="false" hidden="true" name="aex_Amb_Tier2_paid_amt_13_curr" vbProcedure="false">#REF!</definedName>
    <definedName function="false" hidden="true" name="aex_Amb_Tier2_paid_amt_14_curr" vbProcedure="false">#REF!</definedName>
    <definedName function="false" hidden="true" name="aex_Amb_Tier2_paid_amt_15_curr" vbProcedure="false">#REF!</definedName>
    <definedName function="false" hidden="true" name="aex_Amb_Tier2_paid_amt_16_curr" vbProcedure="false">#REF!</definedName>
    <definedName function="false" hidden="true" name="aex_Amb_Tier2_paid_amt_17_curr" vbProcedure="false">#REF!</definedName>
    <definedName function="false" hidden="true" name="aex_Amb_Tier2_paid_amt_18_curr" vbProcedure="false">#REF!</definedName>
    <definedName function="false" hidden="true" name="aex_Amb_Tier2_paid_amt_19_curr" vbProcedure="false">#REF!</definedName>
    <definedName function="false" hidden="true" name="aex_Amb_Tier2_paid_amt_20_curr" vbProcedure="false">#REF!</definedName>
    <definedName function="false" hidden="true" name="aex_Amb_Tier2_paid_amt_21_curr" vbProcedure="false">#REF!</definedName>
    <definedName function="false" hidden="true" name="aex_Amb_Tier2_paid_amt_22_curr" vbProcedure="false">#REF!</definedName>
    <definedName function="false" hidden="true" name="aex_Amb_Tier2_paid_amt_23_curr" vbProcedure="false">#REF!</definedName>
    <definedName function="false" hidden="true" name="aex_Amb_Tier2_paid_amt_24_curr" vbProcedure="false">#REF!</definedName>
    <definedName function="false" hidden="true" name="aex_Amb_Tier3_claimants_00_curr" vbProcedure="false">#REF!</definedName>
    <definedName function="false" hidden="true" name="aex_Amb_Tier3_claimants_01_curr" vbProcedure="false">#REF!</definedName>
    <definedName function="false" hidden="true" name="aex_Amb_Tier3_claimants_02_curr" vbProcedure="false">#REF!</definedName>
    <definedName function="false" hidden="true" name="aex_Amb_Tier3_claimants_03_curr" vbProcedure="false">#REF!</definedName>
    <definedName function="false" hidden="true" name="aex_Amb_Tier3_claimants_04_curr" vbProcedure="false">#REF!</definedName>
    <definedName function="false" hidden="true" name="aex_Amb_Tier3_claimants_05_curr" vbProcedure="false">#REF!</definedName>
    <definedName function="false" hidden="true" name="aex_Amb_Tier3_claimants_06_curr" vbProcedure="false">#REF!</definedName>
    <definedName function="false" hidden="true" name="aex_Amb_Tier3_claimants_07_curr" vbProcedure="false">#REF!</definedName>
    <definedName function="false" hidden="true" name="aex_Amb_Tier3_claimants_08_curr" vbProcedure="false">#REF!</definedName>
    <definedName function="false" hidden="true" name="aex_Amb_Tier3_claimants_09_curr" vbProcedure="false">#REF!</definedName>
    <definedName function="false" hidden="true" name="aex_Amb_Tier3_claimants_10_curr" vbProcedure="false">#REF!</definedName>
    <definedName function="false" hidden="true" name="aex_Amb_Tier3_claimants_11_curr" vbProcedure="false">#REF!</definedName>
    <definedName function="false" hidden="true" name="aex_Amb_Tier3_claimants_12_curr" vbProcedure="false">#REF!</definedName>
    <definedName function="false" hidden="true" name="aex_Amb_Tier3_claimants_13_curr" vbProcedure="false">#REF!</definedName>
    <definedName function="false" hidden="true" name="aex_Amb_Tier3_claimants_14_curr" vbProcedure="false">#REF!</definedName>
    <definedName function="false" hidden="true" name="aex_Amb_Tier3_claimants_15_curr" vbProcedure="false">#REF!</definedName>
    <definedName function="false" hidden="true" name="aex_Amb_Tier3_claimants_16_curr" vbProcedure="false">#REF!</definedName>
    <definedName function="false" hidden="true" name="aex_Amb_Tier3_claimants_17_curr" vbProcedure="false">#REF!</definedName>
    <definedName function="false" hidden="true" name="aex_Amb_Tier3_claimants_18_curr" vbProcedure="false">#REF!</definedName>
    <definedName function="false" hidden="true" name="aex_Amb_Tier3_claimants_19_curr" vbProcedure="false">#REF!</definedName>
    <definedName function="false" hidden="true" name="aex_Amb_Tier3_claimants_20_curr" vbProcedure="false">#REF!</definedName>
    <definedName function="false" hidden="true" name="aex_Amb_Tier3_claimants_21_curr" vbProcedure="false">#REF!</definedName>
    <definedName function="false" hidden="true" name="aex_Amb_Tier3_claimants_22_curr" vbProcedure="false">#REF!</definedName>
    <definedName function="false" hidden="true" name="aex_Amb_Tier3_claimants_23_curr" vbProcedure="false">#REF!</definedName>
    <definedName function="false" hidden="true" name="aex_Amb_Tier3_claimants_24_curr" vbProcedure="false">#REF!</definedName>
    <definedName function="false" hidden="true" name="aex_Amb_Tier3_paid_amt_00_curr" vbProcedure="false">#REF!</definedName>
    <definedName function="false" hidden="true" name="aex_Amb_Tier3_paid_amt_01_curr" vbProcedure="false">#REF!</definedName>
    <definedName function="false" hidden="true" name="aex_Amb_Tier3_paid_amt_02_curr" vbProcedure="false">#REF!</definedName>
    <definedName function="false" hidden="true" name="aex_Amb_Tier3_paid_amt_03_curr" vbProcedure="false">#REF!</definedName>
    <definedName function="false" hidden="true" name="aex_Amb_Tier3_paid_amt_04_curr" vbProcedure="false">#REF!</definedName>
    <definedName function="false" hidden="true" name="aex_Amb_Tier3_paid_amt_05_curr" vbProcedure="false">#REF!</definedName>
    <definedName function="false" hidden="true" name="aex_Amb_Tier3_paid_amt_06_curr" vbProcedure="false">#REF!</definedName>
    <definedName function="false" hidden="true" name="aex_Amb_Tier3_paid_amt_07_curr" vbProcedure="false">#REF!</definedName>
    <definedName function="false" hidden="true" name="aex_Amb_Tier3_paid_amt_08_curr" vbProcedure="false">#REF!</definedName>
    <definedName function="false" hidden="true" name="aex_Amb_Tier3_paid_amt_09_curr" vbProcedure="false">#REF!</definedName>
    <definedName function="false" hidden="true" name="aex_Amb_Tier3_paid_amt_10_curr" vbProcedure="false">#REF!</definedName>
    <definedName function="false" hidden="true" name="aex_Amb_Tier3_paid_amt_11_curr" vbProcedure="false">#REF!</definedName>
    <definedName function="false" hidden="true" name="aex_Amb_Tier3_paid_amt_12_curr" vbProcedure="false">#REF!</definedName>
    <definedName function="false" hidden="true" name="aex_Amb_Tier3_paid_amt_13_curr" vbProcedure="false">#REF!</definedName>
    <definedName function="false" hidden="true" name="aex_Amb_Tier3_paid_amt_14_curr" vbProcedure="false">#REF!</definedName>
    <definedName function="false" hidden="true" name="aex_Amb_Tier3_paid_amt_15_curr" vbProcedure="false">#REF!</definedName>
    <definedName function="false" hidden="true" name="aex_Amb_Tier3_paid_amt_16_curr" vbProcedure="false">#REF!</definedName>
    <definedName function="false" hidden="true" name="aex_Amb_Tier3_paid_amt_17_curr" vbProcedure="false">#REF!</definedName>
    <definedName function="false" hidden="true" name="aex_Amb_Tier3_paid_amt_18_curr" vbProcedure="false">#REF!</definedName>
    <definedName function="false" hidden="true" name="aex_Amb_Tier3_paid_amt_19_curr" vbProcedure="false">#REF!</definedName>
    <definedName function="false" hidden="true" name="aex_Amb_Tier3_paid_amt_20_curr" vbProcedure="false">#REF!</definedName>
    <definedName function="false" hidden="true" name="aex_Amb_Tier3_paid_amt_21_curr" vbProcedure="false">#REF!</definedName>
    <definedName function="false" hidden="true" name="aex_Amb_Tier3_paid_amt_22_curr" vbProcedure="false">#REF!</definedName>
    <definedName function="false" hidden="true" name="aex_Amb_Tier3_paid_amt_23_curr" vbProcedure="false">#REF!</definedName>
    <definedName function="false" hidden="true" name="aex_Amb_Tier3_paid_amt_24_curr" vbProcedure="false">#REF!</definedName>
    <definedName function="false" hidden="true" name="Aex_Experience_by_Tier_Range" vbProcedure="false">#REF!</definedName>
    <definedName function="false" hidden="true" name="aex_inp_OON_admits_00_curr" vbProcedure="false">#REF!</definedName>
    <definedName function="false" hidden="true" name="aex_inp_OON_admits_01_curr" vbProcedure="false">#REF!</definedName>
    <definedName function="false" hidden="true" name="aex_inp_OON_admits_02_curr" vbProcedure="false">#REF!</definedName>
    <definedName function="false" hidden="true" name="aex_inp_OON_admits_03_curr" vbProcedure="false">#REF!</definedName>
    <definedName function="false" hidden="true" name="aex_inp_OON_admits_04_curr" vbProcedure="false">#REF!</definedName>
    <definedName function="false" hidden="true" name="aex_inp_OON_admits_05_curr" vbProcedure="false">#REF!</definedName>
    <definedName function="false" hidden="true" name="aex_inp_OON_admits_06_curr" vbProcedure="false">#REF!</definedName>
    <definedName function="false" hidden="true" name="aex_inp_OON_admits_07_curr" vbProcedure="false">#REF!</definedName>
    <definedName function="false" hidden="true" name="aex_inp_OON_admits_08_curr" vbProcedure="false">#REF!</definedName>
    <definedName function="false" hidden="true" name="aex_inp_OON_admits_09_curr" vbProcedure="false">#REF!</definedName>
    <definedName function="false" hidden="true" name="aex_inp_OON_admits_10_curr" vbProcedure="false">#REF!</definedName>
    <definedName function="false" hidden="true" name="aex_inp_OON_admits_11_curr" vbProcedure="false">#REF!</definedName>
    <definedName function="false" hidden="true" name="aex_inp_OON_admits_12_curr" vbProcedure="false">#REF!</definedName>
    <definedName function="false" hidden="true" name="aex_inp_OON_admits_13_curr" vbProcedure="false">#REF!</definedName>
    <definedName function="false" hidden="true" name="aex_inp_OON_admits_14_curr" vbProcedure="false">#REF!</definedName>
    <definedName function="false" hidden="true" name="aex_inp_OON_admits_15_curr" vbProcedure="false">#REF!</definedName>
    <definedName function="false" hidden="true" name="aex_inp_OON_admits_16_curr" vbProcedure="false">#REF!</definedName>
    <definedName function="false" hidden="true" name="aex_inp_OON_admits_17_curr" vbProcedure="false">#REF!</definedName>
    <definedName function="false" hidden="true" name="aex_inp_OON_admits_18_curr" vbProcedure="false">#REF!</definedName>
    <definedName function="false" hidden="true" name="aex_inp_OON_admits_19_curr" vbProcedure="false">#REF!</definedName>
    <definedName function="false" hidden="true" name="aex_inp_OON_admits_20_curr" vbProcedure="false">#REF!</definedName>
    <definedName function="false" hidden="true" name="aex_inp_OON_admits_21_curr" vbProcedure="false">#REF!</definedName>
    <definedName function="false" hidden="true" name="aex_inp_OON_admits_22_curr" vbProcedure="false">#REF!</definedName>
    <definedName function="false" hidden="true" name="aex_inp_OON_admits_23_curr" vbProcedure="false">#REF!</definedName>
    <definedName function="false" hidden="true" name="aex_inp_OON_admits_24_curr" vbProcedure="false">#REF!</definedName>
    <definedName function="false" hidden="true" name="aex_inp_OON_days_00_curr" vbProcedure="false">#REF!</definedName>
    <definedName function="false" hidden="true" name="aex_inp_OON_days_01_curr" vbProcedure="false">#REF!</definedName>
    <definedName function="false" hidden="true" name="aex_inp_OON_days_02_curr" vbProcedure="false">#REF!</definedName>
    <definedName function="false" hidden="true" name="aex_inp_OON_days_03_curr" vbProcedure="false">#REF!</definedName>
    <definedName function="false" hidden="true" name="aex_inp_OON_days_04_curr" vbProcedure="false">#REF!</definedName>
    <definedName function="false" hidden="true" name="aex_inp_OON_days_05_curr" vbProcedure="false">#REF!</definedName>
    <definedName function="false" hidden="true" name="aex_inp_OON_days_06_curr" vbProcedure="false">#REF!</definedName>
    <definedName function="false" hidden="true" name="aex_inp_OON_days_07_curr" vbProcedure="false">#REF!</definedName>
    <definedName function="false" hidden="true" name="aex_inp_OON_days_08_curr" vbProcedure="false">#REF!</definedName>
    <definedName function="false" hidden="true" name="aex_inp_OON_days_09_curr" vbProcedure="false">#REF!</definedName>
    <definedName function="false" hidden="true" name="aex_inp_OON_days_10_curr" vbProcedure="false">#REF!</definedName>
    <definedName function="false" hidden="true" name="aex_inp_OON_days_11_curr" vbProcedure="false">#REF!</definedName>
    <definedName function="false" hidden="true" name="aex_inp_OON_days_12_curr" vbProcedure="false">#REF!</definedName>
    <definedName function="false" hidden="true" name="aex_inp_OON_days_13_curr" vbProcedure="false">#REF!</definedName>
    <definedName function="false" hidden="true" name="aex_inp_OON_days_14_curr" vbProcedure="false">#REF!</definedName>
    <definedName function="false" hidden="true" name="aex_inp_OON_days_15_curr" vbProcedure="false">#REF!</definedName>
    <definedName function="false" hidden="true" name="aex_inp_OON_days_16_curr" vbProcedure="false">#REF!</definedName>
    <definedName function="false" hidden="true" name="aex_inp_OON_days_17_curr" vbProcedure="false">#REF!</definedName>
    <definedName function="false" hidden="true" name="aex_inp_OON_days_18_curr" vbProcedure="false">#REF!</definedName>
    <definedName function="false" hidden="true" name="aex_inp_OON_days_19_curr" vbProcedure="false">#REF!</definedName>
    <definedName function="false" hidden="true" name="aex_inp_OON_days_20_curr" vbProcedure="false">#REF!</definedName>
    <definedName function="false" hidden="true" name="aex_inp_OON_days_21_curr" vbProcedure="false">#REF!</definedName>
    <definedName function="false" hidden="true" name="aex_inp_OON_days_22_curr" vbProcedure="false">#REF!</definedName>
    <definedName function="false" hidden="true" name="aex_inp_OON_days_23_curr" vbProcedure="false">#REF!</definedName>
    <definedName function="false" hidden="true" name="aex_inp_OON_days_24_curr" vbProcedure="false">#REF!</definedName>
    <definedName function="false" hidden="true" name="aex_inp_OON_paid_amt_00_curr" vbProcedure="false">#REF!</definedName>
    <definedName function="false" hidden="true" name="aex_inp_OON_paid_amt_01_curr" vbProcedure="false">#REF!</definedName>
    <definedName function="false" hidden="true" name="aex_inp_OON_paid_amt_02_curr" vbProcedure="false">#REF!</definedName>
    <definedName function="false" hidden="true" name="aex_inp_OON_paid_amt_03_curr" vbProcedure="false">#REF!</definedName>
    <definedName function="false" hidden="true" name="aex_inp_OON_paid_amt_04_curr" vbProcedure="false">#REF!</definedName>
    <definedName function="false" hidden="true" name="aex_inp_OON_paid_amt_05_curr" vbProcedure="false">#REF!</definedName>
    <definedName function="false" hidden="true" name="aex_inp_OON_paid_amt_06_curr" vbProcedure="false">#REF!</definedName>
    <definedName function="false" hidden="true" name="aex_inp_OON_paid_amt_07_curr" vbProcedure="false">#REF!</definedName>
    <definedName function="false" hidden="true" name="aex_inp_OON_paid_amt_08_curr" vbProcedure="false">#REF!</definedName>
    <definedName function="false" hidden="true" name="aex_inp_OON_paid_amt_09_curr" vbProcedure="false">#REF!</definedName>
    <definedName function="false" hidden="true" name="aex_inp_OON_paid_amt_10_curr" vbProcedure="false">#REF!</definedName>
    <definedName function="false" hidden="true" name="aex_inp_OON_paid_amt_11_curr" vbProcedure="false">#REF!</definedName>
    <definedName function="false" hidden="true" name="aex_inp_OON_paid_amt_12_curr" vbProcedure="false">#REF!</definedName>
    <definedName function="false" hidden="true" name="aex_inp_OON_paid_amt_13_curr" vbProcedure="false">#REF!</definedName>
    <definedName function="false" hidden="true" name="aex_inp_OON_paid_amt_14_curr" vbProcedure="false">#REF!</definedName>
    <definedName function="false" hidden="true" name="aex_inp_OON_paid_amt_15_curr" vbProcedure="false">#REF!</definedName>
    <definedName function="false" hidden="true" name="aex_inp_OON_paid_amt_16_curr" vbProcedure="false">#REF!</definedName>
    <definedName function="false" hidden="true" name="aex_inp_OON_paid_amt_17_curr" vbProcedure="false">#REF!</definedName>
    <definedName function="false" hidden="true" name="aex_inp_OON_paid_amt_18_curr" vbProcedure="false">#REF!</definedName>
    <definedName function="false" hidden="true" name="aex_inp_OON_paid_amt_19_curr" vbProcedure="false">#REF!</definedName>
    <definedName function="false" hidden="true" name="aex_inp_OON_paid_amt_20_curr" vbProcedure="false">#REF!</definedName>
    <definedName function="false" hidden="true" name="aex_inp_OON_paid_amt_21_curr" vbProcedure="false">#REF!</definedName>
    <definedName function="false" hidden="true" name="aex_inp_OON_paid_amt_22_curr" vbProcedure="false">#REF!</definedName>
    <definedName function="false" hidden="true" name="aex_inp_OON_paid_amt_23_curr" vbProcedure="false">#REF!</definedName>
    <definedName function="false" hidden="true" name="aex_inp_OON_paid_amt_24_curr" vbProcedure="false">#REF!</definedName>
    <definedName function="false" hidden="true" name="aex_inp_Tier1_admits_00_curr" vbProcedure="false">#REF!</definedName>
    <definedName function="false" hidden="true" name="aex_inp_Tier1_admits_01_curr" vbProcedure="false">#REF!</definedName>
    <definedName function="false" hidden="true" name="aex_inp_Tier1_admits_02_curr" vbProcedure="false">#REF!</definedName>
    <definedName function="false" hidden="true" name="aex_inp_Tier1_admits_03_curr" vbProcedure="false">#REF!</definedName>
    <definedName function="false" hidden="true" name="aex_inp_Tier1_admits_04_curr" vbProcedure="false">#REF!</definedName>
    <definedName function="false" hidden="true" name="aex_inp_Tier1_admits_05_curr" vbProcedure="false">#REF!</definedName>
    <definedName function="false" hidden="true" name="aex_inp_Tier1_admits_06_curr" vbProcedure="false">#REF!</definedName>
    <definedName function="false" hidden="true" name="aex_inp_Tier1_admits_07_curr" vbProcedure="false">#REF!</definedName>
    <definedName function="false" hidden="true" name="aex_inp_Tier1_admits_08_curr" vbProcedure="false">#REF!</definedName>
    <definedName function="false" hidden="true" name="aex_inp_Tier1_admits_09_curr" vbProcedure="false">#REF!</definedName>
    <definedName function="false" hidden="true" name="aex_inp_Tier1_admits_10_curr" vbProcedure="false">#REF!</definedName>
    <definedName function="false" hidden="true" name="aex_inp_Tier1_admits_11_curr" vbProcedure="false">#REF!</definedName>
    <definedName function="false" hidden="true" name="aex_inp_Tier1_admits_12_curr" vbProcedure="false">#REF!</definedName>
    <definedName function="false" hidden="true" name="aex_inp_Tier1_admits_13_curr" vbProcedure="false">#REF!</definedName>
    <definedName function="false" hidden="true" name="aex_inp_Tier1_admits_14_curr" vbProcedure="false">#REF!</definedName>
    <definedName function="false" hidden="true" name="aex_inp_Tier1_admits_15_curr" vbProcedure="false">#REF!</definedName>
    <definedName function="false" hidden="true" name="aex_inp_Tier1_admits_16_curr" vbProcedure="false">#REF!</definedName>
    <definedName function="false" hidden="true" name="aex_inp_Tier1_admits_17_curr" vbProcedure="false">#REF!</definedName>
    <definedName function="false" hidden="true" name="aex_inp_Tier1_admits_18_curr" vbProcedure="false">#REF!</definedName>
    <definedName function="false" hidden="true" name="aex_inp_Tier1_admits_19_curr" vbProcedure="false">#REF!</definedName>
    <definedName function="false" hidden="true" name="aex_inp_Tier1_admits_20_curr" vbProcedure="false">#REF!</definedName>
    <definedName function="false" hidden="true" name="aex_inp_Tier1_admits_21_curr" vbProcedure="false">#REF!</definedName>
    <definedName function="false" hidden="true" name="aex_inp_Tier1_admits_22_curr" vbProcedure="false">#REF!</definedName>
    <definedName function="false" hidden="true" name="aex_inp_Tier1_admits_23_curr" vbProcedure="false">#REF!</definedName>
    <definedName function="false" hidden="true" name="aex_inp_Tier1_admits_24_curr" vbProcedure="false">#REF!</definedName>
    <definedName function="false" hidden="true" name="aex_inp_Tier1_days_00_curr" vbProcedure="false">#REF!</definedName>
    <definedName function="false" hidden="true" name="aex_inp_Tier1_days_01_curr" vbProcedure="false">#REF!</definedName>
    <definedName function="false" hidden="true" name="aex_inp_Tier1_days_02_curr" vbProcedure="false">#REF!</definedName>
    <definedName function="false" hidden="true" name="aex_inp_Tier1_days_03_curr" vbProcedure="false">#REF!</definedName>
    <definedName function="false" hidden="true" name="aex_inp_Tier1_days_04_curr" vbProcedure="false">#REF!</definedName>
    <definedName function="false" hidden="true" name="aex_inp_Tier1_days_05_curr" vbProcedure="false">#REF!</definedName>
    <definedName function="false" hidden="true" name="aex_inp_Tier1_days_06_curr" vbProcedure="false">#REF!</definedName>
    <definedName function="false" hidden="true" name="aex_inp_Tier1_days_07_curr" vbProcedure="false">#REF!</definedName>
    <definedName function="false" hidden="true" name="aex_inp_Tier1_days_08_curr" vbProcedure="false">#REF!</definedName>
    <definedName function="false" hidden="true" name="aex_inp_Tier1_days_09_curr" vbProcedure="false">#REF!</definedName>
    <definedName function="false" hidden="true" name="aex_inp_Tier1_days_10_curr" vbProcedure="false">#REF!</definedName>
    <definedName function="false" hidden="true" name="aex_inp_Tier1_days_11_curr" vbProcedure="false">#REF!</definedName>
    <definedName function="false" hidden="true" name="aex_inp_Tier1_days_12_curr" vbProcedure="false">#REF!</definedName>
    <definedName function="false" hidden="true" name="aex_inp_Tier1_days_13_curr" vbProcedure="false">#REF!</definedName>
    <definedName function="false" hidden="true" name="aex_inp_Tier1_days_14_curr" vbProcedure="false">#REF!</definedName>
    <definedName function="false" hidden="true" name="aex_inp_Tier1_days_15_curr" vbProcedure="false">#REF!</definedName>
    <definedName function="false" hidden="true" name="aex_inp_Tier1_days_16_curr" vbProcedure="false">#REF!</definedName>
    <definedName function="false" hidden="true" name="aex_inp_Tier1_days_17_curr" vbProcedure="false">#REF!</definedName>
    <definedName function="false" hidden="true" name="aex_inp_Tier1_days_18_curr" vbProcedure="false">#REF!</definedName>
    <definedName function="false" hidden="true" name="aex_inp_Tier1_days_19_curr" vbProcedure="false">#REF!</definedName>
    <definedName function="false" hidden="true" name="aex_inp_Tier1_days_20_curr" vbProcedure="false">#REF!</definedName>
    <definedName function="false" hidden="true" name="aex_inp_Tier1_days_21_curr" vbProcedure="false">#REF!</definedName>
    <definedName function="false" hidden="true" name="aex_inp_Tier1_days_22_curr" vbProcedure="false">#REF!</definedName>
    <definedName function="false" hidden="true" name="aex_inp_Tier1_days_23_curr" vbProcedure="false">#REF!</definedName>
    <definedName function="false" hidden="true" name="aex_inp_Tier1_days_24_curr" vbProcedure="false">#REF!</definedName>
    <definedName function="false" hidden="true" name="aex_inp_Tier1_paid_amt_00_curr" vbProcedure="false">#REF!</definedName>
    <definedName function="false" hidden="true" name="aex_inp_Tier1_paid_amt_01_curr" vbProcedure="false">#REF!</definedName>
    <definedName function="false" hidden="true" name="aex_inp_Tier1_paid_amt_02_curr" vbProcedure="false">#REF!</definedName>
    <definedName function="false" hidden="true" name="aex_inp_Tier1_paid_amt_03_curr" vbProcedure="false">#REF!</definedName>
    <definedName function="false" hidden="true" name="aex_inp_Tier1_paid_amt_04_curr" vbProcedure="false">#REF!</definedName>
    <definedName function="false" hidden="true" name="aex_inp_Tier1_paid_amt_05_curr" vbProcedure="false">#REF!</definedName>
    <definedName function="false" hidden="true" name="aex_inp_Tier1_paid_amt_06_curr" vbProcedure="false">#REF!</definedName>
    <definedName function="false" hidden="true" name="aex_inp_Tier1_paid_amt_07_curr" vbProcedure="false">#REF!</definedName>
    <definedName function="false" hidden="true" name="aex_inp_Tier1_paid_amt_08_curr" vbProcedure="false">#REF!</definedName>
    <definedName function="false" hidden="true" name="aex_inp_Tier1_paid_amt_09_curr" vbProcedure="false">#REF!</definedName>
    <definedName function="false" hidden="true" name="aex_inp_Tier1_paid_amt_10_curr" vbProcedure="false">#REF!</definedName>
    <definedName function="false" hidden="true" name="aex_inp_Tier1_paid_amt_11_curr" vbProcedure="false">#REF!</definedName>
    <definedName function="false" hidden="true" name="aex_inp_Tier1_paid_amt_12_curr" vbProcedure="false">#REF!</definedName>
    <definedName function="false" hidden="true" name="aex_inp_Tier1_paid_amt_13_curr" vbProcedure="false">#REF!</definedName>
    <definedName function="false" hidden="true" name="aex_inp_Tier1_paid_amt_14_curr" vbProcedure="false">#REF!</definedName>
    <definedName function="false" hidden="true" name="aex_inp_Tier1_paid_amt_15_curr" vbProcedure="false">#REF!</definedName>
    <definedName function="false" hidden="true" name="aex_inp_Tier1_paid_amt_16_curr" vbProcedure="false">#REF!</definedName>
    <definedName function="false" hidden="true" name="aex_inp_Tier1_paid_amt_17_curr" vbProcedure="false">#REF!</definedName>
    <definedName function="false" hidden="true" name="aex_inp_Tier1_paid_amt_18_curr" vbProcedure="false">#REF!</definedName>
    <definedName function="false" hidden="true" name="aex_inp_Tier1_paid_amt_19_curr" vbProcedure="false">#REF!</definedName>
    <definedName function="false" hidden="true" name="aex_inp_Tier1_paid_amt_20_curr" vbProcedure="false">#REF!</definedName>
    <definedName function="false" hidden="true" name="aex_inp_Tier1_paid_amt_21_curr" vbProcedure="false">#REF!</definedName>
    <definedName function="false" hidden="true" name="aex_inp_Tier1_paid_amt_22_curr" vbProcedure="false">#REF!</definedName>
    <definedName function="false" hidden="true" name="aex_inp_Tier1_paid_amt_23_curr" vbProcedure="false">#REF!</definedName>
    <definedName function="false" hidden="true" name="aex_inp_Tier1_paid_amt_24_curr" vbProcedure="false">#REF!</definedName>
    <definedName function="false" hidden="true" name="aex_inp_Tier2_admits_00_curr" vbProcedure="false">#REF!</definedName>
    <definedName function="false" hidden="true" name="aex_inp_Tier2_admits_01_curr" vbProcedure="false">#REF!</definedName>
    <definedName function="false" hidden="true" name="aex_inp_Tier2_admits_02_curr" vbProcedure="false">#REF!</definedName>
    <definedName function="false" hidden="true" name="aex_inp_Tier2_admits_03_curr" vbProcedure="false">#REF!</definedName>
    <definedName function="false" hidden="true" name="aex_inp_Tier2_admits_04_curr" vbProcedure="false">#REF!</definedName>
    <definedName function="false" hidden="true" name="aex_inp_Tier2_admits_05_curr" vbProcedure="false">#REF!</definedName>
    <definedName function="false" hidden="true" name="aex_inp_Tier2_admits_06_curr" vbProcedure="false">#REF!</definedName>
    <definedName function="false" hidden="true" name="aex_inp_Tier2_admits_07_curr" vbProcedure="false">#REF!</definedName>
    <definedName function="false" hidden="true" name="aex_inp_Tier2_admits_08_curr" vbProcedure="false">#REF!</definedName>
    <definedName function="false" hidden="true" name="aex_inp_Tier2_admits_09_curr" vbProcedure="false">#REF!</definedName>
    <definedName function="false" hidden="true" name="aex_inp_Tier2_admits_10_curr" vbProcedure="false">#REF!</definedName>
    <definedName function="false" hidden="true" name="aex_inp_Tier2_admits_11_curr" vbProcedure="false">#REF!</definedName>
    <definedName function="false" hidden="true" name="aex_inp_Tier2_admits_12_curr" vbProcedure="false">#REF!</definedName>
    <definedName function="false" hidden="true" name="aex_inp_Tier2_admits_13_curr" vbProcedure="false">#REF!</definedName>
    <definedName function="false" hidden="true" name="aex_inp_Tier2_admits_14_curr" vbProcedure="false">#REF!</definedName>
    <definedName function="false" hidden="true" name="aex_inp_Tier2_admits_15_curr" vbProcedure="false">#REF!</definedName>
    <definedName function="false" hidden="true" name="aex_inp_Tier2_admits_16_curr" vbProcedure="false">#REF!</definedName>
    <definedName function="false" hidden="true" name="aex_inp_Tier2_admits_17_curr" vbProcedure="false">#REF!</definedName>
    <definedName function="false" hidden="true" name="aex_inp_Tier2_admits_18_curr" vbProcedure="false">#REF!</definedName>
    <definedName function="false" hidden="true" name="aex_inp_Tier2_admits_19_curr" vbProcedure="false">#REF!</definedName>
    <definedName function="false" hidden="true" name="aex_inp_Tier2_admits_20_curr" vbProcedure="false">#REF!</definedName>
    <definedName function="false" hidden="true" name="aex_inp_Tier2_admits_21_curr" vbProcedure="false">#REF!</definedName>
    <definedName function="false" hidden="true" name="aex_inp_Tier2_admits_22_curr" vbProcedure="false">#REF!</definedName>
    <definedName function="false" hidden="true" name="aex_inp_Tier2_admits_23_curr" vbProcedure="false">#REF!</definedName>
    <definedName function="false" hidden="true" name="aex_inp_Tier2_admits_24_curr" vbProcedure="false">#REF!</definedName>
    <definedName function="false" hidden="true" name="aex_inp_Tier2_days_00_curr" vbProcedure="false">#REF!</definedName>
    <definedName function="false" hidden="true" name="aex_inp_Tier2_days_01_curr" vbProcedure="false">#REF!</definedName>
    <definedName function="false" hidden="true" name="aex_inp_Tier2_days_02_curr" vbProcedure="false">#REF!</definedName>
    <definedName function="false" hidden="true" name="aex_inp_Tier2_days_03_curr" vbProcedure="false">#REF!</definedName>
    <definedName function="false" hidden="true" name="aex_inp_Tier2_days_04_curr" vbProcedure="false">#REF!</definedName>
    <definedName function="false" hidden="true" name="aex_inp_Tier2_days_05_curr" vbProcedure="false">#REF!</definedName>
    <definedName function="false" hidden="true" name="aex_inp_Tier2_days_06_curr" vbProcedure="false">#REF!</definedName>
    <definedName function="false" hidden="true" name="aex_inp_Tier2_days_07_curr" vbProcedure="false">#REF!</definedName>
    <definedName function="false" hidden="true" name="aex_inp_Tier2_days_08_curr" vbProcedure="false">#REF!</definedName>
    <definedName function="false" hidden="true" name="aex_inp_Tier2_days_09_curr" vbProcedure="false">#REF!</definedName>
    <definedName function="false" hidden="true" name="aex_inp_Tier2_days_10_curr" vbProcedure="false">#REF!</definedName>
    <definedName function="false" hidden="true" name="aex_inp_Tier2_days_11_curr" vbProcedure="false">#REF!</definedName>
    <definedName function="false" hidden="true" name="aex_inp_Tier2_days_12_curr" vbProcedure="false">#REF!</definedName>
    <definedName function="false" hidden="true" name="aex_inp_Tier2_days_13_curr" vbProcedure="false">#REF!</definedName>
    <definedName function="false" hidden="true" name="aex_inp_Tier2_days_14_curr" vbProcedure="false">#REF!</definedName>
    <definedName function="false" hidden="true" name="aex_inp_Tier2_days_15_curr" vbProcedure="false">#REF!</definedName>
    <definedName function="false" hidden="true" name="aex_inp_Tier2_days_16_curr" vbProcedure="false">#REF!</definedName>
    <definedName function="false" hidden="true" name="aex_inp_Tier2_days_17_curr" vbProcedure="false">#REF!</definedName>
    <definedName function="false" hidden="true" name="aex_inp_Tier2_days_18_curr" vbProcedure="false">#REF!</definedName>
    <definedName function="false" hidden="true" name="aex_inp_Tier2_days_19_curr" vbProcedure="false">#REF!</definedName>
    <definedName function="false" hidden="true" name="aex_inp_Tier2_days_20_curr" vbProcedure="false">#REF!</definedName>
    <definedName function="false" hidden="true" name="aex_inp_Tier2_days_21_curr" vbProcedure="false">#REF!</definedName>
    <definedName function="false" hidden="true" name="aex_inp_Tier2_days_22_curr" vbProcedure="false">#REF!</definedName>
    <definedName function="false" hidden="true" name="aex_inp_Tier2_days_23_curr" vbProcedure="false">#REF!</definedName>
    <definedName function="false" hidden="true" name="aex_inp_Tier2_days_24_curr" vbProcedure="false">#REF!</definedName>
    <definedName function="false" hidden="true" name="aex_inp_Tier2_paid_amt_00_curr" vbProcedure="false">#REF!</definedName>
    <definedName function="false" hidden="true" name="aex_inp_Tier2_paid_amt_01_curr" vbProcedure="false">#REF!</definedName>
    <definedName function="false" hidden="true" name="aex_inp_Tier2_paid_amt_02_curr" vbProcedure="false">#REF!</definedName>
    <definedName function="false" hidden="true" name="aex_inp_Tier2_paid_amt_03_curr" vbProcedure="false">#REF!</definedName>
    <definedName function="false" hidden="true" name="aex_inp_Tier2_paid_amt_04_curr" vbProcedure="false">#REF!</definedName>
    <definedName function="false" hidden="true" name="aex_inp_Tier2_paid_amt_05_curr" vbProcedure="false">#REF!</definedName>
    <definedName function="false" hidden="true" name="aex_inp_Tier2_paid_amt_06_curr" vbProcedure="false">#REF!</definedName>
    <definedName function="false" hidden="true" name="aex_inp_Tier2_paid_amt_07_curr" vbProcedure="false">#REF!</definedName>
    <definedName function="false" hidden="true" name="aex_inp_Tier2_paid_amt_08_curr" vbProcedure="false">#REF!</definedName>
    <definedName function="false" hidden="true" name="aex_inp_Tier2_paid_amt_09_curr" vbProcedure="false">#REF!</definedName>
    <definedName function="false" hidden="true" name="aex_inp_Tier2_paid_amt_10_curr" vbProcedure="false">#REF!</definedName>
    <definedName function="false" hidden="true" name="aex_inp_Tier2_paid_amt_11_curr" vbProcedure="false">#REF!</definedName>
    <definedName function="false" hidden="true" name="aex_inp_Tier2_paid_amt_12_curr" vbProcedure="false">#REF!</definedName>
    <definedName function="false" hidden="true" name="aex_inp_Tier2_paid_amt_13_curr" vbProcedure="false">#REF!</definedName>
    <definedName function="false" hidden="true" name="aex_inp_Tier2_paid_amt_14_curr" vbProcedure="false">#REF!</definedName>
    <definedName function="false" hidden="true" name="aex_inp_Tier2_paid_amt_15_curr" vbProcedure="false">#REF!</definedName>
    <definedName function="false" hidden="true" name="aex_inp_Tier2_paid_amt_16_curr" vbProcedure="false">#REF!</definedName>
    <definedName function="false" hidden="true" name="aex_inp_Tier2_paid_amt_17_curr" vbProcedure="false">#REF!</definedName>
    <definedName function="false" hidden="true" name="aex_inp_Tier2_paid_amt_18_curr" vbProcedure="false">#REF!</definedName>
    <definedName function="false" hidden="true" name="aex_inp_Tier2_paid_amt_19_curr" vbProcedure="false">#REF!</definedName>
    <definedName function="false" hidden="true" name="aex_inp_Tier2_paid_amt_20_curr" vbProcedure="false">#REF!</definedName>
    <definedName function="false" hidden="true" name="aex_inp_Tier2_paid_amt_21_curr" vbProcedure="false">#REF!</definedName>
    <definedName function="false" hidden="true" name="aex_inp_Tier2_paid_amt_22_curr" vbProcedure="false">#REF!</definedName>
    <definedName function="false" hidden="true" name="aex_inp_Tier2_paid_amt_23_curr" vbProcedure="false">#REF!</definedName>
    <definedName function="false" hidden="true" name="aex_inp_Tier2_paid_amt_24_curr" vbProcedure="false">#REF!</definedName>
    <definedName function="false" hidden="true" name="aex_inp_Tier3_admits_00_curr" vbProcedure="false">#REF!</definedName>
    <definedName function="false" hidden="true" name="aex_inp_Tier3_admits_01_curr" vbProcedure="false">#REF!</definedName>
    <definedName function="false" hidden="true" name="aex_inp_Tier3_admits_02_curr" vbProcedure="false">#REF!</definedName>
    <definedName function="false" hidden="true" name="aex_inp_Tier3_admits_03_curr" vbProcedure="false">#REF!</definedName>
    <definedName function="false" hidden="true" name="aex_inp_Tier3_admits_04_curr" vbProcedure="false">#REF!</definedName>
    <definedName function="false" hidden="true" name="aex_inp_Tier3_admits_05_curr" vbProcedure="false">#REF!</definedName>
    <definedName function="false" hidden="true" name="aex_inp_Tier3_admits_06_curr" vbProcedure="false">#REF!</definedName>
    <definedName function="false" hidden="true" name="aex_inp_Tier3_admits_07_curr" vbProcedure="false">#REF!</definedName>
    <definedName function="false" hidden="true" name="aex_inp_Tier3_admits_08_curr" vbProcedure="false">#REF!</definedName>
    <definedName function="false" hidden="true" name="aex_inp_Tier3_admits_09_curr" vbProcedure="false">#REF!</definedName>
    <definedName function="false" hidden="true" name="aex_inp_Tier3_admits_10_curr" vbProcedure="false">#REF!</definedName>
    <definedName function="false" hidden="true" name="aex_inp_Tier3_admits_11_curr" vbProcedure="false">#REF!</definedName>
    <definedName function="false" hidden="true" name="aex_inp_Tier3_admits_12_curr" vbProcedure="false">#REF!</definedName>
    <definedName function="false" hidden="true" name="aex_inp_Tier3_admits_13_curr" vbProcedure="false">#REF!</definedName>
    <definedName function="false" hidden="true" name="aex_inp_Tier3_admits_14_curr" vbProcedure="false">#REF!</definedName>
    <definedName function="false" hidden="true" name="aex_inp_Tier3_admits_15_curr" vbProcedure="false">#REF!</definedName>
    <definedName function="false" hidden="true" name="aex_inp_Tier3_admits_16_curr" vbProcedure="false">#REF!</definedName>
    <definedName function="false" hidden="true" name="aex_inp_Tier3_admits_17_curr" vbProcedure="false">#REF!</definedName>
    <definedName function="false" hidden="true" name="aex_inp_Tier3_admits_18_curr" vbProcedure="false">#REF!</definedName>
    <definedName function="false" hidden="true" name="aex_inp_Tier3_admits_19_curr" vbProcedure="false">#REF!</definedName>
    <definedName function="false" hidden="true" name="aex_inp_Tier3_admits_20_curr" vbProcedure="false">#REF!</definedName>
    <definedName function="false" hidden="true" name="aex_inp_Tier3_admits_21_curr" vbProcedure="false">#REF!</definedName>
    <definedName function="false" hidden="true" name="aex_inp_Tier3_admits_22_curr" vbProcedure="false">#REF!</definedName>
    <definedName function="false" hidden="true" name="aex_inp_Tier3_admits_23_curr" vbProcedure="false">#REF!</definedName>
    <definedName function="false" hidden="true" name="aex_inp_Tier3_admits_24_curr" vbProcedure="false">#REF!</definedName>
    <definedName function="false" hidden="true" name="aex_inp_Tier3_days_00_curr" vbProcedure="false">#REF!</definedName>
    <definedName function="false" hidden="true" name="aex_inp_Tier3_days_01_curr" vbProcedure="false">#REF!</definedName>
    <definedName function="false" hidden="true" name="aex_inp_Tier3_days_02_curr" vbProcedure="false">#REF!</definedName>
    <definedName function="false" hidden="true" name="aex_inp_Tier3_days_03_curr" vbProcedure="false">#REF!</definedName>
    <definedName function="false" hidden="true" name="aex_inp_Tier3_days_04_curr" vbProcedure="false">#REF!</definedName>
    <definedName function="false" hidden="true" name="aex_inp_Tier3_days_05_curr" vbProcedure="false">#REF!</definedName>
    <definedName function="false" hidden="true" name="aex_inp_Tier3_days_06_curr" vbProcedure="false">#REF!</definedName>
    <definedName function="false" hidden="true" name="aex_inp_Tier3_days_07_curr" vbProcedure="false">#REF!</definedName>
    <definedName function="false" hidden="true" name="aex_inp_Tier3_days_08_curr" vbProcedure="false">#REF!</definedName>
    <definedName function="false" hidden="true" name="aex_inp_Tier3_days_09_curr" vbProcedure="false">#REF!</definedName>
    <definedName function="false" hidden="true" name="aex_inp_Tier3_days_10_curr" vbProcedure="false">#REF!</definedName>
    <definedName function="false" hidden="true" name="aex_inp_Tier3_days_11_curr" vbProcedure="false">#REF!</definedName>
    <definedName function="false" hidden="true" name="aex_inp_Tier3_days_12_curr" vbProcedure="false">#REF!</definedName>
    <definedName function="false" hidden="true" name="aex_inp_Tier3_days_13_curr" vbProcedure="false">#REF!</definedName>
    <definedName function="false" hidden="true" name="aex_inp_Tier3_days_14_curr" vbProcedure="false">#REF!</definedName>
    <definedName function="false" hidden="true" name="aex_inp_Tier3_days_15_curr" vbProcedure="false">#REF!</definedName>
    <definedName function="false" hidden="true" name="aex_inp_Tier3_days_16_curr" vbProcedure="false">#REF!</definedName>
    <definedName function="false" hidden="true" name="aex_inp_Tier3_days_17_curr" vbProcedure="false">#REF!</definedName>
    <definedName function="false" hidden="true" name="aex_inp_Tier3_days_18_curr" vbProcedure="false">#REF!</definedName>
    <definedName function="false" hidden="true" name="aex_inp_Tier3_days_19_curr" vbProcedure="false">#REF!</definedName>
    <definedName function="false" hidden="true" name="aex_inp_Tier3_days_20_curr" vbProcedure="false">#REF!</definedName>
    <definedName function="false" hidden="true" name="aex_inp_Tier3_days_21_curr" vbProcedure="false">#REF!</definedName>
    <definedName function="false" hidden="true" name="aex_inp_Tier3_days_22_curr" vbProcedure="false">#REF!</definedName>
    <definedName function="false" hidden="true" name="aex_inp_Tier3_days_23_curr" vbProcedure="false">#REF!</definedName>
    <definedName function="false" hidden="true" name="aex_inp_Tier3_days_24_curr" vbProcedure="false">#REF!</definedName>
    <definedName function="false" hidden="true" name="aex_inp_Tier3_paid_amt_00_curr" vbProcedure="false">#REF!</definedName>
    <definedName function="false" hidden="true" name="aex_inp_Tier3_paid_amt_01_curr" vbProcedure="false">#REF!</definedName>
    <definedName function="false" hidden="true" name="aex_inp_Tier3_paid_amt_02_curr" vbProcedure="false">#REF!</definedName>
    <definedName function="false" hidden="true" name="aex_inp_Tier3_paid_amt_03_curr" vbProcedure="false">#REF!</definedName>
    <definedName function="false" hidden="true" name="aex_inp_Tier3_paid_amt_04_curr" vbProcedure="false">#REF!</definedName>
    <definedName function="false" hidden="true" name="aex_inp_Tier3_paid_amt_05_curr" vbProcedure="false">#REF!</definedName>
    <definedName function="false" hidden="true" name="aex_inp_Tier3_paid_amt_06_curr" vbProcedure="false">#REF!</definedName>
    <definedName function="false" hidden="true" name="aex_inp_Tier3_paid_amt_07_curr" vbProcedure="false">#REF!</definedName>
    <definedName function="false" hidden="true" name="aex_inp_Tier3_paid_amt_08_curr" vbProcedure="false">#REF!</definedName>
    <definedName function="false" hidden="true" name="aex_inp_Tier3_paid_amt_09_curr" vbProcedure="false">#REF!</definedName>
    <definedName function="false" hidden="true" name="aex_inp_Tier3_paid_amt_10_curr" vbProcedure="false">#REF!</definedName>
    <definedName function="false" hidden="true" name="aex_inp_Tier3_paid_amt_11_curr" vbProcedure="false">#REF!</definedName>
    <definedName function="false" hidden="true" name="aex_inp_Tier3_paid_amt_12_curr" vbProcedure="false">#REF!</definedName>
    <definedName function="false" hidden="true" name="aex_inp_Tier3_paid_amt_13_curr" vbProcedure="false">#REF!</definedName>
    <definedName function="false" hidden="true" name="aex_inp_Tier3_paid_amt_14_curr" vbProcedure="false">#REF!</definedName>
    <definedName function="false" hidden="true" name="aex_inp_Tier3_paid_amt_15_curr" vbProcedure="false">#REF!</definedName>
    <definedName function="false" hidden="true" name="aex_inp_Tier3_paid_amt_16_curr" vbProcedure="false">#REF!</definedName>
    <definedName function="false" hidden="true" name="aex_inp_Tier3_paid_amt_17_curr" vbProcedure="false">#REF!</definedName>
    <definedName function="false" hidden="true" name="aex_inp_Tier3_paid_amt_18_curr" vbProcedure="false">#REF!</definedName>
    <definedName function="false" hidden="true" name="aex_inp_Tier3_paid_amt_19_curr" vbProcedure="false">#REF!</definedName>
    <definedName function="false" hidden="true" name="aex_inp_Tier3_paid_amt_20_curr" vbProcedure="false">#REF!</definedName>
    <definedName function="false" hidden="true" name="aex_inp_Tier3_paid_amt_21_curr" vbProcedure="false">#REF!</definedName>
    <definedName function="false" hidden="true" name="aex_inp_Tier3_paid_amt_22_curr" vbProcedure="false">#REF!</definedName>
    <definedName function="false" hidden="true" name="aex_inp_Tier3_paid_amt_23_curr" vbProcedure="false">#REF!</definedName>
    <definedName function="false" hidden="true" name="aex_inp_Tier3_paid_amt_24_curr" vbProcedure="false">#REF!</definedName>
    <definedName function="false" hidden="true" name="Aex_IP_MDC_Range" vbProcedure="false">#REF!</definedName>
    <definedName function="false" hidden="true" name="Aex_Medical_Cost_Category_Range" vbProcedure="false">#REF!</definedName>
    <definedName function="false" hidden="true" name="aex_Med_MDC_cd_00_curr" vbProcedure="false">#REF!</definedName>
    <definedName function="false" hidden="true" name="aex_Med_MDC_cd_01_curr" vbProcedure="false">#REF!</definedName>
    <definedName function="false" hidden="true" name="aex_Med_MDC_cd_02_curr" vbProcedure="false">#REF!</definedName>
    <definedName function="false" hidden="true" name="aex_Med_MDC_cd_03_curr" vbProcedure="false">#REF!</definedName>
    <definedName function="false" hidden="true" name="aex_Med_MDC_cd_04_curr" vbProcedure="false">#REF!</definedName>
    <definedName function="false" hidden="true" name="aex_Med_MDC_cd_05_curr" vbProcedure="false">#REF!</definedName>
    <definedName function="false" hidden="true" name="aex_Med_MDC_cd_06_curr" vbProcedure="false">#REF!</definedName>
    <definedName function="false" hidden="true" name="aex_Med_MDC_cd_07_curr" vbProcedure="false">#REF!</definedName>
    <definedName function="false" hidden="true" name="aex_Med_MDC_cd_08_curr" vbProcedure="false">#REF!</definedName>
    <definedName function="false" hidden="true" name="aex_Med_MDC_cd_09_curr" vbProcedure="false">#REF!</definedName>
    <definedName function="false" hidden="true" name="aex_Med_MDC_cd_10_curr" vbProcedure="false">#REF!</definedName>
    <definedName function="false" hidden="true" name="aex_Med_MDC_cd_11_curr" vbProcedure="false">#REF!</definedName>
    <definedName function="false" hidden="true" name="aex_Med_MDC_cd_12_curr" vbProcedure="false">#REF!</definedName>
    <definedName function="false" hidden="true" name="aex_Med_MDC_cd_13_curr" vbProcedure="false">#REF!</definedName>
    <definedName function="false" hidden="true" name="aex_Med_MDC_cd_14_curr" vbProcedure="false">#REF!</definedName>
    <definedName function="false" hidden="true" name="aex_Med_MDC_cd_15_curr" vbProcedure="false">#REF!</definedName>
    <definedName function="false" hidden="true" name="aex_Med_MDC_cd_16_curr" vbProcedure="false">#REF!</definedName>
    <definedName function="false" hidden="true" name="aex_Med_MDC_cd_17_curr" vbProcedure="false">#REF!</definedName>
    <definedName function="false" hidden="true" name="aex_Med_MDC_cd_18_curr" vbProcedure="false">#REF!</definedName>
    <definedName function="false" hidden="true" name="aex_Med_MDC_cd_19_curr" vbProcedure="false">#REF!</definedName>
    <definedName function="false" hidden="true" name="aex_Med_MDC_cd_20_curr" vbProcedure="false">#REF!</definedName>
    <definedName function="false" hidden="true" name="aex_Med_MDC_cd_21_curr" vbProcedure="false">#REF!</definedName>
    <definedName function="false" hidden="true" name="aex_Med_MDC_cd_22_curr" vbProcedure="false">#REF!</definedName>
    <definedName function="false" hidden="true" name="aex_Med_MDC_cd_23_curr" vbProcedure="false">#REF!</definedName>
    <definedName function="false" hidden="true" name="aex_Med_MDC_cd_24_curr" vbProcedure="false">#REF!</definedName>
    <definedName function="false" hidden="true" name="aex_OOC_Amb_Paid_Amt_curr" vbProcedure="false">#REF!</definedName>
    <definedName function="false" hidden="true" name="aex_OOC_Claimants_curr" vbProcedure="false">#REF!</definedName>
    <definedName function="false" hidden="true" name="aex_OOC_Inp_Paid_Amt_curr" vbProcedure="false">#REF!</definedName>
    <definedName function="false" hidden="true" name="aex_OOC_Paid_Amt_curr" vbProcedure="false">#REF!</definedName>
    <definedName function="false" hidden="true" name="aex_OON_paid_amt_amb_surgeries_curr" vbProcedure="false">#REF!</definedName>
    <definedName function="false" hidden="true" name="aex_OON_paid_amt_amb_visits_curr" vbProcedure="false">#REF!</definedName>
    <definedName function="false" hidden="true" name="aex_OON_paid_amt_er_visits_curr" vbProcedure="false">#REF!</definedName>
    <definedName function="false" hidden="true" name="aex_OON_paid_amt_home_health_visits_curr" vbProcedure="false">#REF!</definedName>
    <definedName function="false" hidden="true" name="aex_OON_paid_amt_inp_days_curr" vbProcedure="false">#REF!</definedName>
    <definedName function="false" hidden="true" name="aex_OON_paid_amt_inp_surgeries_curr" vbProcedure="false">#REF!</definedName>
    <definedName function="false" hidden="true" name="aex_OON_paid_amt_lab_services_curr" vbProcedure="false">#REF!</definedName>
    <definedName function="false" hidden="true" name="aex_OON_paid_amt_med_rx_curr" vbProcedure="false">#REF!</definedName>
    <definedName function="false" hidden="true" name="aex_OON_paid_amt_med_services_visits_curr" vbProcedure="false">#REF!</definedName>
    <definedName function="false" hidden="true" name="aex_OON_paid_amt_mental_health_visits_curr" vbProcedure="false">#REF!</definedName>
    <definedName function="false" hidden="true" name="aex_OON_paid_amt_misc_med_curr" vbProcedure="false">#REF!</definedName>
    <definedName function="false" hidden="true" name="aex_OON_paid_amt_off_surgeries_curr" vbProcedure="false">#REF!</definedName>
    <definedName function="false" hidden="true" name="aex_OON_paid_amt_other_spec_off_visits_curr" vbProcedure="false">#REF!</definedName>
    <definedName function="false" hidden="true" name="aex_OON_paid_amt_primary_off_visits_curr" vbProcedure="false">#REF!</definedName>
    <definedName function="false" hidden="true" name="aex_OON_paid_amt_radiology_services_curr" vbProcedure="false">#REF!</definedName>
    <definedName function="false" hidden="true" name="aex_OON_paid_amt_spec_off_visits_curr" vbProcedure="false">#REF!</definedName>
    <definedName function="false" hidden="true" name="aex_OON_paid_amt_total_curr" vbProcedure="false">#REF!</definedName>
    <definedName function="false" hidden="true" name="aex_oon_paid_amt_tot_curr" vbProcedure="false">#REF!</definedName>
    <definedName function="false" hidden="true" name="aex_oon_paid_amt_tot_prior" vbProcedure="false">#REF!</definedName>
    <definedName function="false" hidden="true" name="aex_OON_Util_amb_surgeries_curr" vbProcedure="false">#REF!</definedName>
    <definedName function="false" hidden="true" name="aex_OON_Util_amb_visits_curr" vbProcedure="false">#REF!</definedName>
    <definedName function="false" hidden="true" name="aex_OON_Util_er_visits_curr" vbProcedure="false">#REF!</definedName>
    <definedName function="false" hidden="true" name="aex_OON_Util_home_health_visits_curr" vbProcedure="false">#REF!</definedName>
    <definedName function="false" hidden="true" name="aex_OON_Util_inp_days_curr" vbProcedure="false">#REF!</definedName>
    <definedName function="false" hidden="true" name="aex_OON_Util_inp_surgeries_curr" vbProcedure="false">#REF!</definedName>
    <definedName function="false" hidden="true" name="aex_OON_Util_lab_services_curr" vbProcedure="false">#REF!</definedName>
    <definedName function="false" hidden="true" name="aex_OON_Util_med_rx_curr" vbProcedure="false">#REF!</definedName>
    <definedName function="false" hidden="true" name="aex_OON_Util_med_services_visits_curr" vbProcedure="false">#REF!</definedName>
    <definedName function="false" hidden="true" name="aex_OON_Util_mental_health_visits_curr" vbProcedure="false">#REF!</definedName>
    <definedName function="false" hidden="true" name="aex_OON_Util_misc_med_curr" vbProcedure="false">#REF!</definedName>
    <definedName function="false" hidden="true" name="aex_OON_Util_off_surgeries_curr" vbProcedure="false">#REF!</definedName>
    <definedName function="false" hidden="true" name="aex_OON_Util_other_spec_off_visits_curr" vbProcedure="false">#REF!</definedName>
    <definedName function="false" hidden="true" name="aex_OON_Util_primary_off_visits_curr" vbProcedure="false">#REF!</definedName>
    <definedName function="false" hidden="true" name="aex_OON_Util_radiology_services_curr" vbProcedure="false">#REF!</definedName>
    <definedName function="false" hidden="true" name="aex_OON_Util_spec_off_visits_curr" vbProcedure="false">#REF!</definedName>
    <definedName function="false" hidden="true" name="aex_OON_Util_total_curr" vbProcedure="false">#REF!</definedName>
    <definedName function="false" hidden="true" name="aex_oon_utlilization_tot_curr" vbProcedure="false">#REF!</definedName>
    <definedName function="false" hidden="true" name="aex_oon_utlilization_tot_prior" vbProcedure="false">#REF!</definedName>
    <definedName function="false" hidden="true" name="Aex_Professional_Experience_Range" vbProcedure="false">#REF!</definedName>
    <definedName function="false" hidden="true" name="aex_Tier1_Amb_Paid_Amt_curr" vbProcedure="false">#REF!</definedName>
    <definedName function="false" hidden="true" name="aex_Tier1_Claimants_curr" vbProcedure="false">#REF!</definedName>
    <definedName function="false" hidden="true" name="aex_Tier1_Inp_Paid_Amt_curr" vbProcedure="false">#REF!</definedName>
    <definedName function="false" hidden="true" name="aex_Tier1_paid_amt_amb_surgeries_curr" vbProcedure="false">#REF!</definedName>
    <definedName function="false" hidden="true" name="aex_Tier1_paid_amt_amb_visits_curr" vbProcedure="false">#REF!</definedName>
    <definedName function="false" hidden="true" name="aex_Tier1_Paid_Amt_curr" vbProcedure="false">#REF!</definedName>
    <definedName function="false" hidden="true" name="aex_Tier1_paid_amt_er_visits_curr" vbProcedure="false">#REF!</definedName>
    <definedName function="false" hidden="true" name="aex_Tier1_paid_amt_home_health_visits_curr" vbProcedure="false">#REF!</definedName>
    <definedName function="false" hidden="true" name="aex_Tier1_paid_amt_inp_days_curr" vbProcedure="false">#REF!</definedName>
    <definedName function="false" hidden="true" name="aex_Tier1_paid_amt_inp_surgeries_curr" vbProcedure="false">#REF!</definedName>
    <definedName function="false" hidden="true" name="aex_Tier1_paid_amt_lab_services_curr" vbProcedure="false">#REF!</definedName>
    <definedName function="false" hidden="true" name="aex_Tier1_paid_amt_med_rx_curr" vbProcedure="false">#REF!</definedName>
    <definedName function="false" hidden="true" name="aex_Tier1_paid_amt_med_services_visits_curr" vbProcedure="false">#REF!</definedName>
    <definedName function="false" hidden="true" name="aex_Tier1_paid_amt_mental_health_visits_curr" vbProcedure="false">#REF!</definedName>
    <definedName function="false" hidden="true" name="aex_Tier1_paid_amt_misc_med_curr" vbProcedure="false">#REF!</definedName>
    <definedName function="false" hidden="true" name="aex_Tier1_paid_amt_off_surgeries_curr" vbProcedure="false">#REF!</definedName>
    <definedName function="false" hidden="true" name="aex_Tier1_paid_amt_other_spec_off_visits_curr" vbProcedure="false">#REF!</definedName>
    <definedName function="false" hidden="true" name="aex_Tier1_paid_amt_primary_off_visits_curr" vbProcedure="false">#REF!</definedName>
    <definedName function="false" hidden="true" name="aex_Tier1_paid_amt_radiology_services_curr" vbProcedure="false">#REF!</definedName>
    <definedName function="false" hidden="true" name="aex_Tier1_paid_amt_spec_off_visits_curr" vbProcedure="false">#REF!</definedName>
    <definedName function="false" hidden="true" name="aex_Tier1_paid_amt_total_curr" vbProcedure="false">#REF!</definedName>
    <definedName function="false" hidden="true" name="aex_tier1_paid_amt_tot_curr" vbProcedure="false">#REF!</definedName>
    <definedName function="false" hidden="true" name="aex_tier1_paid_amt_tot_prior" vbProcedure="false">#REF!</definedName>
    <definedName function="false" hidden="true" name="aex_Tier1_Util_amb_surgeries_curr" vbProcedure="false">#REF!</definedName>
    <definedName function="false" hidden="true" name="aex_Tier1_Util_amb_visits_curr" vbProcedure="false">#REF!</definedName>
    <definedName function="false" hidden="true" name="aex_Tier1_Util_er_visits_curr" vbProcedure="false">#REF!</definedName>
    <definedName function="false" hidden="true" name="aex_Tier1_Util_home_health_visits_curr" vbProcedure="false">#REF!</definedName>
    <definedName function="false" hidden="true" name="aex_Tier1_Util_inp_days_curr" vbProcedure="false">#REF!</definedName>
    <definedName function="false" hidden="true" name="aex_Tier1_Util_inp_surgeries_curr" vbProcedure="false">#REF!</definedName>
    <definedName function="false" hidden="true" name="aex_Tier1_Util_lab_services_curr" vbProcedure="false">#REF!</definedName>
    <definedName function="false" hidden="true" name="aex_Tier1_Util_med_rx_curr" vbProcedure="false">#REF!</definedName>
    <definedName function="false" hidden="true" name="aex_Tier1_Util_med_services_visits_curr" vbProcedure="false">#REF!</definedName>
    <definedName function="false" hidden="true" name="aex_Tier1_Util_mental_health_visits_curr" vbProcedure="false">#REF!</definedName>
    <definedName function="false" hidden="true" name="aex_Tier1_Util_misc_med_curr" vbProcedure="false">#REF!</definedName>
    <definedName function="false" hidden="true" name="aex_Tier1_Util_off_surgeries_curr" vbProcedure="false">#REF!</definedName>
    <definedName function="false" hidden="true" name="aex_Tier1_Util_other_spec_off_visits_curr" vbProcedure="false">#REF!</definedName>
    <definedName function="false" hidden="true" name="aex_Tier1_Util_primary_off_visits_curr" vbProcedure="false">#REF!</definedName>
    <definedName function="false" hidden="true" name="aex_Tier1_Util_radiology_services_curr" vbProcedure="false">#REF!</definedName>
    <definedName function="false" hidden="true" name="aex_Tier1_Util_spec_off_visits_curr" vbProcedure="false">#REF!</definedName>
    <definedName function="false" hidden="true" name="aex_Tier1_Util_total_curr" vbProcedure="false">#REF!</definedName>
    <definedName function="false" hidden="true" name="aex_tier1_utlilization_tot_curr" vbProcedure="false">#REF!</definedName>
    <definedName function="false" hidden="true" name="aex_tier1_utlilization_tot_prior" vbProcedure="false">#REF!</definedName>
    <definedName function="false" hidden="true" name="aex_Tier2_Amb_Paid_Amt_curr" vbProcedure="false">#REF!</definedName>
    <definedName function="false" hidden="true" name="aex_Tier2_Claimants_curr" vbProcedure="false">#REF!</definedName>
    <definedName function="false" hidden="true" name="aex_Tier2_Inp_Paid_Amt_curr" vbProcedure="false">#REF!</definedName>
    <definedName function="false" hidden="true" name="aex_Tier2_paid_amt_amb_surgeries_curr" vbProcedure="false">#REF!</definedName>
    <definedName function="false" hidden="true" name="aex_Tier2_paid_amt_amb_visits_curr" vbProcedure="false">#REF!</definedName>
    <definedName function="false" hidden="true" name="aex_Tier2_Paid_Amt_curr" vbProcedure="false">#REF!</definedName>
    <definedName function="false" hidden="true" name="aex_Tier2_paid_amt_er_visits_curr" vbProcedure="false">#REF!</definedName>
    <definedName function="false" hidden="true" name="aex_Tier2_paid_amt_home_health_visits_curr" vbProcedure="false">#REF!</definedName>
    <definedName function="false" hidden="true" name="aex_Tier2_paid_amt_inp_days_curr" vbProcedure="false">#REF!</definedName>
    <definedName function="false" hidden="true" name="aex_Tier2_paid_amt_inp_surgeries_curr" vbProcedure="false">#REF!</definedName>
    <definedName function="false" hidden="true" name="aex_Tier2_paid_amt_lab_services_curr" vbProcedure="false">#REF!</definedName>
    <definedName function="false" hidden="true" name="aex_Tier2_paid_amt_med_rx_curr" vbProcedure="false">#REF!</definedName>
    <definedName function="false" hidden="true" name="aex_Tier2_paid_amt_med_services_visits_curr" vbProcedure="false">#REF!</definedName>
    <definedName function="false" hidden="true" name="aex_Tier2_paid_amt_mental_health_visits_curr" vbProcedure="false">#REF!</definedName>
    <definedName function="false" hidden="true" name="aex_Tier2_paid_amt_misc_med_curr" vbProcedure="false">#REF!</definedName>
    <definedName function="false" hidden="true" name="aex_Tier2_paid_amt_off_surgeries_curr" vbProcedure="false">#REF!</definedName>
    <definedName function="false" hidden="true" name="aex_Tier2_paid_amt_other_spec_off_visits_curr" vbProcedure="false">#REF!</definedName>
    <definedName function="false" hidden="true" name="aex_Tier2_paid_amt_primary_off_visits_curr" vbProcedure="false">#REF!</definedName>
    <definedName function="false" hidden="true" name="aex_Tier2_paid_amt_radiology_services_curr" vbProcedure="false">#REF!</definedName>
    <definedName function="false" hidden="true" name="aex_Tier2_paid_amt_spec_off_visits_curr" vbProcedure="false">#REF!</definedName>
    <definedName function="false" hidden="true" name="aex_Tier2_paid_amt_total_curr" vbProcedure="false">#REF!</definedName>
    <definedName function="false" hidden="true" name="aex_tier2_paid_amt_tot_curr" vbProcedure="false">#REF!</definedName>
    <definedName function="false" hidden="true" name="aex_tier2_paid_amt_tot_prior" vbProcedure="false">#REF!</definedName>
    <definedName function="false" hidden="true" name="aex_Tier2_Util_amb_surgeries_curr" vbProcedure="false">#REF!</definedName>
    <definedName function="false" hidden="true" name="aex_Tier2_Util_amb_visits_curr" vbProcedure="false">#REF!</definedName>
    <definedName function="false" hidden="true" name="aex_Tier2_Util_er_visits_curr" vbProcedure="false">#REF!</definedName>
    <definedName function="false" hidden="true" name="aex_Tier2_Util_home_health_visits_curr" vbProcedure="false">#REF!</definedName>
    <definedName function="false" hidden="true" name="aex_Tier2_Util_inp_days_curr" vbProcedure="false">#REF!</definedName>
    <definedName function="false" hidden="true" name="aex_Tier2_Util_inp_surgeries_curr" vbProcedure="false">#REF!</definedName>
    <definedName function="false" hidden="true" name="aex_Tier2_Util_lab_services_curr" vbProcedure="false">#REF!</definedName>
    <definedName function="false" hidden="true" name="aex_Tier2_Util_med_rx_curr" vbProcedure="false">#REF!</definedName>
    <definedName function="false" hidden="true" name="aex_Tier2_Util_med_services_visits_curr" vbProcedure="false">#REF!</definedName>
    <definedName function="false" hidden="true" name="aex_Tier2_Util_mental_health_visits_curr" vbProcedure="false">#REF!</definedName>
    <definedName function="false" hidden="true" name="aex_Tier2_Util_misc_med_curr" vbProcedure="false">#REF!</definedName>
    <definedName function="false" hidden="true" name="aex_Tier2_Util_off_surgeries_curr" vbProcedure="false">#REF!</definedName>
    <definedName function="false" hidden="true" name="aex_Tier2_Util_other_spec_off_visits_curr" vbProcedure="false">#REF!</definedName>
    <definedName function="false" hidden="true" name="aex_Tier2_Util_primary_off_visits_curr" vbProcedure="false">#REF!</definedName>
    <definedName function="false" hidden="true" name="aex_Tier2_Util_radiology_services_curr" vbProcedure="false">#REF!</definedName>
    <definedName function="false" hidden="true" name="aex_Tier2_Util_spec_off_visits_curr" vbProcedure="false">#REF!</definedName>
    <definedName function="false" hidden="true" name="aex_Tier2_Util_total_curr" vbProcedure="false">#REF!</definedName>
    <definedName function="false" hidden="true" name="aex_tier2_utlilization_tot_curr" vbProcedure="false">#REF!</definedName>
    <definedName function="false" hidden="true" name="aex_tier2_utlilization_tot_prior" vbProcedure="false">#REF!</definedName>
    <definedName function="false" hidden="true" name="aex_Tier3_Amb_Paid_Amt_curr" vbProcedure="false">#REF!</definedName>
    <definedName function="false" hidden="true" name="aex_Tier3_Claimants_curr" vbProcedure="false">#REF!</definedName>
    <definedName function="false" hidden="true" name="aex_Tier3_Inp_Paid_Amt_curr" vbProcedure="false">#REF!</definedName>
    <definedName function="false" hidden="true" name="aex_Tier3_paid_amt_amb_surgeries_curr" vbProcedure="false">#REF!</definedName>
    <definedName function="false" hidden="true" name="aex_Tier3_paid_amt_amb_visits_curr" vbProcedure="false">#REF!</definedName>
    <definedName function="false" hidden="true" name="aex_Tier3_Paid_Amt_curr" vbProcedure="false">#REF!</definedName>
    <definedName function="false" hidden="true" name="aex_Tier3_paid_amt_er_visits_curr" vbProcedure="false">#REF!</definedName>
    <definedName function="false" hidden="true" name="aex_Tier3_paid_amt_home_health_visits_curr" vbProcedure="false">#REF!</definedName>
    <definedName function="false" hidden="true" name="aex_Tier3_paid_amt_inp_days_curr" vbProcedure="false">#REF!</definedName>
    <definedName function="false" hidden="true" name="aex_Tier3_paid_amt_inp_surgeries_curr" vbProcedure="false">#REF!</definedName>
    <definedName function="false" hidden="true" name="aex_Tier3_paid_amt_lab_services_curr" vbProcedure="false">#REF!</definedName>
    <definedName function="false" hidden="true" name="aex_Tier3_paid_amt_med_rx_curr" vbProcedure="false">#REF!</definedName>
    <definedName function="false" hidden="true" name="aex_Tier3_paid_amt_med_services_visits_curr" vbProcedure="false">#REF!</definedName>
    <definedName function="false" hidden="true" name="aex_Tier3_paid_amt_mental_health_visits_curr" vbProcedure="false">#REF!</definedName>
    <definedName function="false" hidden="true" name="aex_Tier3_paid_amt_misc_med_curr" vbProcedure="false">#REF!</definedName>
    <definedName function="false" hidden="true" name="aex_Tier3_paid_amt_off_surgeries_curr" vbProcedure="false">#REF!</definedName>
    <definedName function="false" hidden="true" name="aex_Tier3_paid_amt_other_spec_off_visits_curr" vbProcedure="false">#REF!</definedName>
    <definedName function="false" hidden="true" name="aex_Tier3_paid_amt_primary_off_visits_curr" vbProcedure="false">#REF!</definedName>
    <definedName function="false" hidden="true" name="aex_Tier3_paid_amt_radiology_services_curr" vbProcedure="false">#REF!</definedName>
    <definedName function="false" hidden="true" name="aex_Tier3_paid_amt_spec_off_visits_curr" vbProcedure="false">#REF!</definedName>
    <definedName function="false" hidden="true" name="aex_Tier3_paid_amt_total_curr" vbProcedure="false">#REF!</definedName>
    <definedName function="false" hidden="true" name="aex_tier3_paid_amt_tot_curr" vbProcedure="false">#REF!</definedName>
    <definedName function="false" hidden="true" name="aex_tier3_paid_amt_tot_prior" vbProcedure="false">#REF!</definedName>
    <definedName function="false" hidden="true" name="aex_Tier3_Util_amb_surgeries_curr" vbProcedure="false">#REF!</definedName>
    <definedName function="false" hidden="true" name="aex_Tier3_Util_amb_visits_curr" vbProcedure="false">#REF!</definedName>
    <definedName function="false" hidden="true" name="aex_Tier3_Util_er_visits_curr" vbProcedure="false">#REF!</definedName>
    <definedName function="false" hidden="true" name="aex_Tier3_Util_home_health_visits_curr" vbProcedure="false">#REF!</definedName>
    <definedName function="false" hidden="true" name="aex_Tier3_Util_inp_days_curr" vbProcedure="false">#REF!</definedName>
    <definedName function="false" hidden="true" name="aex_Tier3_Util_inp_surgeries_curr" vbProcedure="false">#REF!</definedName>
    <definedName function="false" hidden="true" name="aex_Tier3_Util_lab_services_curr" vbProcedure="false">#REF!</definedName>
    <definedName function="false" hidden="true" name="aex_Tier3_Util_med_rx_curr" vbProcedure="false">#REF!</definedName>
    <definedName function="false" hidden="true" name="aex_Tier3_Util_med_services_visits_curr" vbProcedure="false">#REF!</definedName>
    <definedName function="false" hidden="true" name="aex_Tier3_Util_mental_health_visits_curr" vbProcedure="false">#REF!</definedName>
    <definedName function="false" hidden="true" name="aex_Tier3_Util_misc_med_curr" vbProcedure="false">#REF!</definedName>
    <definedName function="false" hidden="true" name="aex_Tier3_Util_off_surgeries_curr" vbProcedure="false">#REF!</definedName>
    <definedName function="false" hidden="true" name="aex_Tier3_Util_other_spec_off_visits_curr" vbProcedure="false">#REF!</definedName>
    <definedName function="false" hidden="true" name="aex_Tier3_Util_primary_off_visits_curr" vbProcedure="false">#REF!</definedName>
    <definedName function="false" hidden="true" name="aex_Tier3_Util_radiology_services_curr" vbProcedure="false">#REF!</definedName>
    <definedName function="false" hidden="true" name="aex_Tier3_Util_spec_off_visits_curr" vbProcedure="false">#REF!</definedName>
    <definedName function="false" hidden="true" name="aex_Tier3_Util_total_curr" vbProcedure="false">#REF!</definedName>
    <definedName function="false" hidden="true" name="aex_tier3_utlilization_tot_curr" vbProcedure="false">#REF!</definedName>
    <definedName function="false" hidden="true" name="aex_tier3_utlilization_tot_prior" vbProcedure="false">#REF!</definedName>
    <definedName function="false" hidden="true" name="aex_TOT_Amb_Paid_Amt_curr" vbProcedure="false">#REF!</definedName>
    <definedName function="false" hidden="true" name="aex_TOT_Claimants_curr" vbProcedure="false">#REF!</definedName>
    <definedName function="false" hidden="true" name="aex_TOT_Inp_Paid_Amt_curr" vbProcedure="false">#REF!</definedName>
    <definedName function="false" hidden="true" name="aex_TOT_Paid_Amt_curr" vbProcedure="false">#REF!</definedName>
    <definedName function="false" hidden="false" name="af" vbProcedure="false">#REF!</definedName>
    <definedName function="false" hidden="true" name="AFDADSFDAS" vbProcedure="false">{#N/A,#N/A,FALSE,"REPORT"}</definedName>
    <definedName function="false" hidden="false" name="afdsas" vbProcedure="false">{"Mcp08.PrintRep",""}</definedName>
    <definedName function="false" hidden="false" name="AFFN_BegDealYear" vbProcedure="false">#REF!</definedName>
    <definedName function="false" hidden="false" name="AFFN_CapStructure" vbProcedure="false">#REF!</definedName>
    <definedName function="false" hidden="false" name="AFFN_CloseDate" vbProcedure="false">#REF!</definedName>
    <definedName function="false" hidden="false" name="AFFN_DealYear" vbProcedure="false">#REF!</definedName>
    <definedName function="false" hidden="false" name="AFFN_EndDealYear" vbProcedure="false">#REF!</definedName>
    <definedName function="false" hidden="false" name="AFFN_ExitDate" vbProcedure="false">#REF!</definedName>
    <definedName function="false" hidden="false" name="AFFN_ExitMultiple" vbProcedure="false">#REF!</definedName>
    <definedName function="false" hidden="false" name="AFFN_ExitYear" vbProcedure="false">#REF!</definedName>
    <definedName function="false" hidden="false" name="AFFN_FundCarryRate" vbProcedure="false">#REF!</definedName>
    <definedName function="false" hidden="false" name="AFFN_FundName" vbProcedure="false">#REF!</definedName>
    <definedName function="false" hidden="false" name="AFFN_FYE" vbProcedure="false">#REF!</definedName>
    <definedName function="false" hidden="false" name="AFFN_ISDetail" vbProcedure="false">#REF!</definedName>
    <definedName function="false" hidden="false" name="AFFN_PreCloseMonths" vbProcedure="false">#REF!</definedName>
    <definedName function="false" hidden="false" name="AFFN_PrintVersion" vbProcedure="false">#REF!</definedName>
    <definedName function="false" hidden="false" name="AFFN_QuarterExit" vbProcedure="false">#REF!</definedName>
    <definedName function="false" hidden="false" name="AFFN_Scenario" vbProcedure="false">#REF!</definedName>
    <definedName function="false" hidden="false" name="AFFN_TaxRate" vbProcedure="false">#REF!</definedName>
    <definedName function="false" hidden="false" name="AFFN_YearFraction" vbProcedure="false">#REF!</definedName>
    <definedName function="false" hidden="true" name="africa" vbProcedure="false">{#N/A,#N/A,FALSE,"CNS";#N/A,#N/A,FALSE,"Serz";#N/A,#N/A,FALSE,"Ace"}</definedName>
    <definedName function="false" hidden="true" name="agafdhsdh" vbProcedure="false">{#N/A,#N/A,FALSE,"REPORT"}</definedName>
    <definedName function="false" hidden="false" name="Aging_percent" vbProcedure="false">#REF!,#REF!</definedName>
    <definedName function="false" hidden="true" name="agsgaghgfj" vbProcedure="false">{#N/A,#N/A,FALSE,"Pharm";#N/A,#N/A,FALSE,"WWCM"}</definedName>
    <definedName function="false" hidden="true" name="AHFFamilyDollarsCurr" vbProcedure="false">#REF!</definedName>
    <definedName function="false" hidden="true" name="AHF_Activity_By_Tier_Range" vbProcedure="false">#REF!</definedName>
    <definedName function="false" hidden="true" name="AHF_Activity_Detail_Range" vbProcedure="false">#REF!</definedName>
    <definedName function="false" hidden="true" name="ahf_act_emp_fund_paid_curr" vbProcedure="false">#REF!</definedName>
    <definedName function="false" hidden="true" name="ahf_act_emp_plus_1_fund_paid_curr" vbProcedure="false">#REF!</definedName>
    <definedName function="false" hidden="true" name="ahf_act_emp_plus_2_fund_paid_curr" vbProcedure="false">#REF!</definedName>
    <definedName function="false" hidden="true" name="ahf_act_emp_plus_fam_fund_paid_curr" vbProcedure="false">#REF!</definedName>
    <definedName function="false" hidden="true" name="ahf_act_total_fund_paid_curr" vbProcedure="false">#REF!</definedName>
    <definedName function="false" hidden="true" name="ahf_ahf_paid_amt_female_0_19_curr" vbProcedure="false">#REF!</definedName>
    <definedName function="false" hidden="true" name="ahf_ahf_paid_amt_female_20_44_curr" vbProcedure="false">#REF!</definedName>
    <definedName function="false" hidden="true" name="ahf_ahf_paid_amt_female_45_64_curr" vbProcedure="false">#REF!</definedName>
    <definedName function="false" hidden="true" name="ahf_ahf_paid_amt_female_65_over_curr" vbProcedure="false">#REF!</definedName>
    <definedName function="false" hidden="true" name="ahf_ahf_paid_amt_male_0_19_curr" vbProcedure="false">#REF!</definedName>
    <definedName function="false" hidden="true" name="ahf_ahf_paid_amt_male_20_44_curr" vbProcedure="false">#REF!</definedName>
    <definedName function="false" hidden="true" name="ahf_ahf_paid_amt_male_45_64_curr" vbProcedure="false">#REF!</definedName>
    <definedName function="false" hidden="true" name="ahf_ahf_paid_amt_male_65_over_curr" vbProcedure="false">#REF!</definedName>
    <definedName function="false" hidden="true" name="ahf_ahf_paid_amt_total_0_19_curr" vbProcedure="false">#REF!</definedName>
    <definedName function="false" hidden="true" name="ahf_ahf_paid_amt_total_curr" vbProcedure="false">#REF!</definedName>
    <definedName function="false" hidden="true" name="ahf_ahf_paid_amt_total_prior" vbProcedure="false">#REF!</definedName>
    <definedName function="false" hidden="true" name="ahf_ahf_paid_amt_unknown_0_19_curr" vbProcedure="false">#REF!</definedName>
    <definedName function="false" hidden="true" name="ahf_ahf_paid_amt_unknown_20_44_curr" vbProcedure="false">#REF!</definedName>
    <definedName function="false" hidden="true" name="ahf_ahf_paid_amt_unknown_45_64_curr" vbProcedure="false">#REF!</definedName>
    <definedName function="false" hidden="true" name="ahf_ahf_paid_amt_unknown_65_over_curr" vbProcedure="false">#REF!</definedName>
    <definedName function="false" hidden="true" name="ahf_bnft_plan_paid_amt_female_0_19_curr" vbProcedure="false">#REF!</definedName>
    <definedName function="false" hidden="true" name="ahf_bnft_plan_paid_amt_female_20_44_curr" vbProcedure="false">#REF!</definedName>
    <definedName function="false" hidden="true" name="ahf_bnft_plan_paid_amt_female_45_64_curr" vbProcedure="false">#REF!</definedName>
    <definedName function="false" hidden="true" name="ahf_bnft_plan_paid_amt_female_65_over_curr" vbProcedure="false">#REF!</definedName>
    <definedName function="false" hidden="true" name="ahf_bnft_plan_paid_amt_male_0_19_curr" vbProcedure="false">#REF!</definedName>
    <definedName function="false" hidden="true" name="ahf_bnft_plan_paid_amt_male_20_44_curr" vbProcedure="false">#REF!</definedName>
    <definedName function="false" hidden="true" name="ahf_bnft_plan_paid_amt_male_45_64_curr" vbProcedure="false">#REF!</definedName>
    <definedName function="false" hidden="true" name="ahf_bnft_plan_paid_amt_male_65_over_curr" vbProcedure="false">#REF!</definedName>
    <definedName function="false" hidden="true" name="ahf_bnft_plan_paid_amt_total_0_19_curr" vbProcedure="false">#REF!</definedName>
    <definedName function="false" hidden="true" name="ahf_bnft_plan_paid_amt_total_curr" vbProcedure="false">#REF!</definedName>
    <definedName function="false" hidden="true" name="ahf_bnft_plan_paid_amt_total_prior" vbProcedure="false">#REF!</definedName>
    <definedName function="false" hidden="true" name="ahf_bnft_plan_paid_amt_unknown_0_19_curr" vbProcedure="false">#REF!</definedName>
    <definedName function="false" hidden="true" name="ahf_bnft_plan_paid_amt_unknown_20_44_curr" vbProcedure="false">#REF!</definedName>
    <definedName function="false" hidden="true" name="ahf_bnft_plan_paid_amt_unknown_45_64_curr" vbProcedure="false">#REF!</definedName>
    <definedName function="false" hidden="true" name="ahf_bnft_plan_paid_amt_unknown_65_over_curr" vbProcedure="false">#REF!</definedName>
    <definedName function="false" hidden="true" name="ahf_calc_ing_cost_amt_female_0_19_curr" vbProcedure="false">#REF!</definedName>
    <definedName function="false" hidden="true" name="ahf_calc_ing_cost_amt_female_20_44_curr" vbProcedure="false">#REF!</definedName>
    <definedName function="false" hidden="true" name="ahf_calc_ing_cost_amt_female_45_64_curr" vbProcedure="false">#REF!</definedName>
    <definedName function="false" hidden="true" name="ahf_calc_ing_cost_amt_female_65_over_curr" vbProcedure="false">#REF!</definedName>
    <definedName function="false" hidden="true" name="ahf_calc_ing_cost_amt_male_0_19_curr" vbProcedure="false">#REF!</definedName>
    <definedName function="false" hidden="true" name="ahf_calc_ing_cost_amt_male_20_44_curr" vbProcedure="false">#REF!</definedName>
    <definedName function="false" hidden="true" name="ahf_calc_ing_cost_amt_male_45_64_curr" vbProcedure="false">#REF!</definedName>
    <definedName function="false" hidden="true" name="ahf_calc_ing_cost_amt_male_65_over_curr" vbProcedure="false">#REF!</definedName>
    <definedName function="false" hidden="true" name="ahf_calc_ing_cost_amt_total_0_19_curr" vbProcedure="false">#REF!</definedName>
    <definedName function="false" hidden="true" name="ahf_calc_ing_cost_amt_total_curr" vbProcedure="false">#REF!</definedName>
    <definedName function="false" hidden="true" name="ahf_calc_ing_cost_amt_total_prior" vbProcedure="false">#REF!</definedName>
    <definedName function="false" hidden="true" name="ahf_calc_ing_cost_amt_unknown_0_19_curr" vbProcedure="false">#REF!</definedName>
    <definedName function="false" hidden="true" name="ahf_calc_ing_cost_amt_unknown_20_44_curr" vbProcedure="false">#REF!</definedName>
    <definedName function="false" hidden="true" name="ahf_calc_ing_cost_amt_unknown_45_64_curr" vbProcedure="false">#REF!</definedName>
    <definedName function="false" hidden="true" name="ahf_calc_ing_cost_amt_unknown_65_over_curr" vbProcedure="false">#REF!</definedName>
    <definedName function="false" hidden="true" name="ahf_dental_expenses_curr" vbProcedure="false">#REF!</definedName>
    <definedName function="false" hidden="true" name="ahf_dental_expenses_prior" vbProcedure="false">#REF!</definedName>
    <definedName function="false" hidden="true" name="AHF_Fund_Report_Range" vbProcedure="false">#REF!</definedName>
    <definedName function="false" hidden="true" name="AHF_Medical_by_Family_Range" vbProcedure="false">#REF!</definedName>
    <definedName function="false" hidden="true" name="AHF_Medical_by_Member_Range" vbProcedure="false">#REF!</definedName>
    <definedName function="false" hidden="true" name="AHF_Medical_Cost_Category_Range" vbProcedure="false">#REF!</definedName>
    <definedName function="false" hidden="true" name="AHF_Medical_Demographics_Range" vbProcedure="false">#REF!</definedName>
    <definedName function="false" hidden="true" name="ahf_medical_expenses_curr" vbProcedure="false">#REF!</definedName>
    <definedName function="false" hidden="true" name="ahf_medical_expenses_prior" vbProcedure="false">#REF!</definedName>
    <definedName function="false" hidden="true" name="AHF_Medical_Key_Statistics_Range" vbProcedure="false">#REF!</definedName>
    <definedName function="false" hidden="true" name="AHF_Med_admit_count_curr" vbProcedure="false">#REF!</definedName>
    <definedName function="false" hidden="true" name="AHF_Med_admit_count_prior" vbProcedure="false">#REF!</definedName>
    <definedName function="false" hidden="true" name="AHF_Med_allowed_amt_female_0_19_curr" vbProcedure="false">#REF!</definedName>
    <definedName function="false" hidden="true" name="AHF_Med_allowed_amt_female_0_19_prior" vbProcedure="false">#REF!</definedName>
    <definedName function="false" hidden="true" name="AHF_Med_allowed_amt_female_20_44_curr" vbProcedure="false">#REF!</definedName>
    <definedName function="false" hidden="true" name="AHF_Med_allowed_amt_female_45_64_curr" vbProcedure="false">#REF!</definedName>
    <definedName function="false" hidden="true" name="AHF_Med_allowed_amt_female_65_over_curr" vbProcedure="false">#REF!</definedName>
    <definedName function="false" hidden="true" name="AHF_Med_allowed_amt_male_0_19_curr" vbProcedure="false">#REF!</definedName>
    <definedName function="false" hidden="true" name="AHF_Med_allowed_amt_male_20_44_curr" vbProcedure="false">#REF!</definedName>
    <definedName function="false" hidden="true" name="AHF_Med_allowed_amt_male_45_64_curr" vbProcedure="false">#REF!</definedName>
    <definedName function="false" hidden="true" name="AHF_Med_allowed_amt_male_65_over_curr" vbProcedure="false">#REF!</definedName>
    <definedName function="false" hidden="true" name="AHF_Med_allowed_amt_total_curr" vbProcedure="false">#REF!</definedName>
    <definedName function="false" hidden="true" name="AHF_Med_allowed_amt_total_prior" vbProcedure="false">#REF!</definedName>
    <definedName function="false" hidden="true" name="AHF_Med_allowed_amt_unknown_0_19_curr" vbProcedure="false">#REF!</definedName>
    <definedName function="false" hidden="true" name="AHF_Med_allowed_amt_unknown_20_44_curr" vbProcedure="false">#REF!</definedName>
    <definedName function="false" hidden="true" name="AHF_Med_allowed_amt_unknown_45_64_curr" vbProcedure="false">#REF!</definedName>
    <definedName function="false" hidden="true" name="AHF_Med_allowed_amt_unknown_65_over_curr" vbProcedure="false">#REF!</definedName>
    <definedName function="false" hidden="true" name="AHF_Med_amb_paid_amt_curr" vbProcedure="false">#REF!</definedName>
    <definedName function="false" hidden="true" name="AHF_Med_amb_paid_amt_prior" vbProcedure="false">#REF!</definedName>
    <definedName function="false" hidden="true" name="AHF_Med_amb_surgery_count_curr" vbProcedure="false">#REF!</definedName>
    <definedName function="false" hidden="true" name="AHF_Med_amb_surgery_count_prior" vbProcedure="false">#REF!</definedName>
    <definedName function="false" hidden="true" name="AHF_Med_avg_age_members_curr" vbProcedure="false">#REF!</definedName>
    <definedName function="false" hidden="true" name="AHF_Med_avg_age_members_prior" vbProcedure="false">#REF!</definedName>
    <definedName function="false" hidden="true" name="AHF_Med_claim_count_female_0_19_curr" vbProcedure="false">#REF!</definedName>
    <definedName function="false" hidden="true" name="AHF_Med_claim_count_female_0_19_prior" vbProcedure="false">#REF!</definedName>
    <definedName function="false" hidden="true" name="AHF_Med_claim_count_female_20_44_curr" vbProcedure="false">#REF!</definedName>
    <definedName function="false" hidden="true" name="AHF_Med_claim_count_female_45_64_curr" vbProcedure="false">#REF!</definedName>
    <definedName function="false" hidden="true" name="AHF_Med_claim_count_female_65_over_curr" vbProcedure="false">#REF!</definedName>
    <definedName function="false" hidden="true" name="AHF_Med_claim_count_male_0_19_curr" vbProcedure="false">#REF!</definedName>
    <definedName function="false" hidden="true" name="AHF_Med_claim_count_male_20_44_curr" vbProcedure="false">#REF!</definedName>
    <definedName function="false" hidden="true" name="AHF_Med_claim_count_male_45_64_curr" vbProcedure="false">#REF!</definedName>
    <definedName function="false" hidden="true" name="AHF_Med_claim_count_male_65_over_curr" vbProcedure="false">#REF!</definedName>
    <definedName function="false" hidden="true" name="AHF_Med_claim_count_total_curr" vbProcedure="false">#REF!</definedName>
    <definedName function="false" hidden="true" name="AHF_Med_claim_count_total_prior" vbProcedure="false">#REF!</definedName>
    <definedName function="false" hidden="true" name="AHF_Med_claim_count_unknown_0_19_curr" vbProcedure="false">#REF!</definedName>
    <definedName function="false" hidden="true" name="AHF_Med_claim_count_unknown_20_44_curr" vbProcedure="false">#REF!</definedName>
    <definedName function="false" hidden="true" name="AHF_Med_claim_count_unknown_45_64_curr" vbProcedure="false">#REF!</definedName>
    <definedName function="false" hidden="true" name="AHF_Med_claim_count_unknown_65_over_curr" vbProcedure="false">#REF!</definedName>
    <definedName function="false" hidden="true" name="AHF_Med_count_amb_curr" vbProcedure="false">#REF!</definedName>
    <definedName function="false" hidden="true" name="AHF_Med_count_er_curr" vbProcedure="false">#REF!</definedName>
    <definedName function="false" hidden="true" name="AHF_Med_count_home_health_curr" vbProcedure="false">#REF!</definedName>
    <definedName function="false" hidden="true" name="AHF_Med_count_inp_curr" vbProcedure="false">#REF!</definedName>
    <definedName function="false" hidden="true" name="AHF_Med_count_lab_curr" vbProcedure="false">#REF!</definedName>
    <definedName function="false" hidden="true" name="AHF_Med_count_medical_misc_curr" vbProcedure="false">#REF!</definedName>
    <definedName function="false" hidden="true" name="AHF_Med_count_medical_rx_curr" vbProcedure="false">#REF!</definedName>
    <definedName function="false" hidden="true" name="AHF_Med_count_mental_health_curr" vbProcedure="false">#REF!</definedName>
    <definedName function="false" hidden="true" name="AHF_Med_count_prim_phys_curr" vbProcedure="false">#REF!</definedName>
    <definedName function="false" hidden="true" name="AHF_Med_count_rad_curr" vbProcedure="false">#REF!</definedName>
    <definedName function="false" hidden="true" name="AHF_Med_count_spec_phys_curr" vbProcedure="false">#REF!</definedName>
    <definedName function="false" hidden="true" name="AHF_Med_count_total_curr" vbProcedure="false">#REF!</definedName>
    <definedName function="false" hidden="true" name="AHF_Med_count_total_mcc_curr" vbProcedure="false">#REF!</definedName>
    <definedName function="false" hidden="true" name="AHF_Med_days_count_curr" vbProcedure="false">#REF!</definedName>
    <definedName function="false" hidden="true" name="AHF_Med_days_count_prior" vbProcedure="false">#REF!</definedName>
    <definedName function="false" hidden="true" name="AHF_Med_emp_paid_amt_female_0_19_curr" vbProcedure="false">#REF!</definedName>
    <definedName function="false" hidden="true" name="AHF_Med_emp_paid_amt_female_0_19_prior" vbProcedure="false">#REF!</definedName>
    <definedName function="false" hidden="true" name="AHF_Med_emp_paid_amt_female_20_44_curr" vbProcedure="false">#REF!</definedName>
    <definedName function="false" hidden="true" name="AHF_Med_emp_paid_amt_female_45_64_curr" vbProcedure="false">#REF!</definedName>
    <definedName function="false" hidden="true" name="AHF_Med_emp_paid_amt_female_65_over_curr" vbProcedure="false">#REF!</definedName>
    <definedName function="false" hidden="true" name="AHF_Med_emp_paid_amt_male_0_19_curr" vbProcedure="false">#REF!</definedName>
    <definedName function="false" hidden="true" name="AHF_Med_emp_paid_amt_male_20_44_curr" vbProcedure="false">#REF!</definedName>
    <definedName function="false" hidden="true" name="AHF_Med_emp_paid_amt_male_45_64_curr" vbProcedure="false">#REF!</definedName>
    <definedName function="false" hidden="true" name="AHF_Med_emp_paid_amt_male_65_over_curr" vbProcedure="false">#REF!</definedName>
    <definedName function="false" hidden="true" name="AHF_Med_emp_paid_amt_total_curr" vbProcedure="false">#REF!</definedName>
    <definedName function="false" hidden="true" name="AHF_Med_emp_paid_amt_total_prior" vbProcedure="false">#REF!</definedName>
    <definedName function="false" hidden="true" name="AHF_Med_emp_paid_amt_unknown_0_19_curr" vbProcedure="false">#REF!</definedName>
    <definedName function="false" hidden="true" name="AHF_Med_emp_paid_amt_unknown_20_44_curr" vbProcedure="false">#REF!</definedName>
    <definedName function="false" hidden="true" name="AHF_Med_emp_paid_amt_unknown_45_64_curr" vbProcedure="false">#REF!</definedName>
    <definedName function="false" hidden="true" name="AHF_Med_emp_paid_amt_unknown_65_over_curr" vbProcedure="false">#REF!</definedName>
    <definedName function="false" hidden="true" name="AHF_Med_er_visits_count_curr" vbProcedure="false">#REF!</definedName>
    <definedName function="false" hidden="true" name="AHF_Med_er_visits_count_prior" vbProcedure="false">#REF!</definedName>
    <definedName function="false" hidden="true" name="AHF_Med_female_members_curr" vbProcedure="false">#REF!</definedName>
    <definedName function="false" hidden="true" name="AHF_Med_female_members_prior" vbProcedure="false">#REF!</definedName>
    <definedName function="false" hidden="true" name="AHF_Med_female_mem_0_19_curr" vbProcedure="false">#REF!</definedName>
    <definedName function="false" hidden="true" name="AHF_Med_female_mem_0_19_prior" vbProcedure="false">#REF!</definedName>
    <definedName function="false" hidden="true" name="AHF_Med_female_mem_20_44_curr" vbProcedure="false">#REF!</definedName>
    <definedName function="false" hidden="true" name="AHF_Med_female_mem_20_44_prior" vbProcedure="false">#REF!</definedName>
    <definedName function="false" hidden="true" name="AHF_Med_female_mem_45_64_curr" vbProcedure="false">#REF!</definedName>
    <definedName function="false" hidden="true" name="AHF_Med_female_mem_45_64_prior" vbProcedure="false">#REF!</definedName>
    <definedName function="false" hidden="true" name="AHF_Med_female_mem_65_over_curr" vbProcedure="false">#REF!</definedName>
    <definedName function="false" hidden="true" name="AHF_Med_female_mem_65_over_prior" vbProcedure="false">#REF!</definedName>
    <definedName function="false" hidden="true" name="AHF_Med_fund_in_network_paid_amt_curr" vbProcedure="false">#REF!</definedName>
    <definedName function="false" hidden="true" name="AHF_Med_fund_in_network_paid_amt_prior" vbProcedure="false">#REF!</definedName>
    <definedName function="false" hidden="true" name="AHF_Med_fund_paid_amt_amb_curr" vbProcedure="false">#REF!</definedName>
    <definedName function="false" hidden="true" name="AHF_Med_fund_paid_amt_curr" vbProcedure="false">#REF!</definedName>
    <definedName function="false" hidden="true" name="AHF_Med_fund_paid_amt_er_curr" vbProcedure="false">#REF!</definedName>
    <definedName function="false" hidden="true" name="AHF_Med_fund_paid_amt_female_0_19_curr" vbProcedure="false">#REF!</definedName>
    <definedName function="false" hidden="true" name="AHF_Med_fund_paid_amt_female_0_19_prior" vbProcedure="false">#REF!</definedName>
    <definedName function="false" hidden="true" name="AHF_Med_fund_paid_amt_female_20_44_curr" vbProcedure="false">#REF!</definedName>
    <definedName function="false" hidden="true" name="AHF_Med_fund_paid_amt_female_45_64_curr" vbProcedure="false">#REF!</definedName>
    <definedName function="false" hidden="true" name="AHF_Med_fund_paid_amt_female_65_over_curr" vbProcedure="false">#REF!</definedName>
    <definedName function="false" hidden="true" name="AHF_Med_fund_paid_amt_home_health_curr" vbProcedure="false">#REF!</definedName>
    <definedName function="false" hidden="true" name="AHF_Med_fund_paid_amt_inp_curr" vbProcedure="false">#REF!</definedName>
    <definedName function="false" hidden="true" name="AHF_Med_fund_paid_amt_lab_curr" vbProcedure="false">#REF!</definedName>
    <definedName function="false" hidden="true" name="AHF_Med_fund_paid_amt_male_0_19_curr" vbProcedure="false">#REF!</definedName>
    <definedName function="false" hidden="true" name="AHF_Med_fund_paid_amt_male_20_44_curr" vbProcedure="false">#REF!</definedName>
    <definedName function="false" hidden="true" name="AHF_Med_fund_paid_amt_male_45_64_curr" vbProcedure="false">#REF!</definedName>
    <definedName function="false" hidden="true" name="AHF_Med_fund_paid_amt_male_65_over_curr" vbProcedure="false">#REF!</definedName>
    <definedName function="false" hidden="true" name="AHF_Med_fund_paid_amt_medical_misc_curr" vbProcedure="false">#REF!</definedName>
    <definedName function="false" hidden="true" name="AHF_Med_fund_paid_amt_medical_rx_curr" vbProcedure="false">#REF!</definedName>
    <definedName function="false" hidden="true" name="AHF_Med_fund_paid_amt_mental_health_curr" vbProcedure="false">#REF!</definedName>
    <definedName function="false" hidden="true" name="AHF_Med_fund_paid_amt_prim_phys_curr" vbProcedure="false">#REF!</definedName>
    <definedName function="false" hidden="true" name="AHF_Med_fund_paid_amt_prior" vbProcedure="false">#REF!</definedName>
    <definedName function="false" hidden="true" name="AHF_Med_fund_paid_amt_rad_curr" vbProcedure="false">#REF!</definedName>
    <definedName function="false" hidden="true" name="AHF_Med_fund_paid_amt_spec_phys_curr" vbProcedure="false">#REF!</definedName>
    <definedName function="false" hidden="true" name="AHF_Med_fund_paid_amt_total_curr" vbProcedure="false">#REF!</definedName>
    <definedName function="false" hidden="true" name="AHF_Med_fund_paid_amt_total_mcc_curr" vbProcedure="false">#REF!</definedName>
    <definedName function="false" hidden="true" name="AHF_Med_fund_paid_amt_total_prior" vbProcedure="false">#REF!</definedName>
    <definedName function="false" hidden="true" name="AHF_Med_fund_paid_amt_unknown_0_19_curr" vbProcedure="false">#REF!</definedName>
    <definedName function="false" hidden="true" name="AHF_Med_fund_paid_amt_unknown_20_44_curr" vbProcedure="false">#REF!</definedName>
    <definedName function="false" hidden="true" name="AHF_Med_fund_paid_amt_unknown_45_64_curr" vbProcedure="false">#REF!</definedName>
    <definedName function="false" hidden="true" name="AHF_Med_fund_paid_amt_unknown_65_over_curr" vbProcedure="false">#REF!</definedName>
    <definedName function="false" hidden="true" name="AHF_Med_inp_paid_amt_curr" vbProcedure="false">#REF!</definedName>
    <definedName function="false" hidden="true" name="AHF_Med_inp_paid_amt_prior" vbProcedure="false">#REF!</definedName>
    <definedName function="false" hidden="true" name="AHF_Med_inp_surgery_count_curr" vbProcedure="false">#REF!</definedName>
    <definedName function="false" hidden="true" name="AHF_Med_inp_surgery_count_prior" vbProcedure="false">#REF!</definedName>
    <definedName function="false" hidden="true" name="AHF_Med_in_network_paid_amt_curr" vbProcedure="false">#REF!</definedName>
    <definedName function="false" hidden="true" name="AHF_Med_in_network_paid_amt_prior" vbProcedure="false">#REF!</definedName>
    <definedName function="false" hidden="true" name="AHF_Med_male_members_curr" vbProcedure="false">#REF!</definedName>
    <definedName function="false" hidden="true" name="AHF_Med_male_members_prior" vbProcedure="false">#REF!</definedName>
    <definedName function="false" hidden="true" name="AHF_Med_male_mem_0_19_curr" vbProcedure="false">#REF!</definedName>
    <definedName function="false" hidden="true" name="AHF_Med_male_mem_0_19_prior" vbProcedure="false">#REF!</definedName>
    <definedName function="false" hidden="true" name="AHF_Med_male_mem_20_44_curr" vbProcedure="false">#REF!</definedName>
    <definedName function="false" hidden="true" name="AHF_Med_male_mem_20_44_prior" vbProcedure="false">#REF!</definedName>
    <definedName function="false" hidden="true" name="AHF_Med_male_mem_45_64_curr" vbProcedure="false">#REF!</definedName>
    <definedName function="false" hidden="true" name="AHF_Med_male_mem_45_64_prior" vbProcedure="false">#REF!</definedName>
    <definedName function="false" hidden="true" name="AHF_Med_male_mem_65_over_curr" vbProcedure="false">#REF!</definedName>
    <definedName function="false" hidden="true" name="AHF_Med_male_mem_65_over_prior" vbProcedure="false">#REF!</definedName>
    <definedName function="false" hidden="true" name="AHF_Med_months_curr" vbProcedure="false">#REF!</definedName>
    <definedName function="false" hidden="true" name="AHF_Med_months_prior" vbProcedure="false">#REF!</definedName>
    <definedName function="false" hidden="true" name="AHF_Med_num_employees_curr" vbProcedure="false">#REF!</definedName>
    <definedName function="false" hidden="true" name="AHF_Med_num_employees_prior" vbProcedure="false">#REF!</definedName>
    <definedName function="false" hidden="true" name="AHF_Med_num_members_curr" vbProcedure="false">#REF!</definedName>
    <definedName function="false" hidden="true" name="AHF_Med_num_members_prior" vbProcedure="false">#REF!</definedName>
    <definedName function="false" hidden="true" name="AHF_Med_office_visits_count_curr" vbProcedure="false">#REF!</definedName>
    <definedName function="false" hidden="true" name="AHF_Med_office_visits_count_prior" vbProcedure="false">#REF!</definedName>
    <definedName function="false" hidden="true" name="AHF_Med_paid_amt_amb_curr" vbProcedure="false">#REF!</definedName>
    <definedName function="false" hidden="true" name="AHF_Med_paid_amt_curr" vbProcedure="false">#REF!</definedName>
    <definedName function="false" hidden="true" name="AHF_Med_paid_amt_er_curr" vbProcedure="false">#REF!</definedName>
    <definedName function="false" hidden="true" name="AHF_Med_paid_amt_female_0_19_curr" vbProcedure="false">#REF!</definedName>
    <definedName function="false" hidden="true" name="AHF_Med_paid_amt_female_0_19_prior" vbProcedure="false">#REF!</definedName>
    <definedName function="false" hidden="true" name="AHF_Med_paid_amt_female_20_44_curr" vbProcedure="false">#REF!</definedName>
    <definedName function="false" hidden="true" name="AHF_Med_paid_amt_female_45_64_curr" vbProcedure="false">#REF!</definedName>
    <definedName function="false" hidden="true" name="AHF_Med_paid_amt_female_65_over_curr" vbProcedure="false">#REF!</definedName>
    <definedName function="false" hidden="true" name="AHF_Med_paid_amt_home_health_curr" vbProcedure="false">#REF!</definedName>
    <definedName function="false" hidden="true" name="AHF_Med_paid_amt_inp_curr" vbProcedure="false">#REF!</definedName>
    <definedName function="false" hidden="true" name="AHF_Med_paid_amt_lab_curr" vbProcedure="false">#REF!</definedName>
    <definedName function="false" hidden="true" name="AHF_Med_paid_amt_male_0_19_curr" vbProcedure="false">#REF!</definedName>
    <definedName function="false" hidden="true" name="AHF_Med_paid_amt_male_20_44_curr" vbProcedure="false">#REF!</definedName>
    <definedName function="false" hidden="true" name="AHF_Med_paid_amt_male_45_64_curr" vbProcedure="false">#REF!</definedName>
    <definedName function="false" hidden="true" name="AHF_Med_paid_amt_male_65_over_curr" vbProcedure="false">#REF!</definedName>
    <definedName function="false" hidden="true" name="AHF_Med_paid_amt_medical_misc_curr" vbProcedure="false">#REF!</definedName>
    <definedName function="false" hidden="true" name="AHF_Med_paid_amt_medical_rx_curr" vbProcedure="false">#REF!</definedName>
    <definedName function="false" hidden="true" name="AHF_Med_paid_amt_mental_health_curr" vbProcedure="false">#REF!</definedName>
    <definedName function="false" hidden="true" name="AHF_Med_paid_amt_prim_phys_curr" vbProcedure="false">#REF!</definedName>
    <definedName function="false" hidden="true" name="AHF_Med_paid_amt_prior" vbProcedure="false">#REF!</definedName>
    <definedName function="false" hidden="true" name="AHF_Med_paid_amt_rad_curr" vbProcedure="false">#REF!</definedName>
    <definedName function="false" hidden="true" name="AHF_Med_paid_amt_spec_phys_curr" vbProcedure="false">#REF!</definedName>
    <definedName function="false" hidden="true" name="AHF_Med_paid_amt_total_curr" vbProcedure="false">#REF!</definedName>
    <definedName function="false" hidden="true" name="AHF_Med_paid_amt_total_mcc_curr" vbProcedure="false">#REF!</definedName>
    <definedName function="false" hidden="true" name="AHF_Med_paid_amt_total_prior" vbProcedure="false">#REF!</definedName>
    <definedName function="false" hidden="true" name="AHF_Med_paid_amt_unknown_0_19_curr" vbProcedure="false">#REF!</definedName>
    <definedName function="false" hidden="true" name="AHF_Med_paid_amt_unknown_20_44_curr" vbProcedure="false">#REF!</definedName>
    <definedName function="false" hidden="true" name="AHF_Med_paid_amt_unknown_45_64_curr" vbProcedure="false">#REF!</definedName>
    <definedName function="false" hidden="true" name="AHF_Med_paid_amt_unknown_65_over_curr" vbProcedure="false">#REF!</definedName>
    <definedName function="false" hidden="true" name="AHF_Med_primary_office_visits_count_curr" vbProcedure="false">#REF!</definedName>
    <definedName function="false" hidden="true" name="AHF_Med_primary_office_visits_count_prior" vbProcedure="false">#REF!</definedName>
    <definedName function="false" hidden="true" name="AHF_Med_primary_office__visits_count_prior" vbProcedure="false">#REF!</definedName>
    <definedName function="false" hidden="true" name="AHF_Med_specialist_office_visits_count_curr" vbProcedure="false">#REF!</definedName>
    <definedName function="false" hidden="true" name="AHF_Med_specialist_office_visits_count_prior" vbProcedure="false">#REF!</definedName>
    <definedName function="false" hidden="true" name="AHF_Med_specialist_office__visits_count_prior" vbProcedure="false">#REF!</definedName>
    <definedName function="false" hidden="true" name="AHF_Med_surgery_count_curr" vbProcedure="false">#REF!</definedName>
    <definedName function="false" hidden="true" name="AHF_Med_surgery_count_prior" vbProcedure="false">#REF!</definedName>
    <definedName function="false" hidden="true" name="AHF_Med_unknown_members_curr" vbProcedure="false">#REF!</definedName>
    <definedName function="false" hidden="true" name="AHF_Med_unknown_members_prior" vbProcedure="false">#REF!</definedName>
    <definedName function="false" hidden="true" name="AHF_Med_unknown_mem_0_19_curr" vbProcedure="false">#REF!</definedName>
    <definedName function="false" hidden="true" name="AHF_Med_unknown_mem_0_19_prior" vbProcedure="false">#REF!</definedName>
    <definedName function="false" hidden="true" name="AHF_Med_unknown_mem_20_44_curr" vbProcedure="false">#REF!</definedName>
    <definedName function="false" hidden="true" name="AHF_Med_unknown_mem_20_44_prior" vbProcedure="false">#REF!</definedName>
    <definedName function="false" hidden="true" name="AHF_Med_unknown_mem_45_64_curr" vbProcedure="false">#REF!</definedName>
    <definedName function="false" hidden="true" name="AHF_Med_unknown_mem_45_64_prior" vbProcedure="false">#REF!</definedName>
    <definedName function="false" hidden="true" name="AHF_Med_unknown_mem_65_over_curr" vbProcedure="false">#REF!</definedName>
    <definedName function="false" hidden="true" name="AHF_Med_unknown_mem_65_over_prior" vbProcedure="false">#REF!</definedName>
    <definedName function="false" hidden="true" name="ahf_member_cnt_female_0_19_curr" vbProcedure="false">#REF!</definedName>
    <definedName function="false" hidden="true" name="ahf_member_cnt_female_20_44_curr" vbProcedure="false">#REF!</definedName>
    <definedName function="false" hidden="true" name="ahf_member_cnt_female_45_64_curr" vbProcedure="false">#REF!</definedName>
    <definedName function="false" hidden="true" name="ahf_member_cnt_female_65_over_curr" vbProcedure="false">#REF!</definedName>
    <definedName function="false" hidden="true" name="ahf_member_cnt_male_0_19_curr" vbProcedure="false">#REF!</definedName>
    <definedName function="false" hidden="true" name="ahf_member_cnt_male_20_44_curr" vbProcedure="false">#REF!</definedName>
    <definedName function="false" hidden="true" name="ahf_member_cnt_male_45_64_curr" vbProcedure="false">#REF!</definedName>
    <definedName function="false" hidden="true" name="ahf_member_cnt_male_65_over_curr" vbProcedure="false">#REF!</definedName>
    <definedName function="false" hidden="true" name="ahf_member_cnt_total_0_19_curr" vbProcedure="false">#REF!</definedName>
    <definedName function="false" hidden="true" name="ahf_member_cnt_total_curr" vbProcedure="false">#REF!</definedName>
    <definedName function="false" hidden="true" name="ahf_member_cnt_total_prior" vbProcedure="false">#REF!</definedName>
    <definedName function="false" hidden="true" name="ahf_member_cnt_unknown_0_19_curr" vbProcedure="false">#REF!</definedName>
    <definedName function="false" hidden="true" name="ahf_member_cnt_unknown_20_44_curr" vbProcedure="false">#REF!</definedName>
    <definedName function="false" hidden="true" name="ahf_member_cnt_unknown_45_64_curr" vbProcedure="false">#REF!</definedName>
    <definedName function="false" hidden="true" name="ahf_member_cnt_unknown_65_over_curr" vbProcedure="false">#REF!</definedName>
    <definedName function="false" hidden="true" name="ahf_paid_amt_female_0_19_curr" vbProcedure="false">#REF!</definedName>
    <definedName function="false" hidden="true" name="ahf_paid_amt_female_20_44_curr" vbProcedure="false">#REF!</definedName>
    <definedName function="false" hidden="true" name="ahf_paid_amt_female_45_64_curr" vbProcedure="false">#REF!</definedName>
    <definedName function="false" hidden="true" name="ahf_paid_amt_female_65_over_curr" vbProcedure="false">#REF!</definedName>
    <definedName function="false" hidden="true" name="ahf_paid_amt_male_0_19_curr" vbProcedure="false">#REF!</definedName>
    <definedName function="false" hidden="true" name="ahf_paid_amt_male_20_44_curr" vbProcedure="false">#REF!</definedName>
    <definedName function="false" hidden="true" name="ahf_paid_amt_male_45_64_curr" vbProcedure="false">#REF!</definedName>
    <definedName function="false" hidden="true" name="ahf_paid_amt_male_65_over_curr" vbProcedure="false">#REF!</definedName>
    <definedName function="false" hidden="true" name="ahf_paid_amt_total_0_19_curr" vbProcedure="false">#REF!</definedName>
    <definedName function="false" hidden="true" name="ahf_paid_amt_total_curr" vbProcedure="false">#REF!</definedName>
    <definedName function="false" hidden="true" name="ahf_paid_amt_total_prior" vbProcedure="false">#REF!</definedName>
    <definedName function="false" hidden="true" name="ahf_paid_amt_unknown_0_19_curr" vbProcedure="false">#REF!</definedName>
    <definedName function="false" hidden="true" name="ahf_paid_amt_unknown_20_44_curr" vbProcedure="false">#REF!</definedName>
    <definedName function="false" hidden="true" name="ahf_paid_amt_unknown_45_64_curr" vbProcedure="false">#REF!</definedName>
    <definedName function="false" hidden="true" name="ahf_paid_amt_unknown_65_over_curr" vbProcedure="false">#REF!</definedName>
    <definedName function="false" hidden="true" name="AHF_Rx_Demographics_Range" vbProcedure="false">#REF!</definedName>
    <definedName function="false" hidden="true" name="AHF_Rx_Key_Statistics_Range" vbProcedure="false">#REF!</definedName>
    <definedName function="false" hidden="true" name="ahf_rx_num_brand_claims_curr" vbProcedure="false">#REF!</definedName>
    <definedName function="false" hidden="true" name="ahf_rx_num_brand_claims_prior" vbProcedure="false">#REF!</definedName>
    <definedName function="false" hidden="true" name="ahf_rx_num_claims_curr" vbProcedure="false">#REF!</definedName>
    <definedName function="false" hidden="true" name="ahf_rx_num_claims_prior" vbProcedure="false">#REF!</definedName>
    <definedName function="false" hidden="true" name="ahf_rx_num_formulary_claims_curr" vbProcedure="false">#REF!</definedName>
    <definedName function="false" hidden="true" name="ahf_rx_num_formulary_claims_prior" vbProcedure="false">#REF!</definedName>
    <definedName function="false" hidden="true" name="ahf_rx_num_generic_claims_curr" vbProcedure="false">#REF!</definedName>
    <definedName function="false" hidden="true" name="ahf_rx_num_generic_claims_prior" vbProcedure="false">#REF!</definedName>
    <definedName function="false" hidden="true" name="ahf_rx_num_gen_subst_claims_y_curr" vbProcedure="false">#REF!</definedName>
    <definedName function="false" hidden="true" name="ahf_rx_num_gen_subst_claims_y_o_curr" vbProcedure="false">#REF!</definedName>
    <definedName function="false" hidden="true" name="ahf_rx_num_gen_subst_claims_y_o_prior" vbProcedure="false">#REF!</definedName>
    <definedName function="false" hidden="true" name="ahf_rx_num_gen_subst_claims_y_prior" vbProcedure="false">#REF!</definedName>
    <definedName function="false" hidden="true" name="ahf_rx_num_unique_mem_id_curr" vbProcedure="false">#REF!</definedName>
    <definedName function="false" hidden="true" name="ahf_rx_num_unique_mem_id_prior" vbProcedure="false">#REF!</definedName>
    <definedName function="false" hidden="true" name="ahf_srv_copay_amt_female_0_19_curr" vbProcedure="false">#REF!</definedName>
    <definedName function="false" hidden="true" name="ahf_srv_copay_amt_female_20_44_curr" vbProcedure="false">#REF!</definedName>
    <definedName function="false" hidden="true" name="ahf_srv_copay_amt_female_45_64_curr" vbProcedure="false">#REF!</definedName>
    <definedName function="false" hidden="true" name="ahf_srv_copay_amt_female_65_over_curr" vbProcedure="false">#REF!</definedName>
    <definedName function="false" hidden="true" name="ahf_srv_copay_amt_male_0_19_curr" vbProcedure="false">#REF!</definedName>
    <definedName function="false" hidden="true" name="ahf_srv_copay_amt_male_20_44_curr" vbProcedure="false">#REF!</definedName>
    <definedName function="false" hidden="true" name="ahf_srv_copay_amt_male_45_64_curr" vbProcedure="false">#REF!</definedName>
    <definedName function="false" hidden="true" name="ahf_srv_copay_amt_male_65_over_curr" vbProcedure="false">#REF!</definedName>
    <definedName function="false" hidden="true" name="ahf_srv_copay_amt_total_0_19_curr" vbProcedure="false">#REF!</definedName>
    <definedName function="false" hidden="true" name="ahf_srv_copay_amt_total_curr" vbProcedure="false">#REF!</definedName>
    <definedName function="false" hidden="true" name="ahf_srv_copay_amt_total_prior" vbProcedure="false">#REF!</definedName>
    <definedName function="false" hidden="true" name="ahf_srv_copay_amt_unknown_0_19_curr" vbProcedure="false">#REF!</definedName>
    <definedName function="false" hidden="true" name="ahf_srv_copay_amt_unknown_20_44_curr" vbProcedure="false">#REF!</definedName>
    <definedName function="false" hidden="true" name="ahf_srv_copay_amt_unknown_45_64_curr" vbProcedure="false">#REF!</definedName>
    <definedName function="false" hidden="true" name="ahf_srv_copay_amt_unknown_65_over_curr" vbProcedure="false">#REF!</definedName>
    <definedName function="false" hidden="true" name="ahf_termed_tier1_active_employee_curr" vbProcedure="false">#REF!</definedName>
    <definedName function="false" hidden="true" name="ahf_termed_tier1_cr_claim_paid_with_cr_funds_curr" vbProcedure="false">#REF!</definedName>
    <definedName function="false" hidden="true" name="ahf_termed_tier1_cr_clm_paid_with_rollover_funds_curr" vbProcedure="false">#REF!</definedName>
    <definedName function="false" hidden="true" name="ahf_termed_tier1_cr_fund_remaining_curr" vbProcedure="false">#REF!</definedName>
    <definedName function="false" hidden="true" name="ahf_termed_tier1_cr_year_initial_fund_curr" vbProcedure="false">#REF!</definedName>
    <definedName function="false" hidden="true" name="ahf_termed_tier1_emp_0_spend_curr" vbProcedure="false">#REF!</definedName>
    <definedName function="false" hidden="true" name="ahf_termed_tier1_emp_100_spend_curr" vbProcedure="false">#REF!</definedName>
    <definedName function="false" hidden="true" name="ahf_termed_tier1_emp_24_1_spend_curr" vbProcedure="false">#REF!</definedName>
    <definedName function="false" hidden="true" name="ahf_termed_tier1_emp_49_25_spend_curr" vbProcedure="false">#REF!</definedName>
    <definedName function="false" hidden="true" name="ahf_termed_tier1_emp_74_50_spend_curr" vbProcedure="false">#REF!</definedName>
    <definedName function="false" hidden="true" name="ahf_termed_tier1_emp_99_75_spend_curr" vbProcedure="false">#REF!</definedName>
    <definedName function="false" hidden="true" name="ahf_termed_tier1_Incentive_fund_earned_curr" vbProcedure="false">#REF!</definedName>
    <definedName function="false" hidden="true" name="ahf_termed_tier1_rollover_fund_remaining_curr" vbProcedure="false">#REF!</definedName>
    <definedName function="false" hidden="true" name="ahf_termed_tier1_rollover_pr_year_curr" vbProcedure="false">#REF!</definedName>
    <definedName function="false" hidden="true" name="ahf_termed_tier1_tot_fund_available_curr" vbProcedure="false">#REF!</definedName>
    <definedName function="false" hidden="true" name="ahf_termed_tier2_active_employee_curr" vbProcedure="false">#REF!</definedName>
    <definedName function="false" hidden="true" name="ahf_termed_tier2_cr_claim_paid_with_cr_funds_curr" vbProcedure="false">#REF!</definedName>
    <definedName function="false" hidden="true" name="ahf_termed_tier2_cr_clm_paid_with_rollover_funds_curr" vbProcedure="false">#REF!</definedName>
    <definedName function="false" hidden="true" name="ahf_termed_tier2_cr_fund_remaining_curr" vbProcedure="false">#REF!</definedName>
    <definedName function="false" hidden="true" name="ahf_termed_tier2_cr_year_initial_fund_curr" vbProcedure="false">#REF!</definedName>
    <definedName function="false" hidden="true" name="ahf_termed_tier2_emp_0_spend_curr" vbProcedure="false">#REF!</definedName>
    <definedName function="false" hidden="true" name="ahf_termed_tier2_emp_100_spend_curr" vbProcedure="false">#REF!</definedName>
    <definedName function="false" hidden="true" name="ahf_termed_tier2_emp_24_1_spend_curr" vbProcedure="false">#REF!</definedName>
    <definedName function="false" hidden="true" name="ahf_termed_tier2_emp_49_25_spend_curr" vbProcedure="false">#REF!</definedName>
    <definedName function="false" hidden="true" name="ahf_termed_tier2_emp_74_50_spend_curr" vbProcedure="false">#REF!</definedName>
    <definedName function="false" hidden="true" name="ahf_termed_tier2_emp_99_75_spend_curr" vbProcedure="false">#REF!</definedName>
    <definedName function="false" hidden="true" name="ahf_termed_tier2_Incentive_fund_earned_curr" vbProcedure="false">#REF!</definedName>
    <definedName function="false" hidden="true" name="ahf_termed_tier2_rollover_fund_remaining_curr" vbProcedure="false">#REF!</definedName>
    <definedName function="false" hidden="true" name="ahf_termed_tier2_rollover_pr_year_curr" vbProcedure="false">#REF!</definedName>
    <definedName function="false" hidden="true" name="ahf_termed_tier2_tot_fund_available_curr" vbProcedure="false">#REF!</definedName>
    <definedName function="false" hidden="true" name="ahf_termed_tier3_active_employee_curr" vbProcedure="false">#REF!</definedName>
    <definedName function="false" hidden="true" name="ahf_termed_tier3_cr_claim_paid_with_cr_funds_curr" vbProcedure="false">#REF!</definedName>
    <definedName function="false" hidden="true" name="ahf_termed_tier3_cr_clm_paid_with_rollover_funds_curr" vbProcedure="false">#REF!</definedName>
    <definedName function="false" hidden="true" name="ahf_termed_tier3_cr_fund_remaining_curr" vbProcedure="false">#REF!</definedName>
    <definedName function="false" hidden="true" name="ahf_termed_tier3_cr_year_initial_fund_curr" vbProcedure="false">#REF!</definedName>
    <definedName function="false" hidden="true" name="ahf_termed_tier3_emp_0_spend_curr" vbProcedure="false">#REF!</definedName>
    <definedName function="false" hidden="true" name="ahf_termed_tier3_emp_100_spend_curr" vbProcedure="false">#REF!</definedName>
    <definedName function="false" hidden="true" name="ahf_termed_tier3_emp_24_1_spend_curr" vbProcedure="false">#REF!</definedName>
    <definedName function="false" hidden="true" name="ahf_termed_tier3_emp_49_25_spend_curr" vbProcedure="false">#REF!</definedName>
    <definedName function="false" hidden="true" name="ahf_termed_tier3_emp_74_50_spend_curr" vbProcedure="false">#REF!</definedName>
    <definedName function="false" hidden="true" name="ahf_termed_tier3_emp_99_75_spend_curr" vbProcedure="false">#REF!</definedName>
    <definedName function="false" hidden="true" name="ahf_termed_tier3_Incentive_fund_earned_curr" vbProcedure="false">#REF!</definedName>
    <definedName function="false" hidden="true" name="ahf_termed_tier3_rollover_fund_remaining_curr" vbProcedure="false">#REF!</definedName>
    <definedName function="false" hidden="true" name="ahf_termed_tier3_rollover_pr_year_curr" vbProcedure="false">#REF!</definedName>
    <definedName function="false" hidden="true" name="ahf_termed_tier3_tot_fund_available_curr" vbProcedure="false">#REF!</definedName>
    <definedName function="false" hidden="true" name="ahf_termed_tier4_active_employee_curr" vbProcedure="false">#REF!</definedName>
    <definedName function="false" hidden="true" name="ahf_termed_tier4_cr_claim_paid_with_cr_funds_curr" vbProcedure="false">#REF!</definedName>
    <definedName function="false" hidden="true" name="ahf_termed_tier4_cr_clm_paid_with_rollover_funds_curr" vbProcedure="false">#REF!</definedName>
    <definedName function="false" hidden="true" name="ahf_termed_tier4_cr_fund_remaining_curr" vbProcedure="false">#REF!</definedName>
    <definedName function="false" hidden="true" name="ahf_termed_tier4_cr_year_initial_fund_curr" vbProcedure="false">#REF!</definedName>
    <definedName function="false" hidden="true" name="ahf_termed_tier4_emp_0_spend_curr" vbProcedure="false">#REF!</definedName>
    <definedName function="false" hidden="true" name="ahf_termed_tier4_emp_100_spend_curr" vbProcedure="false">#REF!</definedName>
    <definedName function="false" hidden="true" name="ahf_termed_tier4_emp_24_1_spend_curr" vbProcedure="false">#REF!</definedName>
    <definedName function="false" hidden="true" name="ahf_termed_tier4_emp_49_25_spend_curr" vbProcedure="false">#REF!</definedName>
    <definedName function="false" hidden="true" name="ahf_termed_tier4_emp_74_50_spend_curr" vbProcedure="false">#REF!</definedName>
    <definedName function="false" hidden="true" name="ahf_termed_tier4_emp_99_75_spend_curr" vbProcedure="false">#REF!</definedName>
    <definedName function="false" hidden="true" name="ahf_termed_tier4_Incentive_fund_earned_curr" vbProcedure="false">#REF!</definedName>
    <definedName function="false" hidden="true" name="ahf_termed_tier4_rollover_fund_remaining_curr" vbProcedure="false">#REF!</definedName>
    <definedName function="false" hidden="true" name="ahf_termed_tier4_rollover_pr_year_curr" vbProcedure="false">#REF!</definedName>
    <definedName function="false" hidden="true" name="ahf_termed_tier4_tot_fund_available_curr" vbProcedure="false">#REF!</definedName>
    <definedName function="false" hidden="true" name="ahf_term_emp_fund_paid_curr" vbProcedure="false">#REF!</definedName>
    <definedName function="false" hidden="true" name="ahf_term_emp_plus_1_fund_paid_curr" vbProcedure="false">#REF!</definedName>
    <definedName function="false" hidden="true" name="ahf_term_emp_plus_2_fund_paid_curr" vbProcedure="false">#REF!</definedName>
    <definedName function="false" hidden="true" name="ahf_term_emp_plus_fam_fund_paid_curr" vbProcedure="false">#REF!</definedName>
    <definedName function="false" hidden="true" name="ahf_term_total_fund_paid_curr" vbProcedure="false">#REF!</definedName>
    <definedName function="false" hidden="true" name="ahf_tier1_active_employee_curr" vbProcedure="false">#REF!</definedName>
    <definedName function="false" hidden="true" name="ahf_tier1_cr_claim_paid_with_cr_funds_curr" vbProcedure="false">#REF!</definedName>
    <definedName function="false" hidden="true" name="ahf_tier1_cr_clm_paid_with_rollover_funds_curr" vbProcedure="false">#REF!</definedName>
    <definedName function="false" hidden="true" name="ahf_tier1_cr_fund_remaining_curr" vbProcedure="false">#REF!</definedName>
    <definedName function="false" hidden="true" name="ahf_tier1_cr_year_initial_fund_curr" vbProcedure="false">#REF!</definedName>
    <definedName function="false" hidden="true" name="ahf_tier1_emp_0_spend_curr" vbProcedure="false">#REF!</definedName>
    <definedName function="false" hidden="true" name="ahf_tier1_emp_100_spend_curr" vbProcedure="false">#REF!</definedName>
    <definedName function="false" hidden="true" name="ahf_tier1_emp_24_1_spend_curr" vbProcedure="false">#REF!</definedName>
    <definedName function="false" hidden="true" name="ahf_tier1_emp_49_25_spend_curr" vbProcedure="false">#REF!</definedName>
    <definedName function="false" hidden="true" name="ahf_tier1_emp_74_50_spend_curr" vbProcedure="false">#REF!</definedName>
    <definedName function="false" hidden="true" name="ahf_tier1_emp_99_75_spend_curr" vbProcedure="false">#REF!</definedName>
    <definedName function="false" hidden="true" name="ahf_tier1_Incentive_fund_earned_curr" vbProcedure="false">#REF!</definedName>
    <definedName function="false" hidden="true" name="ahf_tier1_rollover_fund_remaining_curr" vbProcedure="false">#REF!</definedName>
    <definedName function="false" hidden="true" name="ahf_tier1_rollover_pr_year_curr" vbProcedure="false">#REF!</definedName>
    <definedName function="false" hidden="true" name="ahf_tier1_tot_fund_available_curr" vbProcedure="false">#REF!</definedName>
    <definedName function="false" hidden="true" name="ahf_tier2_active_employee_curr" vbProcedure="false">#REF!</definedName>
    <definedName function="false" hidden="true" name="ahf_tier2_cr_claim_paid_with_cr_funds_curr" vbProcedure="false">#REF!</definedName>
    <definedName function="false" hidden="true" name="ahf_tier2_cr_clm_paid_with_rollover_funds_curr" vbProcedure="false">#REF!</definedName>
    <definedName function="false" hidden="true" name="ahf_tier2_cr_fund_remaining_curr" vbProcedure="false">#REF!</definedName>
    <definedName function="false" hidden="true" name="ahf_tier2_cr_year_initial_fund_curr" vbProcedure="false">#REF!</definedName>
    <definedName function="false" hidden="true" name="ahf_tier2_emp_0_spend_curr" vbProcedure="false">#REF!</definedName>
    <definedName function="false" hidden="true" name="ahf_tier2_emp_100_spend_curr" vbProcedure="false">#REF!</definedName>
    <definedName function="false" hidden="true" name="ahf_tier2_emp_24_1_spend_curr" vbProcedure="false">#REF!</definedName>
    <definedName function="false" hidden="true" name="ahf_tier2_emp_49_25_spend_curr" vbProcedure="false">#REF!</definedName>
    <definedName function="false" hidden="true" name="ahf_tier2_emp_74_50_spend_curr" vbProcedure="false">#REF!</definedName>
    <definedName function="false" hidden="true" name="ahf_tier2_emp_99_75_spend_curr" vbProcedure="false">#REF!</definedName>
    <definedName function="false" hidden="true" name="ahf_tier2_Incentive_fund_earned_curr" vbProcedure="false">#REF!</definedName>
    <definedName function="false" hidden="true" name="ahf_tier2_rollover_fund_remaining_curr" vbProcedure="false">#REF!</definedName>
    <definedName function="false" hidden="true" name="ahf_tier2_rollover_pr_year_curr" vbProcedure="false">#REF!</definedName>
    <definedName function="false" hidden="true" name="ahf_tier2_tot_fund_available_curr" vbProcedure="false">#REF!</definedName>
    <definedName function="false" hidden="true" name="ahf_tier3_active_employee_curr" vbProcedure="false">#REF!</definedName>
    <definedName function="false" hidden="true" name="ahf_tier3_cr_claim_paid_with_cr_funds_curr" vbProcedure="false">#REF!</definedName>
    <definedName function="false" hidden="true" name="ahf_tier3_cr_clm_paid_with_rollover_funds_curr" vbProcedure="false">#REF!</definedName>
    <definedName function="false" hidden="true" name="ahf_tier3_cr_fund_remaining_curr" vbProcedure="false">#REF!</definedName>
    <definedName function="false" hidden="true" name="ahf_tier3_cr_year_initial_fund_curr" vbProcedure="false">#REF!</definedName>
    <definedName function="false" hidden="true" name="ahf_tier3_emp_0_spend_curr" vbProcedure="false">#REF!</definedName>
    <definedName function="false" hidden="true" name="ahf_tier3_emp_100_spend_curr" vbProcedure="false">#REF!</definedName>
    <definedName function="false" hidden="true" name="ahf_tier3_emp_24_1_spend_curr" vbProcedure="false">#REF!</definedName>
    <definedName function="false" hidden="true" name="ahf_tier3_emp_49_25_spend_curr" vbProcedure="false">#REF!</definedName>
    <definedName function="false" hidden="true" name="ahf_tier3_emp_74_50_spend_curr" vbProcedure="false">#REF!</definedName>
    <definedName function="false" hidden="true" name="ahf_tier3_emp_99_75_spend_curr" vbProcedure="false">#REF!</definedName>
    <definedName function="false" hidden="true" name="ahf_tier3_Incentive_fund_earned_curr" vbProcedure="false">#REF!</definedName>
    <definedName function="false" hidden="true" name="ahf_tier3_rollover_fund_remaining_curr" vbProcedure="false">#REF!</definedName>
    <definedName function="false" hidden="true" name="ahf_tier3_rollover_pr_year_curr" vbProcedure="false">#REF!</definedName>
    <definedName function="false" hidden="true" name="ahf_tier3_tot_fund_available_curr" vbProcedure="false">#REF!</definedName>
    <definedName function="false" hidden="true" name="ahf_tier4_active_employee_curr" vbProcedure="false">#REF!</definedName>
    <definedName function="false" hidden="true" name="ahf_tier4_cr_claim_paid_with_cr_funds_curr" vbProcedure="false">#REF!</definedName>
    <definedName function="false" hidden="true" name="ahf_tier4_cr_clm_paid_with_rollover_funds_curr" vbProcedure="false">#REF!</definedName>
    <definedName function="false" hidden="true" name="ahf_tier4_cr_fund_remaining_curr" vbProcedure="false">#REF!</definedName>
    <definedName function="false" hidden="true" name="ahf_tier4_cr_year_initial_fund_curr" vbProcedure="false">#REF!</definedName>
    <definedName function="false" hidden="true" name="ahf_tier4_emp_0_spend_curr" vbProcedure="false">#REF!</definedName>
    <definedName function="false" hidden="true" name="ahf_tier4_emp_100_spend_curr" vbProcedure="false">#REF!</definedName>
    <definedName function="false" hidden="true" name="ahf_tier4_emp_24_1_spend_curr" vbProcedure="false">#REF!</definedName>
    <definedName function="false" hidden="true" name="ahf_tier4_emp_49_25_spend_curr" vbProcedure="false">#REF!</definedName>
    <definedName function="false" hidden="true" name="ahf_tier4_emp_74_50_spend_curr" vbProcedure="false">#REF!</definedName>
    <definedName function="false" hidden="true" name="ahf_tier4_emp_99_75_spend_curr" vbProcedure="false">#REF!</definedName>
    <definedName function="false" hidden="true" name="ahf_tier4_Incentive_fund_earned_curr" vbProcedure="false">#REF!</definedName>
    <definedName function="false" hidden="true" name="ahf_tier4_rollover_fund_remaining_curr" vbProcedure="false">#REF!</definedName>
    <definedName function="false" hidden="true" name="ahf_tier4_rollover_pr_year_curr" vbProcedure="false">#REF!</definedName>
    <definedName function="false" hidden="true" name="ahf_tier4_tot_fund_available_curr" vbProcedure="false">#REF!</definedName>
    <definedName function="false" hidden="true" name="ahf_total_active_employee_curr" vbProcedure="false">#REF!</definedName>
    <definedName function="false" hidden="true" name="ahf_total_cr_claim_paid_with_cr_funds_curr" vbProcedure="false">#REF!</definedName>
    <definedName function="false" hidden="true" name="ahf_total_cr_clm_paid_with_rollover_funds_curr" vbProcedure="false">#REF!</definedName>
    <definedName function="false" hidden="true" name="ahf_total_cr_fund_remaining_curr" vbProcedure="false">#REF!</definedName>
    <definedName function="false" hidden="true" name="ahf_total_cr_year_initial_fund_curr" vbProcedure="false">#REF!</definedName>
    <definedName function="false" hidden="true" name="ahf_total_emp_0_spend_curr" vbProcedure="false">#REF!</definedName>
    <definedName function="false" hidden="true" name="ahf_total_emp_100_spend_curr" vbProcedure="false">#REF!</definedName>
    <definedName function="false" hidden="true" name="ahf_total_emp_24_1_spend_curr" vbProcedure="false">#REF!</definedName>
    <definedName function="false" hidden="true" name="ahf_total_emp_49_25_spend_curr" vbProcedure="false">#REF!</definedName>
    <definedName function="false" hidden="true" name="ahf_total_emp_74_50_spend_curr" vbProcedure="false">#REF!</definedName>
    <definedName function="false" hidden="true" name="ahf_total_emp_99_75_spend_curr" vbProcedure="false">#REF!</definedName>
    <definedName function="false" hidden="true" name="ahf_total_Incentive_fund_earned_curr" vbProcedure="false">#REF!</definedName>
    <definedName function="false" hidden="true" name="ahf_total_rollover_fund_remaining_curr" vbProcedure="false">#REF!</definedName>
    <definedName function="false" hidden="true" name="ahf_total_rollover_pr_year_curr" vbProcedure="false">#REF!</definedName>
    <definedName function="false" hidden="true" name="ahf_total_termd_active_employee_curr" vbProcedure="false">#REF!</definedName>
    <definedName function="false" hidden="true" name="ahf_total_termd_cr_claim_paid_with_cr_funds_curr" vbProcedure="false">#REF!</definedName>
    <definedName function="false" hidden="true" name="ahf_total_termd_cr_clm_paid_with_rollover_funds_curr" vbProcedure="false">#REF!</definedName>
    <definedName function="false" hidden="true" name="ahf_total_termd_cr_fund_remaining_curr" vbProcedure="false">#REF!</definedName>
    <definedName function="false" hidden="true" name="ahf_total_termd_cr_year_initial_fund_curr" vbProcedure="false">#REF!</definedName>
    <definedName function="false" hidden="true" name="ahf_total_termd_emp_0_spend_curr" vbProcedure="false">#REF!</definedName>
    <definedName function="false" hidden="true" name="ahf_total_termd_emp_100_spend_curr" vbProcedure="false">#REF!</definedName>
    <definedName function="false" hidden="true" name="ahf_total_termd_emp_24_1_spend_curr" vbProcedure="false">#REF!</definedName>
    <definedName function="false" hidden="true" name="ahf_total_termd_emp_49_25_spend_curr" vbProcedure="false">#REF!</definedName>
    <definedName function="false" hidden="true" name="ahf_total_termd_emp_74_50_spend_curr" vbProcedure="false">#REF!</definedName>
    <definedName function="false" hidden="true" name="ahf_total_termd_emp_99_75_spend_curr" vbProcedure="false">#REF!</definedName>
    <definedName function="false" hidden="true" name="ahf_total_termd_Incentive_fund_earned_curr" vbProcedure="false">#REF!</definedName>
    <definedName function="false" hidden="true" name="ahf_total_termd_rollover_fund_remaining_curr" vbProcedure="false">#REF!</definedName>
    <definedName function="false" hidden="true" name="ahf_total_termd_rollover_pr_year_curr" vbProcedure="false">#REF!</definedName>
    <definedName function="false" hidden="true" name="ahf_total_termd_tot_fund_available_curr" vbProcedure="false">#REF!</definedName>
    <definedName function="false" hidden="true" name="ahf_total_tot_fund_available_curr" vbProcedure="false">#REF!</definedName>
    <definedName function="false" hidden="false" name="AHR_Group" vbProcedure="false">#REF!</definedName>
    <definedName function="false" hidden="true" name="al" vbProcedure="false">#REF!</definedName>
    <definedName function="false" hidden="false" name="Alchemy.prt.2"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Alchemy0" vbProcedure="false">{#N/A,#N/A,FALSE,"New Depr Sch-150% DB";#N/A,#N/A,FALSE,"Cash Flows RLP";#N/A,#N/A,FALSE,"IRR";#N/A,#N/A,FALSE,"Proforma IS";#N/A,#N/A,FALSE,"Assumptions"}</definedName>
    <definedName function="false" hidden="true" name="Alchemycommonstart" vbProcedure="false">#REF!</definedName>
    <definedName function="false" hidden="true" name="AlchemyDATA_01" vbProcedure="false">#REF!</definedName>
    <definedName function="false" hidden="false" name="Alchemyddd" vbProcedure="false">{"histincome",#N/A,FALSE,"hyfins";"closing balance",#N/A,FALSE,"hyfins"}</definedName>
    <definedName function="false" hidden="false" name="Alchemydsfadsf" vbProcedure="false">{"histincome",#N/A,FALSE,"hyfins";"closing balance",#N/A,FALSE,"hyfins"}</definedName>
    <definedName function="false" hidden="false" name="AlchemyHemorrhage" vbProcedure="false">{"mgmt forecast",#N/A,FALSE,"Mgmt Forecast";"dcf table",#N/A,FALSE,"Mgmt Forecast";"sensitivity",#N/A,FALSE,"Mgmt Forecast";"table inputs",#N/A,FALSE,"Mgmt Forecast";"calculations",#N/A,FALSE,"Mgmt Forecast"}</definedName>
    <definedName function="false" hidden="false" name="Alchemyhhh1" vbProcedure="false">{#N/A,#N/A,FALSE,"MAY";#N/A,#N/A,FALSE,"Q2";#N/A,#N/A,FALSE,"YTD"}</definedName>
    <definedName function="false" hidden="false" name="Alchemyhhh9" vbProcedure="false">{#N/A,#N/A,FALSE,"MAY";#N/A,#N/A,FALSE,"Q2";#N/A,#N/A,FALSE,"YTD"}</definedName>
    <definedName function="false" hidden="false" name="Alchemyhhhh" vbProcedure="false">{#N/A,#N/A,FALSE,"MAY";#N/A,#N/A,FALSE,"Q2";#N/A,#N/A,FALSE,"YTD"}</definedName>
    <definedName function="false" hidden="false" name="Alchemyhhhh7000" vbProcedure="false">{#N/A,#N/A,FALSE,"MAY";#N/A,#N/A,FALSE,"Q2";#N/A,#N/A,FALSE,"YTD"}</definedName>
    <definedName function="false" hidden="false" name="AlchemyHTML_Control" vbProcedure="false">{"'Sheet1'!$A$1:$L$21"}</definedName>
    <definedName function="false" hidden="false" name="Alchemyklk"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Alchemylkjlkj" vbProcedure="false">{"Final",#N/A,FALSE,"Feb-96"}</definedName>
    <definedName function="false" hidden="false" name="Alchemynewname7000" vbProcedure="false">{#N/A,#N/A,FALSE,"MAY";#N/A,#N/A,FALSE,"Q2";#N/A,#N/A,FALSE,"YTD"}</definedName>
    <definedName function="false" hidden="false" name="Alchemynewname9" vbProcedure="false">{#N/A,#N/A,FALSE,"MAY";#N/A,#N/A,FALSE,"Q2";#N/A,#N/A,FALSE,"YTD"}</definedName>
    <definedName function="false" hidden="false" name="Alchemyshdhd"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Alchemyuuu11" vbProcedure="false">{#N/A,#N/A,FALSE,"MAY";#N/A,#N/A,FALSE,"Q2";#N/A,#N/A,FALSE,"YTD"}</definedName>
    <definedName function="false" hidden="false" name="Alchemyuuuu" vbProcedure="false">{#N/A,#N/A,FALSE,"MAY";#N/A,#N/A,FALSE,"Q2";#N/A,#N/A,FALSE,"YTD"}</definedName>
    <definedName function="false" hidden="false" name="Alchemyuuuu9" vbProcedure="false">{#N/A,#N/A,FALSE,"MAY";#N/A,#N/A,FALSE,"Q2";#N/A,#N/A,FALSE,"YTD"}</definedName>
    <definedName function="false" hidden="false" name="Alchemyuuuuu1" vbProcedure="false">{#N/A,#N/A,FALSE,"MAY";#N/A,#N/A,FALSE,"Q2";#N/A,#N/A,FALSE,"YTD"}</definedName>
    <definedName function="false" hidden="false" name="Alchemywhat"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Alchemywrn.Aging._.and_.Trend._.Analysis." vbProcedure="false">{#N/A,#N/A,FALSE,"Aging Summary";#N/A,#N/A,FALSE,"Ratio Analysis";#N/A,#N/A,FALSE,"Test 120 Day Accts";#N/A,#N/A,FALSE,"Tickmarks"}</definedName>
    <definedName function="false" hidden="false" name="Alchemywrn.Basic._.Report" vbProcedure="false">{#N/A,#N/A,FALSE,"New Depr Sch-150% DB";#N/A,#N/A,FALSE,"Cash Flows RLP";#N/A,#N/A,FALSE,"IRR";#N/A,#N/A,FALSE,"Proforma IS";#N/A,#N/A,FALSE,"Assumptions"}</definedName>
    <definedName function="false" hidden="false" name="Alchemy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Alchemywrn.columbus" vbProcedure="false">{"IS_plan vs Act",#N/A,FALSE,"IS_Plan-Act";"is_curr&amp;YTD",#N/A,FALSE,"IS_Plan-Act";"is_last5mos",#N/A,FALSE,"IS_Plan-Act";"is_vsYTD_RR",#N/A,FALSE,"IS_Plan-Act";"bs",#N/A,FALSE,"IS_Plan-Act";"bs_last5mos",#N/A,FALSE,"IS_Plan-Act";"cf",#N/A,FALSE,"IS_Plan-Act"}</definedName>
    <definedName function="false" hidden="false" name="Alchemywrn.Complete._.Report." vbProcedure="false">{#N/A,#N/A,FALSE,"Assumptions";#N/A,#N/A,FALSE,"Proforma IS";#N/A,#N/A,FALSE,"Cash Flows RLP";#N/A,#N/A,FALSE,"IRR";#N/A,#N/A,FALSE,"New Depr Sch-150% DB";#N/A,#N/A,FALSE,"Comments"}</definedName>
    <definedName function="false" hidden="false" name="Alchemywrn.consolidated." vbProcedure="false">{"IS_planvsActual",#N/A,FALSE,"IS_Plan-Act";"IS_curr&amp;YTD",#N/A,FALSE,"IS";"BS_curr&amp;lastmo",#N/A,FALSE,"BS";"bs 4 qtrs",#N/A,FALSE,"BS";"cf",#N/A,FALSE,"CF"}</definedName>
    <definedName function="false" hidden="false" name="Alchemywrn.dcf." vbProcedure="false">{"mgmt forecast",#N/A,FALSE,"Mgmt Forecast";"dcf table",#N/A,FALSE,"Mgmt Forecast";"sensitivity",#N/A,FALSE,"Mgmt Forecast";"table inputs",#N/A,FALSE,"Mgmt Forecast";"calculations",#N/A,FALSE,"Mgmt Forecast"}</definedName>
    <definedName function="false" hidden="false" name="Alchemywrn.dcf2." vbProcedure="false">{"mgmt forecast",#N/A,FALSE,"Mgmt Forecast";"dcf table",#N/A,FALSE,"Mgmt Forecast";"sensitivity",#N/A,FALSE,"Mgmt Forecast";"table inputs",#N/A,FALSE,"Mgmt Forecast";"calculations",#N/A,FALSE,"Mgmt Forecast"}</definedName>
    <definedName function="false" hidden="false" name="Alchemywrn.Draft." vbProcedure="false">{"Draft",#N/A,FALSE,"Feb-96"}</definedName>
    <definedName function="false" hidden="false" name="Alchemy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Alchemywrn.Final." vbProcedure="false">{"Final",#N/A,FALSE,"Feb-96"}</definedName>
    <definedName function="false" hidden="false" name="Alchemy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Alchemywrn.FY97SBP." vbProcedure="false">{#N/A,#N/A,FALSE,"FY97";#N/A,#N/A,FALSE,"FY98";#N/A,#N/A,FALSE,"FY99";#N/A,#N/A,FALSE,"FY00";#N/A,#N/A,FALSE,"FY01"}</definedName>
    <definedName function="false" hidden="false" name="Alchemywrn.MAY95." vbProcedure="false">{#N/A,#N/A,FALSE,"MAY";#N/A,#N/A,FALSE,"Q2";#N/A,#N/A,FALSE,"YTD"}</definedName>
    <definedName function="false" hidden="false" name="Alchemywrn.may959" vbProcedure="false">{#N/A,#N/A,FALSE,"MAY";#N/A,#N/A,FALSE,"Q2";#N/A,#N/A,FALSE,"YTD"}</definedName>
    <definedName function="false" hidden="false" name="Alchemywrn.phoenix." vbProcedure="false">{"is_plan vs Act",#N/A,FALSE,"IS_Plan-Act";"is_curr&amp;YTD",#N/A,FALSE,"IS_Plan-Act";"is_last5mos",#N/A,FALSE,"IS_Plan-Act";"is_vsYTD_RR",#N/A,FALSE,"IS_Plan-Act";"bs",#N/A,FALSE,"IS_Plan-Act";"bs_last5mos",#N/A,FALSE,"IS_Plan-Act";"cf",#N/A,FALSE,"IS_Plan-Act"}</definedName>
    <definedName function="false" hidden="false" name="Alchemywrn.Projections." vbProcedure="false">{"Volume",#N/A,FALSE,"volume";"revenue",#N/A,FALSE,"revenue"}</definedName>
    <definedName function="false" hidden="false" name="Alchemywrn.Relevant." vbProcedure="false">{#N/A,#N/A,FALSE,"Title Page";#N/A,#N/A,FALSE,"Conclusions";#N/A,#N/A,FALSE,"Assum.";#N/A,#N/A,FALSE,"Sun  DCF-WC-Dep";#N/A,#N/A,FALSE,"MarketValue";#N/A,#N/A,FALSE,"BalSheet";#N/A,#N/A,FALSE,"WACC";#N/A,#N/A,FALSE,"PC+ Info.";#N/A,#N/A,FALSE,"PC+Info_2"}</definedName>
    <definedName function="false" hidden="false" name="Alchemywrn.report" vbProcedure="false">{#N/A,#N/A,TRUE,"Mgmt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function="false" hidden="false" name="Alchemywrn.Revs." vbProcedure="false">{"Base_rev",#N/A,FALSE,"Proj_IS_Base";"Projrev",#N/A,FALSE,"Proj_IS_wOTLC";"Delta",#N/A,FALSE,"Delta Rev_PV"}</definedName>
    <definedName function="false" hidden="false" name="Alchemywrn.sum." vbProcedure="false">{"Opsys",#N/A,FALSE,"NPV_OPsys";"NT",#N/A,FALSE,"NPV_NT";"DevP",#N/A,FALSE,"NPV_DevPdt";"Office",#N/A,FALSE,"NPV_Office"}</definedName>
    <definedName function="false" hidden="false" name="Alchemywrn.upstairs." vbProcedure="false">{"histincome",#N/A,FALSE,"hyfins";"closing balance",#N/A,FALSE,"hyfins"}</definedName>
    <definedName function="false" hidden="false" name="Alchemywvu.ALL."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Alchemy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Alchemy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Alchemywvu.all3"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Alchemywvu.PRT."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Alchemywvu.prt.3"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Alchemywvu.prt2"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Alchemywvu.prt3"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Alchemyww.Rele" vbProcedure="false">{#N/A,#N/A,FALSE,"Title Page";#N/A,#N/A,FALSE,"Conclusions";#N/A,#N/A,FALSE,"Assum.";#N/A,#N/A,FALSE,"Sun  DCF-WC-Dep";#N/A,#N/A,FALSE,"MarketValue";#N/A,#N/A,FALSE,"BalSheet";#N/A,#N/A,FALSE,"WACC";#N/A,#N/A,FALSE,"PC+ Info.";#N/A,#N/A,FALSE,"PC+Info_2"}</definedName>
    <definedName function="false" hidden="false" name="Alchemyw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Alchemyx" vbProcedure="false">{#N/A,#N/A,FALSE,"FY97";#N/A,#N/A,FALSE,"FY98";#N/A,#N/A,FALSE,"FY99";#N/A,#N/A,FALSE,"FY00";#N/A,#N/A,FALSE,"FY01"}</definedName>
    <definedName function="false" hidden="false" name="Alchemyxys" vbProcedure="false">{#N/A,#N/A,FALSE,"Title Page";#N/A,#N/A,FALSE,"Conclusions";#N/A,#N/A,FALSE,"Assum.";#N/A,#N/A,FALSE,"Sun  DCF-WC-Dep";#N/A,#N/A,FALSE,"MarketValue";#N/A,#N/A,FALSE,"BalSheet";#N/A,#N/A,FALSE,"WACC";#N/A,#N/A,FALSE,"PC+ Info.";#N/A,#N/A,FALSE,"PC+Info_2"}</definedName>
    <definedName function="false" hidden="false" name="Alchemyzzz.com" vbProcedure="false">{#N/A,#N/A,FALSE,"Title Page";#N/A,#N/A,FALSE,"Conclusions";#N/A,#N/A,FALSE,"Assum.";#N/A,#N/A,FALSE,"Sun  DCF-WC-Dep";#N/A,#N/A,FALSE,"MarketValue";#N/A,#N/A,FALSE,"BalSheet";#N/A,#N/A,FALSE,"WACC";#N/A,#N/A,FALSE,"PC+ Info.";#N/A,#N/A,FALSE,"PC+Info_2"}</definedName>
    <definedName function="false" hidden="false" name="Alchemy_hhh9" vbProcedure="false">{#N/A,#N/A,FALSE,"MAY";#N/A,#N/A,FALSE,"Q2";#N/A,#N/A,FALSE,"YTD"}</definedName>
    <definedName function="false" hidden="false" name="Alchemy_uuu11" vbProcedure="false">{#N/A,#N/A,FALSE,"MAY";#N/A,#N/A,FALSE,"Q2";#N/A,#N/A,FALSE,"YTD"}</definedName>
    <definedName function="false" hidden="false" name="Alchemy__hhh9" vbProcedure="false">{#N/A,#N/A,FALSE,"MAY";#N/A,#N/A,FALSE,"Q2";#N/A,#N/A,FALSE,"YTD"}</definedName>
    <definedName function="false" hidden="false" name="Alchemy__uuu11" vbProcedure="false">{#N/A,#N/A,FALSE,"MAY";#N/A,#N/A,FALSE,"Q2";#N/A,#N/A,FALSE,"YTD"}</definedName>
    <definedName function="false" hidden="false" name="Alchemy___hhh9" vbProcedure="false">{#N/A,#N/A,FALSE,"MAY";#N/A,#N/A,FALSE,"Q2";#N/A,#N/A,FALSE,"YTD"}</definedName>
    <definedName function="false" hidden="false" name="Alchemy___uuu11" vbProcedure="false">{#N/A,#N/A,FALSE,"MAY";#N/A,#N/A,FALSE,"Q2";#N/A,#N/A,FALSE,"YTD"}</definedName>
    <definedName function="false" hidden="false" name="Alchemy____hhh9" vbProcedure="false">{#N/A,#N/A,FALSE,"MAY";#N/A,#N/A,FALSE,"Q2";#N/A,#N/A,FALSE,"YTD"}</definedName>
    <definedName function="false" hidden="false" name="Alchemy____uuu11" vbProcedure="false">{#N/A,#N/A,FALSE,"MAY";#N/A,#N/A,FALSE,"Q2";#N/A,#N/A,FALSE,"YTD"}</definedName>
    <definedName function="false" hidden="false" name="Alchemy_______hhh9" vbProcedure="false">{#N/A,#N/A,FALSE,"MAY";#N/A,#N/A,FALSE,"Q2";#N/A,#N/A,FALSE,"YTD"}</definedName>
    <definedName function="false" hidden="false" name="Alchemy_______uuu111" vbProcedure="false">{#N/A,#N/A,FALSE,"MAY";#N/A,#N/A,FALSE,"Q2";#N/A,#N/A,FALSE,"YTD"}</definedName>
    <definedName function="false" hidden="true" name="ale" vbProcedure="false">#REF!</definedName>
    <definedName function="false" hidden="true" name="alex" vbProcedure="false">{#N/A,#N/A,FALSE,"REPORT"}</definedName>
    <definedName function="false" hidden="true" name="alexan" vbProcedure="false">{#N/A,#N/A,FALSE,"REPORT"}</definedName>
    <definedName function="false" hidden="true" name="Alignment" vbProcedure="false">"a1"</definedName>
    <definedName function="false" hidden="false" name="All" vbProcedure="false">#REF!,#REF!,#REF!,#REF!,#REF!,#REF!,#REF!,#REF!,#REF!,#REF!,#REF!,#REF!</definedName>
    <definedName function="false" hidden="true" name="allocation" vbProcedure="false">{#N/A,#N/A,FALSE,"Allocation"}</definedName>
    <definedName function="false" hidden="false" name="Allowance_to_Receivables" vbProcedure="false">#REF!,#REF!</definedName>
    <definedName function="false" hidden="false" name="Allowance_to_Sales" vbProcedure="false">#REF!,#REF!</definedName>
    <definedName function="false" hidden="true" name="Amb_MDC_Analysis_Medical_Range" vbProcedure="false">#REF!</definedName>
    <definedName function="false" hidden="true" name="amb_mdc_na_bob_column1" vbProcedure="false">#REF!</definedName>
    <definedName function="false" hidden="false" name="Amt_CMRR" vbProcedure="false">#REF!</definedName>
    <definedName function="false" hidden="true" name="andy" vbProcedure="false">{#N/A,#N/A,FALSE,"REPORT"}</definedName>
    <definedName function="false" hidden="false" name="anscount" vbProcedure="false">1</definedName>
    <definedName function="false" hidden="true" name="approval" vbProcedure="false">{#N/A,#N/A,FALSE,"Cosmos Report"}</definedName>
    <definedName function="false" hidden="true" name="approval2" vbProcedure="false">{#N/A,#N/A,FALSE,"Cosmos Report"}</definedName>
    <definedName function="false" hidden="true" name="approvla" vbProcedure="false">{#N/A,#N/A,FALSE,"Cosmos Report"}</definedName>
    <definedName function="false" hidden="false" name="AprData" vbProcedure="false">#REF!</definedName>
    <definedName function="false" hidden="true" name="arancio" vbProcedure="false">{"FY98Q1 var",#N/A,FALSE,"FY98 - Q1";"FY98Q2 var",#N/A,FALSE,"FY98 - Q2";"FY98Q3 var",#N/A,FALSE,"FY98 - Q3";"FY98Q4 var",#N/A,FALSE,"FY98 - Q4"}</definedName>
    <definedName function="false" hidden="false" name="area" vbProcedure="false">#REF!</definedName>
    <definedName function="false" hidden="false" name="area3d" vbProcedure="false">#REF!</definedName>
    <definedName function="false" hidden="true" name="argqe" vbProcedure="false">{#N/A,#N/A,FALSE,"puboff";#N/A,#N/A,FALSE,"financials";#N/A,#N/A,FALSE,"valuation";#N/A,#N/A,FALSE,"split"}</definedName>
    <definedName function="false" hidden="true" name="arsdf" vbProcedure="false">{#N/A,#N/A,FALSE,"Aging Summary";#N/A,#N/A,FALSE,"Ratio Analysis";#N/A,#N/A,FALSE,"Test 120 Day Accts";#N/A,#N/A,FALSE,"Tickmarks"}</definedName>
    <definedName function="false" hidden="false" name="AR_June" vbProcedure="false">#REF!</definedName>
    <definedName function="false" hidden="false" name="AR_May" vbProcedure="false">#REF!</definedName>
    <definedName function="false" hidden="false" name="AS2DocOpenMode" vbProcedure="false">"AS2DocumentEdit"</definedName>
    <definedName function="false" hidden="false" name="AS2HasNoAutoHeaderFooter" vbProcedure="false">" "</definedName>
    <definedName function="false" hidden="false" name="AS2NamedRange" vbProcedure="false">6</definedName>
    <definedName function="false" hidden="false" name="AS2ReportLS" vbProcedure="false">1</definedName>
    <definedName function="false" hidden="true" name="AS2StaticLS" vbProcedure="false">#REF!</definedName>
    <definedName function="false" hidden="false" name="AS2SyncStepLS" vbProcedure="false">0</definedName>
    <definedName function="false" hidden="true" name="AS2TickmarkLS" vbProcedure="false">#REF!</definedName>
    <definedName function="false" hidden="false" name="AS2VersionLS" vbProcedure="false">300</definedName>
    <definedName function="false" hidden="true" name="asad" vbProcedure="false">"C6021"</definedName>
    <definedName function="false" hidden="true" name="asas" vbProcedure="false">{#N/A,#N/A,FALSE,"Pharm";#N/A,#N/A,FALSE,"WWCM"}</definedName>
    <definedName function="false" hidden="true" name="asd" vbProcedure="false">{#N/A,#N/A,FALSE,"Forecast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function="false" hidden="true" name="asdasfd" vbProcedure="false">39625.3919675926</definedName>
    <definedName function="false" hidden="true" name="asdf" vbProcedure="false">{"CHART",#N/A,FALSE,"Arch Communications"}</definedName>
    <definedName function="false" hidden="false" name="asdfasdfasd" vbProcedure="false">{"ReportTop",#N/A,FALSE,"report top"}</definedName>
    <definedName function="false" hidden="false" name="asdfasdre"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asdfg" vbProcedure="false">{#N/A,#N/A,FALSE,"Pharm";#N/A,#N/A,FALSE,"WWCM"}</definedName>
    <definedName function="false" hidden="true" name="asdgahdfhth" vbProcedure="false">{#N/A,#N/A,FALSE,"REPORT"}</definedName>
    <definedName function="false" hidden="true" name="asdgayery" vbProcedure="false">{#N/A,#N/A,FALSE,"Pharm";#N/A,#N/A,FALSE,"WWCM"}</definedName>
    <definedName function="false" hidden="true" name="asdgfdytyet" vbProcedure="false">{#N/A,#N/A,FALSE,"REPORT"}</definedName>
    <definedName function="false" hidden="true" name="asdgtryukuio" vbProcedure="false">{#N/A,#N/A,FALSE,"REPORT"}</definedName>
    <definedName function="false" hidden="true" name="asdjgkl" vbProcedure="false">{#N/A,#N/A,FALSE,"Pharm";#N/A,#N/A,FALSE,"WWCM"}</definedName>
    <definedName function="false" hidden="true" name="asdsa" vbProcedure="false">{"FY97Tot nvs",#N/A,FALSE,"FY97 - Total";"FY98Tot nvs",#N/A,FALSE,"FY98 - Total"}</definedName>
    <definedName function="false" hidden="true" name="aser" vbProcedure="false">{"FY97Tot nvs",#N/A,FALSE,"FY97 - Total";"FY98Tot nvs",#N/A,FALSE,"FY98 - Total"}</definedName>
    <definedName function="false" hidden="false" name="ASF" vbProcedure="false">#REF!</definedName>
    <definedName function="false" hidden="true" name="asfd" vbProcedure="false">#REF!</definedName>
    <definedName function="false" hidden="true" name="asffghujyki" vbProcedure="false">{#N/A,#N/A,FALSE,"Pharm";#N/A,#N/A,FALSE,"WWCM"}</definedName>
    <definedName function="false" hidden="false" name="ASM" vbProcedure="false">#REF!</definedName>
    <definedName function="false" hidden="false" name="ASM_FCST" vbProcedure="false">#REF!</definedName>
    <definedName function="false" hidden="false" name="ASM_Key" vbProcedure="false">#REF!</definedName>
    <definedName function="false" hidden="true" name="ASSA" vbProcedure="false">{#N/A,#N/A,FALSE,"1";#N/A,#N/A,FALSE,"2";#N/A,#N/A,FALSE,"16 - 17";#N/A,#N/A,FALSE,"18 - 19";#N/A,#N/A,FALSE,"26";#N/A,#N/A,FALSE,"27";#N/A,#N/A,FALSE,"28"}</definedName>
    <definedName function="false" hidden="false" name="Assets_and_Liabs" vbProcedure="false">#REF!,#REF!</definedName>
    <definedName function="false" hidden="true" name="asspts" vbProcedure="false">{#N/A,#N/A,FALSE,"Assumptions"}</definedName>
    <definedName function="false" hidden="false" name="Assumps" vbProcedure="false">#REF!,#REF!</definedName>
    <definedName function="false" hidden="false" name="AugData" vbProcedure="false">#REF!</definedName>
    <definedName function="false" hidden="true" name="AUto1" vbProcedure="false">{#N/A,#N/A,FALSE,"Sheet1"}</definedName>
    <definedName function="false" hidden="true" name="avegmultiple" vbProcedure="false">#REF!</definedName>
    <definedName function="false" hidden="false" name="Avg_Sub_Fee" vbProcedure="false">#REF!</definedName>
    <definedName function="false" hidden="true" name="AX" vbProcedure="false">{#N/A,#N/A,FALSE,"Pharm";#N/A,#N/A,FALSE,"WWCM"}</definedName>
    <definedName function="false" hidden="true" name="axe" vbProcedure="false">{#N/A,#N/A,FALSE,"TS";#N/A,#N/A,FALSE,"Combo";#N/A,#N/A,FALSE,"FAIR";#N/A,#N/A,FALSE,"RBC";#N/A,#N/A,FALSE,"xxxx";#N/A,#N/A,FALSE,"A_D";#N/A,#N/A,FALSE,"WACC";#N/A,#N/A,FALSE,"DCF";#N/A,#N/A,FALSE,"LBO";#N/A,#N/A,FALSE,"AcqMults";#N/A,#N/A,FALSE,"CompMults"}</definedName>
    <definedName function="false" hidden="true" name="ayman" vbProcedure="false">{#N/A,#N/A,FALSE,"1";#N/A,#N/A,FALSE,"2";#N/A,#N/A,FALSE,"16 - 17";#N/A,#N/A,FALSE,"18 - 19";#N/A,#N/A,FALSE,"26";#N/A,#N/A,FALSE,"27";#N/A,#N/A,FALSE,"28"}</definedName>
    <definedName function="false" hidden="true" name="ayman1" vbProcedure="false">{#N/A,#N/A,FALSE,"Pharm";#N/A,#N/A,FALSE,"WWCM"}</definedName>
    <definedName function="false" hidden="true" name="ayman2" vbProcedure="false">{#N/A,#N/A,FALSE,"Pharm";#N/A,#N/A,FALSE,"WWCM"}</definedName>
    <definedName function="false" hidden="true" name="ayman7" vbProcedure="false">{#N/A,#N/A,FALSE,"REPORT"}</definedName>
    <definedName function="false" hidden="true" name="ayman8" vbProcedure="false">{#N/A,#N/A,FALSE,"REPORT"}</definedName>
    <definedName function="false" hidden="true" name="az" vbProcedure="false">{#VALUE!,#N/A,FALSE,0}</definedName>
    <definedName function="false" hidden="true" name="azeazr" vbProcedure="false">{#N/A,#N/A,FALSE,"Sales Graph";#N/A,#N/A,FALSE,"BUC Graph";#N/A,#N/A,FALSE,"P&amp;L - YTD"}</definedName>
    <definedName function="false" hidden="true" name="azerety" vbProcedure="false">{#N/A,#N/A,FALSE,"Pharm";#N/A,#N/A,FALSE,"WWCM"}</definedName>
    <definedName function="false" hidden="true" name="b" vbProcedure="false">#REF!</definedName>
    <definedName function="false" hidden="true" name="bad" vbProcedure="false">{#N/A,#N/A,FALSE,"CASH";#N/A,#N/A,FALSE,"ACCT REC";#N/A,#N/A,FALSE,"PP&amp;E";#N/A,#N/A,FALSE,"OTHER ASSETS";#N/A,#N/A,FALSE,"CP LTD";#N/A,#N/A,FALSE,"ACCT PAY";#N/A,#N/A,FALSE,"ACCRUED OTH AP";#N/A,#N/A,FALSE,"LTD";#N/A,#N/A,FALSE,"REVENUES &amp; EXPENSES"}</definedName>
    <definedName function="false" hidden="true" name="BadLink" vbProcedure="false">#REF!</definedName>
    <definedName function="false" hidden="false" name="bar" vbProcedure="false">#REF!</definedName>
    <definedName function="false" hidden="false" name="Basic" vbProcedure="false">#REF!</definedName>
    <definedName function="false" hidden="tru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true" name="bbbb" vbProcedure="false">{#N/A,#N/A,FALSE,"REPORT"}</definedName>
    <definedName function="false" hidden="true" name="bbbbb" vbProcedure="false">{#N/A,#N/A,FALSE,"Pharm";#N/A,#N/A,FALSE,"WWCM"}</definedName>
    <definedName function="false" hidden="true" name="BBBBBB" vbProcedure="false">{#N/A,#N/A,FALSE,"REPORT"}</definedName>
    <definedName function="false" hidden="true" name="BBBBBBBBB" vbProcedure="false">{#N/A,#N/A,FALSE,"REPORT"}</definedName>
    <definedName function="false" hidden="true" name="bbbbbbbbbbbbb" vbProcedure="false">{#N/A,#N/A,FALSE,"Pharm";#N/A,#N/A,FALSE,"WWCM"}</definedName>
    <definedName function="false" hidden="true" name="bb_OTVBNUYzNTBGMTVCNEFDN0" vbProcedure="false">#REF!</definedName>
    <definedName function="false" hidden="true" name="BCHART" vbProcedure="false">#REF!</definedName>
    <definedName function="false" hidden="false" name="BdPkgFileName" vbProcedure="false">#REF!</definedName>
    <definedName function="false" hidden="true" name="Bear" vbProcedure="false">{#N/A,#N/A,FALSE,"TS";#N/A,#N/A,FALSE,"Combo";#N/A,#N/A,FALSE,"FAIR";#N/A,#N/A,FALSE,"RBC";#N/A,#N/A,FALSE,"xxxx";#N/A,#N/A,FALSE,"A_D";#N/A,#N/A,FALSE,"WACC";#N/A,#N/A,FALSE,"DCF";#N/A,#N/A,FALSE,"LBO";#N/A,#N/A,FALSE,"AcqMults";#N/A,#N/A,FALSE,"CompMults"}</definedName>
    <definedName function="false" hidden="true" name="bearr" vbProcedure="false">{#N/A,#N/A,FALSE,"TS";#N/A,#N/A,FALSE,"Combo";#N/A,#N/A,FALSE,"FAIR";#N/A,#N/A,FALSE,"RBC";#N/A,#N/A,FALSE,"xxxx";#N/A,#N/A,FALSE,"A_D";#N/A,#N/A,FALSE,"WACC";#N/A,#N/A,FALSE,"DCF";#N/A,#N/A,FALSE,"LBO";#N/A,#N/A,FALSE,"AcqMults";#N/A,#N/A,FALSE,"CompMults"}</definedName>
    <definedName function="false" hidden="false" name="BegDealYear" vbProcedure="false">#REF!</definedName>
    <definedName function="false" hidden="false" name="BegDealYearBSF" vbProcedure="false">#REF!</definedName>
    <definedName function="false" hidden="false" name="BeginingYear" vbProcedure="false">#REF!</definedName>
    <definedName function="false" hidden="true" name="bello" vbProcedure="false">{"FY98Q1",#N/A,FALSE,"FY98 - Q1";"FY98Q2",#N/A,FALSE,"FY98 - Q2";"FY98Q3",#N/A,FALSE,"FY98 - Q3";"FY98Q4",#N/A,FALSE,"FY98 - Q4"}</definedName>
    <definedName function="false" hidden="false" name="BENCHMARK" vbProcedure="false">#REF!</definedName>
    <definedName function="false" hidden="true" name="beta" vbProcedure="false">{"FY97Q1 var",#N/A,FALSE,"FY97 - Q1";"FY97Q2 var",#N/A,FALSE,"FY97 - Q2";"FY97Q3 var",#N/A,FALSE,"FY97 - Q3";"FY97Q4 var",#N/A,FALSE,"FY97 - Q4"}</definedName>
    <definedName function="false" hidden="false" name="BG_Del" vbProcedure="false">15</definedName>
    <definedName function="false" hidden="false" name="BG_Ins" vbProcedure="false">4</definedName>
    <definedName function="false" hidden="false" name="BG_Mod" vbProcedure="false">6</definedName>
    <definedName function="false" hidden="true" name="BHBOBDate" vbProcedure="false">#REF!</definedName>
    <definedName function="false" hidden="true" name="BH_BOB_Med_admit_count_curr" vbProcedure="false">#REF!</definedName>
    <definedName function="false" hidden="true" name="BH_BOB_Med_amb_paid_amt_curr" vbProcedure="false">#REF!</definedName>
    <definedName function="false" hidden="true" name="BH_BOB_Med_amb_surgery_count_curr" vbProcedure="false">#REF!</definedName>
    <definedName function="false" hidden="true" name="BH_BOB_Med_avg_age_members_curr" vbProcedure="false">#REF!</definedName>
    <definedName function="false" hidden="true" name="BH_BOB_Med_claim_count_above_threshold_curr" vbProcedure="false">#REF!</definedName>
    <definedName function="false" hidden="true" name="BH_BOB_Med_claim_count_curr" vbProcedure="false">#REF!</definedName>
    <definedName function="false" hidden="true" name="BH_BOB_Med_cob_amt_curr" vbProcedure="false">#REF!</definedName>
    <definedName function="false" hidden="true" name="BH_BOB_Med_coinsurance_amt_curr" vbProcedure="false">#REF!</definedName>
    <definedName function="false" hidden="true" name="BH_BOB_Med_copay_amt_curr" vbProcedure="false">#REF!</definedName>
    <definedName function="false" hidden="true" name="BH_BOB_Med_days_count_curr" vbProcedure="false">#REF!</definedName>
    <definedName function="false" hidden="true" name="BH_BOB_Med_deductible_amt_curr" vbProcedure="false">#REF!</definedName>
    <definedName function="false" hidden="true" name="BH_BOB_Med_er_visits_count_curr" vbProcedure="false">#REF!</definedName>
    <definedName function="false" hidden="true" name="BH_BOB_Med_female_members_curr" vbProcedure="false">#REF!</definedName>
    <definedName function="false" hidden="true" name="BH_BOB_Med_female_mem_0_19_curr" vbProcedure="false">#REF!</definedName>
    <definedName function="false" hidden="true" name="BH_BOB_Med_female_mem_20_44_curr" vbProcedure="false">#REF!</definedName>
    <definedName function="false" hidden="true" name="BH_BOB_Med_female_mem_45_64_curr" vbProcedure="false">#REF!</definedName>
    <definedName function="false" hidden="true" name="BH_BOB_Med_female_mem_65_over_curr" vbProcedure="false">#REF!</definedName>
    <definedName function="false" hidden="true" name="BH_BOB_Med_inp_paid_amt_curr" vbProcedure="false">#REF!</definedName>
    <definedName function="false" hidden="true" name="BH_BOB_Med_inp_surgery_count_curr" vbProcedure="false">#REF!</definedName>
    <definedName function="false" hidden="true" name="BH_BOB_Med_male_members_curr" vbProcedure="false">#REF!</definedName>
    <definedName function="false" hidden="true" name="BH_BOB_Med_male_mem_0_19_curr" vbProcedure="false">#REF!</definedName>
    <definedName function="false" hidden="true" name="BH_BOB_Med_male_mem_20_44_curr" vbProcedure="false">#REF!</definedName>
    <definedName function="false" hidden="true" name="BH_BOB_Med_male_mem_45_64_curr" vbProcedure="false">#REF!</definedName>
    <definedName function="false" hidden="true" name="BH_BOB_Med_male_mem_65_over_curr" vbProcedure="false">#REF!</definedName>
    <definedName function="false" hidden="true" name="BH_BOB_Med_months_curr" vbProcedure="false">#REF!</definedName>
    <definedName function="false" hidden="true" name="BH_BOB_Med_network_outpatient_visits_curr" vbProcedure="false">#REF!</definedName>
    <definedName function="false" hidden="true" name="BH_BOB_Med_num_employees_curr" vbProcedure="false">#REF!</definedName>
    <definedName function="false" hidden="true" name="BH_BOB_Med_num_members_curr" vbProcedure="false">#REF!</definedName>
    <definedName function="false" hidden="true" name="BH_BOB_Med_office_visits_count_curr" vbProcedure="false">#REF!</definedName>
    <definedName function="false" hidden="true" name="BH_BOB_Med_outpatient_visits_curr" vbProcedure="false">#REF!</definedName>
    <definedName function="false" hidden="true" name="BH_BOB_Med_paid_amt_above_threshold_curr" vbProcedure="false">#REF!</definedName>
    <definedName function="false" hidden="true" name="BH_BOB_Med_paid_amt_curr" vbProcedure="false">#REF!</definedName>
    <definedName function="false" hidden="true" name="BH_BOB_Med_paid_amt_inp_treatment_center_curr" vbProcedure="false">#REF!</definedName>
    <definedName function="false" hidden="true" name="BH_BOB_Med_paid_amt_intensive_outpatient_curr" vbProcedure="false">#REF!</definedName>
    <definedName function="false" hidden="true" name="BH_BOB_Med_paid_amt_misc_bh_curr" vbProcedure="false">#REF!</definedName>
    <definedName function="false" hidden="true" name="BH_BOB_Med_paid_amt_other_bh_visits_curr" vbProcedure="false">#REF!</definedName>
    <definedName function="false" hidden="true" name="BH_BOB_Med_paid_amt_partial_hospital_program_curr" vbProcedure="false">#REF!</definedName>
    <definedName function="false" hidden="true" name="BH_BOB_Med_paid_amt_psychiatrist_visits_curr" vbProcedure="false">#REF!</definedName>
    <definedName function="false" hidden="true" name="BH_BOB_Med_paid_amt_psychologist_visits_curr" vbProcedure="false">#REF!</definedName>
    <definedName function="false" hidden="true" name="BH_BOB_Med_paid_amt_residentail_treatment_center_curr" vbProcedure="false">#REF!</definedName>
    <definedName function="false" hidden="true" name="BH_BOB_Med_par_admit_count_curr" vbProcedure="false">#REF!</definedName>
    <definedName function="false" hidden="true" name="BH_BOB_Med_par_paid_amt_curr" vbProcedure="false">#REF!</definedName>
    <definedName function="false" hidden="true" name="BH_BOB_Med_par_phys_office_visits_count_curr" vbProcedure="false">#REF!</definedName>
    <definedName function="false" hidden="true" name="BH_BOB_Med_phys_office_visits_count_curr" vbProcedure="false">#REF!</definedName>
    <definedName function="false" hidden="true" name="BH_BOB_Med_surgery_count_curr" vbProcedure="false">#REF!</definedName>
    <definedName function="false" hidden="true" name="BH_BOB_Med_threshold_curr" vbProcedure="false">#REF!</definedName>
    <definedName function="false" hidden="true" name="BH_BOB_Med_unknown_members_curr" vbProcedure="false">#REF!</definedName>
    <definedName function="false" hidden="true" name="BH_BOB_Med_unknown_mem_0_19_curr" vbProcedure="false">#REF!</definedName>
    <definedName function="false" hidden="true" name="BH_BOB_Med_unknown_mem_20_44_curr" vbProcedure="false">#REF!</definedName>
    <definedName function="false" hidden="true" name="BH_BOB_Med_unknown_mem_45_64_curr" vbProcedure="false">#REF!</definedName>
    <definedName function="false" hidden="true" name="BH_BOB_Med_unknown_mem_65_over_curr" vbProcedure="false">#REF!</definedName>
    <definedName function="false" hidden="true" name="BH_BOB_num_brand_multisource_claims_curr" vbProcedure="false">#REF!</definedName>
    <definedName function="false" hidden="true" name="BH_BOB_num_brand_singlesource_claims_curr" vbProcedure="false">#REF!</definedName>
    <definedName function="false" hidden="true" name="BH_BOB_num_claims_curr" vbProcedure="false">#REF!</definedName>
    <definedName function="false" hidden="true" name="BH_BOB_num_cross_brand_claims_curr" vbProcedure="false">#REF!</definedName>
    <definedName function="false" hidden="true" name="BH_BOB_num_formulary_claims_curr" vbProcedure="false">#REF!</definedName>
    <definedName function="false" hidden="true" name="BH_BOB_num_generic_claims_curr" vbProcedure="false">#REF!</definedName>
    <definedName function="false" hidden="true" name="BH_BOB_num_non_formulary_claims_curr" vbProcedure="false">#REF!</definedName>
    <definedName function="false" hidden="true" name="BH_BOB_num_other_generic_claims_curr" vbProcedure="false">#REF!</definedName>
    <definedName function="false" hidden="true" name="BH_BOB_num_util_members_curr" vbProcedure="false">#REF!</definedName>
    <definedName function="false" hidden="true" name="BH_BOB_Rx_avg_age_members_curr" vbProcedure="false">#REF!</definedName>
    <definedName function="false" hidden="true" name="BH_BOB_Rx_female_members_curr" vbProcedure="false">#REF!</definedName>
    <definedName function="false" hidden="true" name="BH_BOB_Rx_female_mem_0_19_curr" vbProcedure="false">#REF!</definedName>
    <definedName function="false" hidden="true" name="BH_BOB_Rx_female_mem_20_44_curr" vbProcedure="false">#REF!</definedName>
    <definedName function="false" hidden="true" name="BH_BOB_Rx_female_mem_45_64_curr" vbProcedure="false">#REF!</definedName>
    <definedName function="false" hidden="true" name="BH_BOB_Rx_female_mem_65_over_curr" vbProcedure="false">#REF!</definedName>
    <definedName function="false" hidden="true" name="BH_BOB_Rx_male_members_curr" vbProcedure="false">#REF!</definedName>
    <definedName function="false" hidden="true" name="BH_BOB_Rx_male_mem_0_19_curr" vbProcedure="false">#REF!</definedName>
    <definedName function="false" hidden="true" name="BH_BOB_Rx_male_mem_20_44_curr" vbProcedure="false">#REF!</definedName>
    <definedName function="false" hidden="true" name="BH_BOB_Rx_male_mem_45_64_curr" vbProcedure="false">#REF!</definedName>
    <definedName function="false" hidden="true" name="BH_BOB_Rx_male_mem_65_over_curr" vbProcedure="false">#REF!</definedName>
    <definedName function="false" hidden="true" name="BH_BOB_Rx_months_curr" vbProcedure="false">#REF!</definedName>
    <definedName function="false" hidden="true" name="BH_BOB_Rx_num_employees_curr" vbProcedure="false">#REF!</definedName>
    <definedName function="false" hidden="true" name="BH_BOB_Rx_num_members_curr" vbProcedure="false">#REF!</definedName>
    <definedName function="false" hidden="true" name="BH_BOB_Rx_unknown_members_curr" vbProcedure="false">#REF!</definedName>
    <definedName function="false" hidden="true" name="BH_BOB_Rx_unknown_mem_0_19_curr" vbProcedure="false">#REF!</definedName>
    <definedName function="false" hidden="true" name="BH_BOB_Rx_unknown_mem_20_44_curr" vbProcedure="false">#REF!</definedName>
    <definedName function="false" hidden="true" name="BH_BOB_Rx_unknown_mem_45_64_curr" vbProcedure="false">#REF!</definedName>
    <definedName function="false" hidden="true" name="BH_BOB_Rx_unknown_mem_65_over_curr" vbProcedure="false">#REF!</definedName>
    <definedName function="false" hidden="true" name="BH_BOB_sum_brand_multisource_paid_amt_curr" vbProcedure="false">#REF!</definedName>
    <definedName function="false" hidden="true" name="BH_BOB_sum_brand_singlesource_paid_amt_curr" vbProcedure="false">#REF!</definedName>
    <definedName function="false" hidden="true" name="BH_BOB_sum_cross_brand_paid_amt_curr" vbProcedure="false">#REF!</definedName>
    <definedName function="false" hidden="true" name="BH_BOB_sum_formulary_paid_amt_curr" vbProcedure="false">#REF!</definedName>
    <definedName function="false" hidden="true" name="BH_BOB_sum_generic_paid_amt_curr" vbProcedure="false">#REF!</definedName>
    <definedName function="false" hidden="true" name="BH_BOB_sum_non_formulary_paid_amt_curr" vbProcedure="false">#REF!</definedName>
    <definedName function="false" hidden="true" name="BH_BOB_sum_other_generic_paid_amt_curr" vbProcedure="false">#REF!</definedName>
    <definedName function="false" hidden="true" name="BH_BOB_sum_paid_curr" vbProcedure="false">#REF!</definedName>
    <definedName function="false" hidden="true" name="BH_Med_billed_amt_inp_treatment_center_curr" vbProcedure="false">#REF!</definedName>
    <definedName function="false" hidden="true" name="BH_Med_billed_amt_inp_treatment_center_prior" vbProcedure="false">#REF!</definedName>
    <definedName function="false" hidden="true" name="BH_Med_billed_amt_intensive_outpatient_curr" vbProcedure="false">#REF!</definedName>
    <definedName function="false" hidden="true" name="BH_Med_billed_amt_intensive_outpatient_prior" vbProcedure="false">#REF!</definedName>
    <definedName function="false" hidden="true" name="BH_Med_billed_amt_misc_bh_curr" vbProcedure="false">#REF!</definedName>
    <definedName function="false" hidden="true" name="BH_Med_billed_amt_misc_bh_prior" vbProcedure="false">#REF!</definedName>
    <definedName function="false" hidden="true" name="BH_Med_billed_amt_other_bh_visits_curr" vbProcedure="false">#REF!</definedName>
    <definedName function="false" hidden="true" name="BH_Med_billed_amt_other_bh_visits_prior" vbProcedure="false">#REF!</definedName>
    <definedName function="false" hidden="true" name="BH_Med_billed_amt_partial_hospital_program_curr" vbProcedure="false">#REF!</definedName>
    <definedName function="false" hidden="true" name="BH_Med_billed_amt_partial_hospital_program_prior" vbProcedure="false">#REF!</definedName>
    <definedName function="false" hidden="true" name="BH_Med_billed_amt_psychiatrist_visits_curr" vbProcedure="false">#REF!</definedName>
    <definedName function="false" hidden="true" name="BH_Med_billed_amt_psychiatrist_visits_prior" vbProcedure="false">#REF!</definedName>
    <definedName function="false" hidden="true" name="BH_Med_billed_amt_psychologist_visits_curr" vbProcedure="false">#REF!</definedName>
    <definedName function="false" hidden="true" name="BH_Med_billed_amt_psychologist_visits_prior" vbProcedure="false">#REF!</definedName>
    <definedName function="false" hidden="true" name="BH_Med_billed_amt_residentail_treatment_center_curr" vbProcedure="false">#REF!</definedName>
    <definedName function="false" hidden="true" name="BH_Med_billed_amt_residentail_treatment_center_prior" vbProcedure="false">#REF!</definedName>
    <definedName function="false" hidden="true" name="BH_Med_network_outpatient_visits_curr" vbProcedure="false">#REF!</definedName>
    <definedName function="false" hidden="true" name="BH_Med_network_outpatient_visits_prior" vbProcedure="false">#REF!</definedName>
    <definedName function="false" hidden="true" name="BH_Med_outpatient_visits_curr" vbProcedure="false">#REF!</definedName>
    <definedName function="false" hidden="true" name="BH_Med_outpatient_visits_prior" vbProcedure="false">#REF!</definedName>
    <definedName function="false" hidden="true" name="BH_Med_paid_amt_inp_treatment_center_curr" vbProcedure="false">#REF!</definedName>
    <definedName function="false" hidden="true" name="BH_Med_paid_amt_inp_treatment_center_prior" vbProcedure="false">#REF!</definedName>
    <definedName function="false" hidden="true" name="BH_Med_paid_amt_intensive_outpatient_curr" vbProcedure="false">#REF!</definedName>
    <definedName function="false" hidden="true" name="BH_Med_paid_amt_intensive_outpatient_prior" vbProcedure="false">#REF!</definedName>
    <definedName function="false" hidden="true" name="BH_Med_paid_amt_misc_bh_curr" vbProcedure="false">#REF!</definedName>
    <definedName function="false" hidden="true" name="BH_Med_paid_amt_misc_bh_prior" vbProcedure="false">#REF!</definedName>
    <definedName function="false" hidden="true" name="BH_Med_paid_amt_other_bh_visits_curr" vbProcedure="false">#REF!</definedName>
    <definedName function="false" hidden="true" name="BH_Med_paid_amt_other_bh_visits_prior" vbProcedure="false">#REF!</definedName>
    <definedName function="false" hidden="true" name="BH_Med_paid_amt_partial_hospital_program_curr" vbProcedure="false">#REF!</definedName>
    <definedName function="false" hidden="true" name="BH_Med_paid_amt_partial_hospital_program_prior" vbProcedure="false">#REF!</definedName>
    <definedName function="false" hidden="true" name="BH_Med_paid_amt_psychiatrist_visits_curr" vbProcedure="false">#REF!</definedName>
    <definedName function="false" hidden="true" name="BH_Med_paid_amt_psychiatrist_visits_prior" vbProcedure="false">#REF!</definedName>
    <definedName function="false" hidden="true" name="BH_Med_paid_amt_psychologist_visits_curr" vbProcedure="false">#REF!</definedName>
    <definedName function="false" hidden="true" name="BH_Med_paid_amt_psychologist_visits_prior" vbProcedure="false">#REF!</definedName>
    <definedName function="false" hidden="true" name="BH_Med_paid_amt_residentail_treatment_center_curr" vbProcedure="false">#REF!</definedName>
    <definedName function="false" hidden="true" name="BH_Med_paid_amt_residentail_treatment_center_prior" vbProcedure="false">#REF!</definedName>
    <definedName function="false" hidden="true" name="BH_Med_util_inp_treatment_center_curr" vbProcedure="false">#REF!</definedName>
    <definedName function="false" hidden="true" name="BH_Med_util_inp_treatment_center_prior" vbProcedure="false">#REF!</definedName>
    <definedName function="false" hidden="true" name="BH_Med_util_intensive_outpatient_curr" vbProcedure="false">#REF!</definedName>
    <definedName function="false" hidden="true" name="BH_Med_util_intensive_outpatient_prior" vbProcedure="false">#REF!</definedName>
    <definedName function="false" hidden="true" name="BH_Med_util_misc_bh_curr" vbProcedure="false">#REF!</definedName>
    <definedName function="false" hidden="true" name="BH_Med_util_misc_bh_prior" vbProcedure="false">#REF!</definedName>
    <definedName function="false" hidden="true" name="BH_Med_util_other_bh_visits_curr" vbProcedure="false">#REF!</definedName>
    <definedName function="false" hidden="true" name="BH_Med_util_other_bh_visits_prior" vbProcedure="false">#REF!</definedName>
    <definedName function="false" hidden="true" name="BH_Med_util_partial_hospital_program_curr" vbProcedure="false">#REF!</definedName>
    <definedName function="false" hidden="true" name="BH_Med_util_partial_hospital_program_prior" vbProcedure="false">#REF!</definedName>
    <definedName function="false" hidden="true" name="BH_Med_util_psychiatrist_visits_curr" vbProcedure="false">#REF!</definedName>
    <definedName function="false" hidden="true" name="BH_Med_util_psychiatrist_visits_prior" vbProcedure="false">#REF!</definedName>
    <definedName function="false" hidden="true" name="BH_Med_util_psychologist_visits_curr" vbProcedure="false">#REF!</definedName>
    <definedName function="false" hidden="true" name="BH_Med_util_psychologist_visits_prior" vbProcedure="false">#REF!</definedName>
    <definedName function="false" hidden="true" name="BH_Med_util_residentail_treatment_center_curr" vbProcedure="false">#REF!</definedName>
    <definedName function="false" hidden="true" name="BH_Med_util_residentail_treatment_center_prior" vbProcedure="false">#REF!</definedName>
    <definedName function="false" hidden="true" name="BH_sum_paid_class_AA_curr" vbProcedure="false">#REF!</definedName>
    <definedName function="false" hidden="true" name="BH_sum_paid_class_AB_curr" vbProcedure="false">#REF!</definedName>
    <definedName function="false" hidden="true" name="BH_sum_paid_class_AC_curr" vbProcedure="false">#REF!</definedName>
    <definedName function="false" hidden="true" name="BH_sum_paid_class_AD_curr" vbProcedure="false">#REF!</definedName>
    <definedName function="false" hidden="true" name="BH_sum_paid_class_AE_curr" vbProcedure="false">#REF!</definedName>
    <definedName function="false" hidden="true" name="BH_sum_paid_class_AF_curr" vbProcedure="false">#REF!</definedName>
    <definedName function="false" hidden="true" name="BH_sum_paid_class_AG_curr" vbProcedure="false">#REF!</definedName>
    <definedName function="false" hidden="true" name="BH_sum_paid_class_AH_curr" vbProcedure="false">#REF!</definedName>
    <definedName function="false" hidden="true" name="BH_sum_paid_class_AI_curr" vbProcedure="false">#REF!</definedName>
    <definedName function="false" hidden="true" name="BH_sum_paid_class_AJ_curr" vbProcedure="false">#REF!</definedName>
    <definedName function="false" hidden="true" name="BH_sum_paid_class_AK_curr" vbProcedure="false">#REF!</definedName>
    <definedName function="false" hidden="true" name="BH_sum_paid_class_A_curr" vbProcedure="false">#REF!</definedName>
    <definedName function="false" hidden="true" name="BH_sum_paid_class_B_curr" vbProcedure="false">#REF!</definedName>
    <definedName function="false" hidden="true" name="BH_sum_paid_class_C_curr" vbProcedure="false">#REF!</definedName>
    <definedName function="false" hidden="true" name="BH_sum_paid_class_D_curr" vbProcedure="false">#REF!</definedName>
    <definedName function="false" hidden="true" name="BH_sum_paid_class_E_curr" vbProcedure="false">#REF!</definedName>
    <definedName function="false" hidden="true" name="BH_sum_paid_class_F_curr" vbProcedure="false">#REF!</definedName>
    <definedName function="false" hidden="true" name="BH_sum_paid_class_G_curr" vbProcedure="false">#REF!</definedName>
    <definedName function="false" hidden="true" name="BH_sum_paid_class_H_curr" vbProcedure="false">#REF!</definedName>
    <definedName function="false" hidden="true" name="BH_sum_paid_class_I_curr" vbProcedure="false">#REF!</definedName>
    <definedName function="false" hidden="true" name="BH_sum_paid_class_J_curr" vbProcedure="false">#REF!</definedName>
    <definedName function="false" hidden="true" name="BH_sum_paid_class_K_curr" vbProcedure="false">#REF!</definedName>
    <definedName function="false" hidden="true" name="BH_sum_paid_class_L_curr" vbProcedure="false">#REF!</definedName>
    <definedName function="false" hidden="true" name="BH_sum_paid_class_M_curr" vbProcedure="false">#REF!</definedName>
    <definedName function="false" hidden="true" name="BH_sum_paid_class_N_curr" vbProcedure="false">#REF!</definedName>
    <definedName function="false" hidden="true" name="BH_sum_paid_class_O_curr" vbProcedure="false">#REF!</definedName>
    <definedName function="false" hidden="true" name="BH_sum_paid_class_P_curr" vbProcedure="false">#REF!</definedName>
    <definedName function="false" hidden="true" name="BH_sum_paid_class_Q_curr" vbProcedure="false">#REF!</definedName>
    <definedName function="false" hidden="true" name="BH_sum_paid_class_R_curr" vbProcedure="false">#REF!</definedName>
    <definedName function="false" hidden="true" name="BH_sum_paid_class_S_curr" vbProcedure="false">#REF!</definedName>
    <definedName function="false" hidden="true" name="BH_sum_paid_class_total_curr" vbProcedure="false">#REF!</definedName>
    <definedName function="false" hidden="true" name="BH_sum_paid_class_T_curr" vbProcedure="false">#REF!</definedName>
    <definedName function="false" hidden="true" name="BH_sum_paid_class_U_curr" vbProcedure="false">#REF!</definedName>
    <definedName function="false" hidden="true" name="BH_sum_paid_class_V_curr" vbProcedure="false">#REF!</definedName>
    <definedName function="false" hidden="true" name="BH_sum_paid_class_W_curr" vbProcedure="false">#REF!</definedName>
    <definedName function="false" hidden="true" name="BH_sum_paid_class_X_curr" vbProcedure="false">#REF!</definedName>
    <definedName function="false" hidden="true" name="BH_sum_paid_class_Y_curr" vbProcedure="false">#REF!</definedName>
    <definedName function="false" hidden="true" name="BH_sum_paid_class_Z_curr" vbProcedure="false">#REF!</definedName>
    <definedName function="false" hidden="true" name="bill2" vbProcedure="false">#REF!</definedName>
    <definedName function="false" hidden="true" name="bill3" vbProcedure="false">#REF!</definedName>
    <definedName function="false" hidden="true" name="bill4" vbProcedure="false">#REF!</definedName>
    <definedName function="false" hidden="true" name="bill5" vbProcedure="false">#REF!</definedName>
    <definedName function="false" hidden="true" name="bill6" vbProcedure="false">#REF!</definedName>
    <definedName function="false" hidden="true" name="billl1" vbProcedure="false">#REF!</definedName>
    <definedName function="false" hidden="true" name="billl2" vbProcedure="false">#REF!</definedName>
    <definedName function="false" hidden="true" name="billl4" vbProcedure="false">#REF!</definedName>
    <definedName function="false" hidden="true" name="billl5" vbProcedure="false">#REF!</definedName>
    <definedName function="false" hidden="true" name="billl6" vbProcedure="false">#REF!</definedName>
    <definedName function="false" hidden="true" name="billl7" vbProcedure="false">#REF!</definedName>
    <definedName function="false" hidden="true" name="billl8" vbProcedure="false">#REF!</definedName>
    <definedName function="false" hidden="true" name="blah" vbProcedure="false">{"MM Visits",#N/A,TRUE,"Moderately Managed";"MM Dollars per Hour",#N/A,TRUE,"Moderately Managed";"MM Hours per Visit",#N/A,TRUE,"Moderately Managed";"MM Dollars per Visit",#N/A,TRUE,"Moderately Managed";"MM Total Visits",#N/A,TRUE,"Moderately Managed";"MM PMPM",#N/A,TRUE,"Moderately Managed"}</definedName>
    <definedName function="false" hidden="true" name="blank1" vbProcedure="false">#REF!</definedName>
    <definedName function="false" hidden="true" name="BLPH1" vbProcedure="false">#REF!</definedName>
    <definedName function="false" hidden="true" name="BLPH10" vbProcedure="false">#REF!</definedName>
    <definedName function="false" hidden="true" name="BLPH100" vbProcedure="false">#REF!</definedName>
    <definedName function="false" hidden="true" name="BLPH11" vbProcedure="false">#REF!</definedName>
    <definedName function="false" hidden="true" name="BLPH12" vbProcedure="false">#REF!</definedName>
    <definedName function="false" hidden="true" name="BLPH13" vbProcedure="false">#REF!</definedName>
    <definedName function="false" hidden="true" name="BLPH14" vbProcedure="false">#REF!</definedName>
    <definedName function="false" hidden="true" name="BLPH15" vbProcedure="false">#REF!</definedName>
    <definedName function="false" hidden="true" name="BLPH16" vbProcedure="false">#REF!</definedName>
    <definedName function="false" hidden="true" name="BLPH17" vbProcedure="false">#REF!</definedName>
    <definedName function="false" hidden="true" name="BLPH18" vbProcedure="false">#REF!</definedName>
    <definedName function="false" hidden="true" name="BLPH19" vbProcedure="false">#REF!</definedName>
    <definedName function="false" hidden="true" name="BLPH2" vbProcedure="false">#REF!</definedName>
    <definedName function="false" hidden="true" name="BLPH20" vbProcedure="false">#REF!</definedName>
    <definedName function="false" hidden="true" name="BLPH200001" vbProcedure="false">#REF!</definedName>
    <definedName function="false" hidden="true" name="BLPH21" vbProcedure="false">#REF!</definedName>
    <definedName function="false" hidden="true" name="BLPH22" vbProcedure="false">#REF!</definedName>
    <definedName function="false" hidden="true" name="BLPH23" vbProcedure="false">#REF!</definedName>
    <definedName function="false" hidden="true" name="BLPH24" vbProcedure="false">#REF!</definedName>
    <definedName function="false" hidden="true" name="BLPH25" vbProcedure="false">#REF!</definedName>
    <definedName function="false" hidden="true" name="BLPH26" vbProcedure="false">#REF!</definedName>
    <definedName function="false" hidden="true" name="BLPH27" vbProcedure="false">#REF!</definedName>
    <definedName function="false" hidden="true" name="BLPH28" vbProcedure="false">#REF!</definedName>
    <definedName function="false" hidden="true" name="BLPH29" vbProcedure="false">#REF!</definedName>
    <definedName function="false" hidden="true" name="BLPH3" vbProcedure="false">#REF!</definedName>
    <definedName function="false" hidden="true" name="BLPH30" vbProcedure="false">#REF!</definedName>
    <definedName function="false" hidden="true" name="BLPH31" vbProcedure="false">#REF!</definedName>
    <definedName function="false" hidden="true" name="BLPH32" vbProcedure="false">#REF!</definedName>
    <definedName function="false" hidden="true" name="BLPH33" vbProcedure="false">#REF!</definedName>
    <definedName function="false" hidden="true" name="BLPH34" vbProcedure="false">#REF!</definedName>
    <definedName function="false" hidden="true" name="BLPH35" vbProcedure="false">#REF!</definedName>
    <definedName function="false" hidden="true" name="BLPH36" vbProcedure="false">#REF!</definedName>
    <definedName function="false" hidden="true" name="BLPH37" vbProcedure="false">#REF!</definedName>
    <definedName function="false" hidden="true" name="BLPH38" vbProcedure="false">#REF!</definedName>
    <definedName function="false" hidden="true" name="BLPH39" vbProcedure="false">#REF!</definedName>
    <definedName function="false" hidden="true" name="BLPH4" vbProcedure="false">#REF!</definedName>
    <definedName function="false" hidden="true" name="BLPH40" vbProcedure="false">#REF!</definedName>
    <definedName function="false" hidden="true" name="BLPH41" vbProcedure="false">#REF!</definedName>
    <definedName function="false" hidden="true" name="BLPH42" vbProcedure="false">#REF!</definedName>
    <definedName function="false" hidden="true" name="BLPH43" vbProcedure="false">#REF!</definedName>
    <definedName function="false" hidden="true" name="BLPH44" vbProcedure="false">#REF!</definedName>
    <definedName function="false" hidden="true" name="BLPH45" vbProcedure="false">#REF!</definedName>
    <definedName function="false" hidden="true" name="BLPH46" vbProcedure="false">#REF!</definedName>
    <definedName function="false" hidden="true" name="BLPH47" vbProcedure="false">#REF!</definedName>
    <definedName function="false" hidden="true" name="BLPH48" vbProcedure="false">#REF!</definedName>
    <definedName function="false" hidden="true" name="BLPH49" vbProcedure="false">#REF!</definedName>
    <definedName function="false" hidden="true" name="BLPH5" vbProcedure="false">#REF!</definedName>
    <definedName function="false" hidden="true" name="BLPH50" vbProcedure="false">#REF!</definedName>
    <definedName function="false" hidden="true" name="BLPH51" vbProcedure="false">#REF!</definedName>
    <definedName function="false" hidden="true" name="BLPH52" vbProcedure="false">#REF!</definedName>
    <definedName function="false" hidden="true" name="BLPH53" vbProcedure="false">#REF!</definedName>
    <definedName function="false" hidden="true" name="BLPH54" vbProcedure="false">#REF!</definedName>
    <definedName function="false" hidden="true" name="BLPH55" vbProcedure="false">#REF!</definedName>
    <definedName function="false" hidden="true" name="BLPH56" vbProcedure="false">#REF!</definedName>
    <definedName function="false" hidden="true" name="BLPH57" vbProcedure="false">#REF!</definedName>
    <definedName function="false" hidden="true" name="BLPH58" vbProcedure="false">#REF!</definedName>
    <definedName function="false" hidden="true" name="BLPH59" vbProcedure="false">#REF!</definedName>
    <definedName function="false" hidden="true" name="BLPH6" vbProcedure="false">#REF!</definedName>
    <definedName function="false" hidden="true" name="BLPH60" vbProcedure="false">#REF!</definedName>
    <definedName function="false" hidden="true" name="BLPH61" vbProcedure="false">#REF!</definedName>
    <definedName function="false" hidden="true" name="BLPH62" vbProcedure="false">#REF!</definedName>
    <definedName function="false" hidden="true" name="BLPH63" vbProcedure="false">#REF!</definedName>
    <definedName function="false" hidden="true" name="BLPH64" vbProcedure="false">#REF!</definedName>
    <definedName function="false" hidden="true" name="BLPH65" vbProcedure="false">#REF!</definedName>
    <definedName function="false" hidden="true" name="BLPH66" vbProcedure="false">#REF!</definedName>
    <definedName function="false" hidden="true" name="BLPH67" vbProcedure="false">#REF!</definedName>
    <definedName function="false" hidden="true" name="BLPH68" vbProcedure="false">#REF!</definedName>
    <definedName function="false" hidden="true" name="BLPH69" vbProcedure="false">#REF!</definedName>
    <definedName function="false" hidden="true" name="BLPH7" vbProcedure="false">#REF!</definedName>
    <definedName function="false" hidden="true" name="BLPH70" vbProcedure="false">#REF!</definedName>
    <definedName function="false" hidden="true" name="BLPH71" vbProcedure="false">#REF!</definedName>
    <definedName function="false" hidden="true" name="BLPH72" vbProcedure="false">#REF!</definedName>
    <definedName function="false" hidden="true" name="BLPH73" vbProcedure="false">#REF!</definedName>
    <definedName function="false" hidden="true" name="BLPH74" vbProcedure="false">#REF!</definedName>
    <definedName function="false" hidden="true" name="BLPH75" vbProcedure="false">#REF!</definedName>
    <definedName function="false" hidden="true" name="BLPH76" vbProcedure="false">#REF!</definedName>
    <definedName function="false" hidden="true" name="BLPH77" vbProcedure="false">#REF!</definedName>
    <definedName function="false" hidden="true" name="BLPH78" vbProcedure="false">#REF!</definedName>
    <definedName function="false" hidden="true" name="BLPH79" vbProcedure="false">#REF!</definedName>
    <definedName function="false" hidden="true" name="BLPH8" vbProcedure="false">#REF!</definedName>
    <definedName function="false" hidden="true" name="BLPH80" vbProcedure="false">#REF!</definedName>
    <definedName function="false" hidden="true" name="BLPH81" vbProcedure="false">#REF!</definedName>
    <definedName function="false" hidden="true" name="BLPH82" vbProcedure="false">#REF!</definedName>
    <definedName function="false" hidden="true" name="BLPH83" vbProcedure="false">#REF!</definedName>
    <definedName function="false" hidden="true" name="BLPH84" vbProcedure="false">#REF!</definedName>
    <definedName function="false" hidden="true" name="BLPH85" vbProcedure="false">#REF!</definedName>
    <definedName function="false" hidden="true" name="BLPH86" vbProcedure="false">#REF!</definedName>
    <definedName function="false" hidden="true" name="BLPH87" vbProcedure="false">#REF!</definedName>
    <definedName function="false" hidden="true" name="BLPH88" vbProcedure="false">#REF!</definedName>
    <definedName function="false" hidden="true" name="BLPH89" vbProcedure="false">#REF!</definedName>
    <definedName function="false" hidden="true" name="BLPH9" vbProcedure="false">#REF!</definedName>
    <definedName function="false" hidden="true" name="BLPH90" vbProcedure="false">#REF!</definedName>
    <definedName function="false" hidden="true" name="BLPH91" vbProcedure="false">#REF!</definedName>
    <definedName function="false" hidden="true" name="BLPH92" vbProcedure="false">#REF!</definedName>
    <definedName function="false" hidden="true" name="BLPH93" vbProcedure="false">#REF!</definedName>
    <definedName function="false" hidden="true" name="BLPH94" vbProcedure="false">#REF!</definedName>
    <definedName function="false" hidden="true" name="BLPH95" vbProcedure="false">#REF!</definedName>
    <definedName function="false" hidden="true" name="BLPH96" vbProcedure="false">#REF!</definedName>
    <definedName function="false" hidden="true" name="BLPH97" vbProcedure="false">#REF!</definedName>
    <definedName function="false" hidden="true" name="BLPH98" vbProcedure="false">#REF!</definedName>
    <definedName function="false" hidden="true" name="BLPH99" vbProcedure="false">#REF!</definedName>
    <definedName function="false" hidden="true" name="bndwfb" vbProcedure="false">{"FY97Total var",#N/A,FALSE,"FY97 - Total";"FY98Total var",#N/A,FALSE,"FY98 - Total"}</definedName>
    <definedName function="false" hidden="true" name="BNE_MESSAGES_HIDDEN" vbProcedure="false">#REF!</definedName>
    <definedName function="false" hidden="true" name="bnm" vbProcedure="false">{#N/A,#N/A,FALSE,"REPORT"}</definedName>
    <definedName function="false" hidden="false" name="bnnn" vbProcedure="false">{"consolidated",#N/A,FALSE,"Sheet1";"cms",#N/A,FALSE,"Sheet1";"fse",#N/A,FALSE,"Sheet1"}</definedName>
    <definedName function="false" hidden="false" name="Boarder" vbProcedure="false">#REF!</definedName>
    <definedName function="false" hidden="true" name="BOBDate" vbProcedure="false">#REF!</definedName>
    <definedName function="false" hidden="true" name="BOB_Dental_allowed_amt_curr" vbProcedure="false">#REF!</definedName>
    <definedName function="false" hidden="true" name="BOB_Dental_allowed_amt_prior" vbProcedure="false">#REF!</definedName>
    <definedName function="false" hidden="true" name="BOB_Dental_basic_paid_amt_curr" vbProcedure="false">#REF!</definedName>
    <definedName function="false" hidden="true" name="BOB_Dental_basic_paid_amt_prior" vbProcedure="false">#REF!</definedName>
    <definedName function="false" hidden="true" name="BOB_Dental_basic_svcs_curr" vbProcedure="false">#REF!</definedName>
    <definedName function="false" hidden="true" name="BOB_Dental_basic_svcs_prior" vbProcedure="false">#REF!</definedName>
    <definedName function="false" hidden="true" name="BOB_Dental_cob_amt_curr" vbProcedure="false">#REF!</definedName>
    <definedName function="false" hidden="true" name="BOB_Dental_cob_amt_prior" vbProcedure="false">#REF!</definedName>
    <definedName function="false" hidden="true" name="BOB_Dental_coinsurance_amt_curr" vbProcedure="false">#REF!</definedName>
    <definedName function="false" hidden="true" name="BOB_Dental_coinsurance_amt_prior" vbProcedure="false">#REF!</definedName>
    <definedName function="false" hidden="true" name="BOB_Dental_deductible_amt_curr" vbProcedure="false">#REF!</definedName>
    <definedName function="false" hidden="true" name="BOB_Dental_deductible_amt_prior" vbProcedure="false">#REF!</definedName>
    <definedName function="false" hidden="true" name="BOB_Dental_major_paid_amt_curr" vbProcedure="false">#REF!</definedName>
    <definedName function="false" hidden="true" name="BOB_Dental_major_paid_amt_prior" vbProcedure="false">#REF!</definedName>
    <definedName function="false" hidden="true" name="BOB_Dental_major_svcs_curr" vbProcedure="false">#REF!</definedName>
    <definedName function="false" hidden="true" name="BOB_Dental_major_svcs_prior" vbProcedure="false">#REF!</definedName>
    <definedName function="false" hidden="true" name="BOB_Dental_network_paid_amt_curr" vbProcedure="false">#REF!</definedName>
    <definedName function="false" hidden="true" name="BOB_Dental_network_paid_amt_prior" vbProcedure="false">#REF!</definedName>
    <definedName function="false" hidden="true" name="BOB_Dental_orthodonic_paid_amt_curr" vbProcedure="false">#REF!</definedName>
    <definedName function="false" hidden="true" name="BOB_Dental_orthodonic_paid_amt_prior" vbProcedure="false">#REF!</definedName>
    <definedName function="false" hidden="true" name="BOB_Dental_orthodonic_svcs_curr" vbProcedure="false">#REF!</definedName>
    <definedName function="false" hidden="true" name="BOB_Dental_orthodonic_svcs_prior" vbProcedure="false">#REF!</definedName>
    <definedName function="false" hidden="true" name="BOB_Dental_other_paid_amt_curr" vbProcedure="false">#REF!</definedName>
    <definedName function="false" hidden="true" name="BOB_Dental_other_paid_amt_prior" vbProcedure="false">#REF!</definedName>
    <definedName function="false" hidden="true" name="BOB_Dental_other_svcs_curr" vbProcedure="false">#REF!</definedName>
    <definedName function="false" hidden="true" name="BOB_Dental_other_svcs_prior" vbProcedure="false">#REF!</definedName>
    <definedName function="false" hidden="true" name="BOB_Dental_paid_amt_curr" vbProcedure="false">#REF!</definedName>
    <definedName function="false" hidden="true" name="BOB_Dental_paid_amt_prior" vbProcedure="false">#REF!</definedName>
    <definedName function="false" hidden="true" name="BOB_Dental_preventative_paid_amt_curr" vbProcedure="false">#REF!</definedName>
    <definedName function="false" hidden="true" name="BOB_Dental_preventative_paid_amt_prior" vbProcedure="false">#REF!</definedName>
    <definedName function="false" hidden="true" name="BOB_Dental_preventative_svcs_curr" vbProcedure="false">#REF!</definedName>
    <definedName function="false" hidden="true" name="BOB_Dental_preventative_svcs_prior" vbProcedure="false">#REF!</definedName>
    <definedName function="false" hidden="true" name="BOB_Med_admit_count_curr" vbProcedure="false">#REF!</definedName>
    <definedName function="false" hidden="true" name="BOB_Med_admit_count_prior" vbProcedure="false">#REF!</definedName>
    <definedName function="false" hidden="true" name="BOB_Med_allowed_amt_curr" vbProcedure="false">#REF!</definedName>
    <definedName function="false" hidden="true" name="BOB_Med_allowed_amt_prior" vbProcedure="false">#REF!</definedName>
    <definedName function="false" hidden="true" name="BOB_Med_amb_paid_amt_curr" vbProcedure="false">#REF!</definedName>
    <definedName function="false" hidden="true" name="BOB_Med_amb_paid_amt_prior" vbProcedure="false">#REF!</definedName>
    <definedName function="false" hidden="true" name="BOB_Med_amb_surgery_count_curr" vbProcedure="false">#REF!</definedName>
    <definedName function="false" hidden="true" name="BOB_Med_amb_surgery_count_prior" vbProcedure="false">#REF!</definedName>
    <definedName function="false" hidden="true" name="BOB_Med_avg_age_members_curr" vbProcedure="false">#REF!</definedName>
    <definedName function="false" hidden="true" name="BOB_Med_avg_age_members_prior" vbProcedure="false">#REF!</definedName>
    <definedName function="false" hidden="true" name="BOB_Med_claim_count_above_threshold_curr" vbProcedure="false">#REF!</definedName>
    <definedName function="false" hidden="true" name="BOB_Med_claim_count_above_threshold_prior" vbProcedure="false">#REF!</definedName>
    <definedName function="false" hidden="true" name="BOB_Med_claim_count_curr" vbProcedure="false">#REF!</definedName>
    <definedName function="false" hidden="true" name="BOB_Med_claim_count_prior" vbProcedure="false">#REF!</definedName>
    <definedName function="false" hidden="true" name="BOB_Med_cob_amt_curr" vbProcedure="false">#REF!</definedName>
    <definedName function="false" hidden="true" name="BOB_Med_cob_amt_prior" vbProcedure="false">#REF!</definedName>
    <definedName function="false" hidden="true" name="BOB_Med_coinsurance_amt_curr" vbProcedure="false">#REF!</definedName>
    <definedName function="false" hidden="true" name="BOB_Med_coinsurance_amt_prior" vbProcedure="false">#REF!</definedName>
    <definedName function="false" hidden="true" name="BOB_Med_copay_amt_curr" vbProcedure="false">#REF!</definedName>
    <definedName function="false" hidden="true" name="BOB_Med_copay_amt_prior" vbProcedure="false">#REF!</definedName>
    <definedName function="false" hidden="true" name="BOB_Med_days_count_curr" vbProcedure="false">#REF!</definedName>
    <definedName function="false" hidden="true" name="BOB_Med_days_count_prior" vbProcedure="false">#REF!</definedName>
    <definedName function="false" hidden="true" name="BOB_Med_deductible_amt_curr" vbProcedure="false">#REF!</definedName>
    <definedName function="false" hidden="true" name="BOB_Med_deductible_amt_prior" vbProcedure="false">#REF!</definedName>
    <definedName function="false" hidden="true" name="BOB_Med_er_visits_count_curr" vbProcedure="false">#REF!</definedName>
    <definedName function="false" hidden="true" name="BOB_Med_er_visits_count_prior" vbProcedure="false">#REF!</definedName>
    <definedName function="false" hidden="true" name="BOB_Med_female_members_curr" vbProcedure="false">#REF!</definedName>
    <definedName function="false" hidden="true" name="BOB_Med_female_members_prior" vbProcedure="false">#REF!</definedName>
    <definedName function="false" hidden="true" name="BOB_Med_female_mem_0_19_curr" vbProcedure="false">#REF!</definedName>
    <definedName function="false" hidden="true" name="BOB_Med_female_mem_0_19_prior" vbProcedure="false">#REF!</definedName>
    <definedName function="false" hidden="true" name="BOB_Med_female_mem_20_44_curr" vbProcedure="false">#REF!</definedName>
    <definedName function="false" hidden="true" name="BOB_Med_female_mem_20_44_prior" vbProcedure="false">#REF!</definedName>
    <definedName function="false" hidden="true" name="BOB_Med_female_mem_45_64_curr" vbProcedure="false">#REF!</definedName>
    <definedName function="false" hidden="true" name="BOB_Med_female_mem_45_64_prior" vbProcedure="false">#REF!</definedName>
    <definedName function="false" hidden="true" name="BOB_Med_female_mem_65_over_curr" vbProcedure="false">#REF!</definedName>
    <definedName function="false" hidden="true" name="BOB_Med_female_mem_65_over_prior" vbProcedure="false">#REF!</definedName>
    <definedName function="false" hidden="true" name="BOB_Med_inp_paid_amt_curr" vbProcedure="false">#REF!</definedName>
    <definedName function="false" hidden="true" name="BOB_Med_inp_paid_amt_prior" vbProcedure="false">#REF!</definedName>
    <definedName function="false" hidden="true" name="BOB_Med_inp_surgery_count_curr" vbProcedure="false">#REF!</definedName>
    <definedName function="false" hidden="true" name="BOB_Med_inp_surgery_count_prior" vbProcedure="false">#REF!</definedName>
    <definedName function="false" hidden="true" name="BOB_Med_male_members_curr" vbProcedure="false">#REF!</definedName>
    <definedName function="false" hidden="true" name="BOB_Med_male_members_prior" vbProcedure="false">#REF!</definedName>
    <definedName function="false" hidden="true" name="BOB_Med_male_mem_0_19_curr" vbProcedure="false">#REF!</definedName>
    <definedName function="false" hidden="true" name="BOB_Med_male_mem_0_19_prior" vbProcedure="false">#REF!</definedName>
    <definedName function="false" hidden="true" name="BOB_Med_male_mem_20_44_curr" vbProcedure="false">#REF!</definedName>
    <definedName function="false" hidden="true" name="BOB_Med_male_mem_20_44_prior" vbProcedure="false">#REF!</definedName>
    <definedName function="false" hidden="true" name="BOB_Med_male_mem_45_64_curr" vbProcedure="false">#REF!</definedName>
    <definedName function="false" hidden="true" name="BOB_Med_male_mem_45_64_prior" vbProcedure="false">#REF!</definedName>
    <definedName function="false" hidden="true" name="BOB_Med_male_mem_65_over_curr" vbProcedure="false">#REF!</definedName>
    <definedName function="false" hidden="true" name="BOB_Med_male_mem_65_over_prior" vbProcedure="false">#REF!</definedName>
    <definedName function="false" hidden="true" name="BOB_Med_MDC_admits_00_curr" vbProcedure="false">#REF!</definedName>
    <definedName function="false" hidden="true" name="BOB_Med_MDC_admits_01_curr" vbProcedure="false">#REF!</definedName>
    <definedName function="false" hidden="true" name="BOB_Med_MDC_admits_02_curr" vbProcedure="false">#REF!</definedName>
    <definedName function="false" hidden="true" name="BOB_Med_MDC_admits_03_curr" vbProcedure="false">#REF!</definedName>
    <definedName function="false" hidden="true" name="BOB_Med_MDC_admits_04_curr" vbProcedure="false">#REF!</definedName>
    <definedName function="false" hidden="true" name="BOB_Med_MDC_admits_05_curr" vbProcedure="false">#REF!</definedName>
    <definedName function="false" hidden="true" name="BOB_Med_MDC_admits_06_curr" vbProcedure="false">#REF!</definedName>
    <definedName function="false" hidden="true" name="BOB_Med_MDC_admits_07_curr" vbProcedure="false">#REF!</definedName>
    <definedName function="false" hidden="true" name="BOB_Med_MDC_admits_08_curr" vbProcedure="false">#REF!</definedName>
    <definedName function="false" hidden="true" name="BOB_Med_MDC_admits_09_curr" vbProcedure="false">#REF!</definedName>
    <definedName function="false" hidden="true" name="BOB_Med_MDC_admits_10_curr" vbProcedure="false">#REF!</definedName>
    <definedName function="false" hidden="true" name="BOB_Med_MDC_admits_11_curr" vbProcedure="false">#REF!</definedName>
    <definedName function="false" hidden="true" name="BOB_Med_MDC_admits_12_curr" vbProcedure="false">#REF!</definedName>
    <definedName function="false" hidden="true" name="BOB_Med_MDC_admits_13_curr" vbProcedure="false">#REF!</definedName>
    <definedName function="false" hidden="true" name="BOB_Med_MDC_admits_14_curr" vbProcedure="false">#REF!</definedName>
    <definedName function="false" hidden="true" name="BOB_Med_MDC_admits_15_curr" vbProcedure="false">#REF!</definedName>
    <definedName function="false" hidden="true" name="BOB_Med_MDC_admits_16_curr" vbProcedure="false">#REF!</definedName>
    <definedName function="false" hidden="true" name="BOB_Med_MDC_admits_17_curr" vbProcedure="false">#REF!</definedName>
    <definedName function="false" hidden="true" name="BOB_Med_MDC_admits_18_curr" vbProcedure="false">#REF!</definedName>
    <definedName function="false" hidden="true" name="BOB_Med_MDC_admits_19_curr" vbProcedure="false">#REF!</definedName>
    <definedName function="false" hidden="true" name="BOB_Med_MDC_admits_20_curr" vbProcedure="false">#REF!</definedName>
    <definedName function="false" hidden="true" name="BOB_Med_MDC_admits_21_curr" vbProcedure="false">#REF!</definedName>
    <definedName function="false" hidden="true" name="BOB_Med_MDC_admits_22_curr" vbProcedure="false">#REF!</definedName>
    <definedName function="false" hidden="true" name="BOB_Med_MDC_admits_23_curr" vbProcedure="false">#REF!</definedName>
    <definedName function="false" hidden="true" name="BOB_Med_MDC_admits_999_curr" vbProcedure="false">#REF!</definedName>
    <definedName function="false" hidden="true" name="BOB_Med_MDC_amb_paid_00_curr" vbProcedure="false">#REF!</definedName>
    <definedName function="false" hidden="true" name="BOB_Med_MDC_amb_paid_01_curr" vbProcedure="false">#REF!</definedName>
    <definedName function="false" hidden="true" name="BOB_Med_MDC_amb_paid_02_curr" vbProcedure="false">#REF!</definedName>
    <definedName function="false" hidden="true" name="BOB_Med_MDC_amb_paid_03_curr" vbProcedure="false">#REF!</definedName>
    <definedName function="false" hidden="true" name="BOB_Med_MDC_amb_paid_04_curr" vbProcedure="false">#REF!</definedName>
    <definedName function="false" hidden="true" name="BOB_Med_MDC_amb_paid_05_curr" vbProcedure="false">#REF!</definedName>
    <definedName function="false" hidden="true" name="BOB_Med_MDC_amb_paid_06_curr" vbProcedure="false">#REF!</definedName>
    <definedName function="false" hidden="true" name="BOB_Med_MDC_amb_paid_07_curr" vbProcedure="false">#REF!</definedName>
    <definedName function="false" hidden="true" name="BOB_Med_MDC_amb_paid_08_curr" vbProcedure="false">#REF!</definedName>
    <definedName function="false" hidden="true" name="BOB_Med_MDC_amb_paid_09_curr" vbProcedure="false">#REF!</definedName>
    <definedName function="false" hidden="true" name="BOB_Med_MDC_amb_paid_10_curr" vbProcedure="false">#REF!</definedName>
    <definedName function="false" hidden="true" name="BOB_Med_MDC_amb_paid_11_curr" vbProcedure="false">#REF!</definedName>
    <definedName function="false" hidden="true" name="BOB_Med_MDC_amb_paid_12_curr" vbProcedure="false">#REF!</definedName>
    <definedName function="false" hidden="true" name="BOB_Med_MDC_amb_paid_13_curr" vbProcedure="false">#REF!</definedName>
    <definedName function="false" hidden="true" name="BOB_Med_MDC_amb_paid_14_curr" vbProcedure="false">#REF!</definedName>
    <definedName function="false" hidden="true" name="BOB_Med_MDC_amb_paid_15_curr" vbProcedure="false">#REF!</definedName>
    <definedName function="false" hidden="true" name="BOB_Med_MDC_amb_paid_16_curr" vbProcedure="false">#REF!</definedName>
    <definedName function="false" hidden="true" name="BOB_Med_MDC_amb_paid_17_curr" vbProcedure="false">#REF!</definedName>
    <definedName function="false" hidden="true" name="BOB_Med_MDC_amb_paid_18_curr" vbProcedure="false">#REF!</definedName>
    <definedName function="false" hidden="true" name="BOB_Med_MDC_amb_paid_19_curr" vbProcedure="false">#REF!</definedName>
    <definedName function="false" hidden="true" name="BOB_Med_MDC_amb_paid_20_curr" vbProcedure="false">#REF!</definedName>
    <definedName function="false" hidden="true" name="BOB_Med_MDC_amb_paid_21_curr" vbProcedure="false">#REF!</definedName>
    <definedName function="false" hidden="true" name="BOB_Med_MDC_amb_paid_22_curr" vbProcedure="false">#REF!</definedName>
    <definedName function="false" hidden="true" name="BOB_Med_MDC_amb_paid_23_curr" vbProcedure="false">#REF!</definedName>
    <definedName function="false" hidden="true" name="BOB_Med_MDC_amb_paid_999_curr" vbProcedure="false">#REF!</definedName>
    <definedName function="false" hidden="true" name="BOB_Med_MDC_cd_00_curr" vbProcedure="false">#REF!</definedName>
    <definedName function="false" hidden="true" name="BOB_Med_MDC_cd_01_curr" vbProcedure="false">#REF!</definedName>
    <definedName function="false" hidden="true" name="BOB_Med_MDC_cd_02_curr" vbProcedure="false">#REF!</definedName>
    <definedName function="false" hidden="true" name="BOB_Med_MDC_cd_03_curr" vbProcedure="false">#REF!</definedName>
    <definedName function="false" hidden="true" name="BOB_Med_MDC_cd_04_curr" vbProcedure="false">#REF!</definedName>
    <definedName function="false" hidden="true" name="BOB_Med_MDC_cd_05_curr" vbProcedure="false">#REF!</definedName>
    <definedName function="false" hidden="true" name="BOB_Med_MDC_cd_06_curr" vbProcedure="false">#REF!</definedName>
    <definedName function="false" hidden="true" name="BOB_Med_MDC_cd_07_curr" vbProcedure="false">#REF!</definedName>
    <definedName function="false" hidden="true" name="BOB_Med_MDC_cd_08_curr" vbProcedure="false">#REF!</definedName>
    <definedName function="false" hidden="true" name="BOB_Med_MDC_cd_09_curr" vbProcedure="false">#REF!</definedName>
    <definedName function="false" hidden="true" name="BOB_Med_MDC_cd_10_curr" vbProcedure="false">#REF!</definedName>
    <definedName function="false" hidden="true" name="BOB_Med_MDC_cd_11_curr" vbProcedure="false">#REF!</definedName>
    <definedName function="false" hidden="true" name="BOB_Med_MDC_cd_12_curr" vbProcedure="false">#REF!</definedName>
    <definedName function="false" hidden="true" name="BOB_Med_MDC_cd_13_curr" vbProcedure="false">#REF!</definedName>
    <definedName function="false" hidden="true" name="BOB_Med_MDC_cd_14_curr" vbProcedure="false">#REF!</definedName>
    <definedName function="false" hidden="true" name="BOB_Med_MDC_cd_15_curr" vbProcedure="false">#REF!</definedName>
    <definedName function="false" hidden="true" name="BOB_Med_MDC_cd_16_curr" vbProcedure="false">#REF!</definedName>
    <definedName function="false" hidden="true" name="BOB_Med_MDC_cd_17_curr" vbProcedure="false">#REF!</definedName>
    <definedName function="false" hidden="true" name="BOB_Med_MDC_cd_18_curr" vbProcedure="false">#REF!</definedName>
    <definedName function="false" hidden="true" name="BOB_Med_MDC_cd_19_curr" vbProcedure="false">#REF!</definedName>
    <definedName function="false" hidden="true" name="BOB_Med_MDC_cd_20_curr" vbProcedure="false">#REF!</definedName>
    <definedName function="false" hidden="true" name="BOB_Med_MDC_cd_21_curr" vbProcedure="false">#REF!</definedName>
    <definedName function="false" hidden="true" name="BOB_Med_MDC_cd_22_curr" vbProcedure="false">#REF!</definedName>
    <definedName function="false" hidden="true" name="BOB_Med_MDC_cd_23_curr" vbProcedure="false">#REF!</definedName>
    <definedName function="false" hidden="true" name="BOB_Med_MDC_cd_999_curr" vbProcedure="false">#REF!</definedName>
    <definedName function="false" hidden="true" name="BOB_Med_MDC_claimants_00_curr" vbProcedure="false">#REF!</definedName>
    <definedName function="false" hidden="true" name="BOB_Med_MDC_claimants_01_curr" vbProcedure="false">#REF!</definedName>
    <definedName function="false" hidden="true" name="BOB_Med_MDC_claimants_02_curr" vbProcedure="false">#REF!</definedName>
    <definedName function="false" hidden="true" name="BOB_Med_MDC_claimants_03_curr" vbProcedure="false">#REF!</definedName>
    <definedName function="false" hidden="true" name="BOB_Med_MDC_claimants_04_curr" vbProcedure="false">#REF!</definedName>
    <definedName function="false" hidden="true" name="BOB_Med_MDC_claimants_05_curr" vbProcedure="false">#REF!</definedName>
    <definedName function="false" hidden="true" name="BOB_Med_MDC_claimants_06_curr" vbProcedure="false">#REF!</definedName>
    <definedName function="false" hidden="true" name="BOB_Med_MDC_claimants_07_curr" vbProcedure="false">#REF!</definedName>
    <definedName function="false" hidden="true" name="BOB_Med_MDC_claimants_08_curr" vbProcedure="false">#REF!</definedName>
    <definedName function="false" hidden="true" name="BOB_Med_MDC_claimants_09_curr" vbProcedure="false">#REF!</definedName>
    <definedName function="false" hidden="true" name="BOB_Med_MDC_claimants_10_curr" vbProcedure="false">#REF!</definedName>
    <definedName function="false" hidden="true" name="BOB_Med_MDC_claimants_11_curr" vbProcedure="false">#REF!</definedName>
    <definedName function="false" hidden="true" name="BOB_Med_MDC_claimants_12_curr" vbProcedure="false">#REF!</definedName>
    <definedName function="false" hidden="true" name="BOB_Med_MDC_claimants_13_curr" vbProcedure="false">#REF!</definedName>
    <definedName function="false" hidden="true" name="BOB_Med_MDC_claimants_14_curr" vbProcedure="false">#REF!</definedName>
    <definedName function="false" hidden="true" name="BOB_Med_MDC_claimants_15_curr" vbProcedure="false">#REF!</definedName>
    <definedName function="false" hidden="true" name="BOB_Med_MDC_claimants_16_curr" vbProcedure="false">#REF!</definedName>
    <definedName function="false" hidden="true" name="BOB_Med_MDC_claimants_17_curr" vbProcedure="false">#REF!</definedName>
    <definedName function="false" hidden="true" name="BOB_Med_MDC_claimants_18_curr" vbProcedure="false">#REF!</definedName>
    <definedName function="false" hidden="true" name="BOB_Med_MDC_claimants_19_curr" vbProcedure="false">#REF!</definedName>
    <definedName function="false" hidden="true" name="BOB_Med_MDC_claimants_20_curr" vbProcedure="false">#REF!</definedName>
    <definedName function="false" hidden="true" name="BOB_Med_MDC_claimants_21_curr" vbProcedure="false">#REF!</definedName>
    <definedName function="false" hidden="true" name="BOB_Med_MDC_claimants_22_curr" vbProcedure="false">#REF!</definedName>
    <definedName function="false" hidden="true" name="BOB_Med_MDC_claimants_23_curr" vbProcedure="false">#REF!</definedName>
    <definedName function="false" hidden="true" name="BOB_Med_MDC_claimants_999_curr" vbProcedure="false">#REF!</definedName>
    <definedName function="false" hidden="true" name="BOB_Med_MDC_days_00_curr" vbProcedure="false">#REF!</definedName>
    <definedName function="false" hidden="true" name="BOB_Med_MDC_days_01_curr" vbProcedure="false">#REF!</definedName>
    <definedName function="false" hidden="true" name="BOB_Med_MDC_days_02_curr" vbProcedure="false">#REF!</definedName>
    <definedName function="false" hidden="true" name="BOB_Med_MDC_days_03_curr" vbProcedure="false">#REF!</definedName>
    <definedName function="false" hidden="true" name="BOB_Med_MDC_days_04_curr" vbProcedure="false">#REF!</definedName>
    <definedName function="false" hidden="true" name="BOB_Med_MDC_days_05_curr" vbProcedure="false">#REF!</definedName>
    <definedName function="false" hidden="true" name="BOB_Med_MDC_days_06_curr" vbProcedure="false">#REF!</definedName>
    <definedName function="false" hidden="true" name="BOB_Med_MDC_days_07_curr" vbProcedure="false">#REF!</definedName>
    <definedName function="false" hidden="true" name="BOB_Med_MDC_days_08_curr" vbProcedure="false">#REF!</definedName>
    <definedName function="false" hidden="true" name="BOB_Med_MDC_days_09_curr" vbProcedure="false">#REF!</definedName>
    <definedName function="false" hidden="true" name="BOB_Med_MDC_days_10_curr" vbProcedure="false">#REF!</definedName>
    <definedName function="false" hidden="true" name="BOB_Med_MDC_days_11_curr" vbProcedure="false">#REF!</definedName>
    <definedName function="false" hidden="true" name="BOB_Med_MDC_days_12_curr" vbProcedure="false">#REF!</definedName>
    <definedName function="false" hidden="true" name="BOB_Med_MDC_days_13_curr" vbProcedure="false">#REF!</definedName>
    <definedName function="false" hidden="true" name="BOB_Med_MDC_days_14_curr" vbProcedure="false">#REF!</definedName>
    <definedName function="false" hidden="true" name="BOB_Med_MDC_days_15_curr" vbProcedure="false">#REF!</definedName>
    <definedName function="false" hidden="true" name="BOB_Med_MDC_days_16_curr" vbProcedure="false">#REF!</definedName>
    <definedName function="false" hidden="true" name="BOB_Med_MDC_days_17_curr" vbProcedure="false">#REF!</definedName>
    <definedName function="false" hidden="true" name="BOB_Med_MDC_days_18_curr" vbProcedure="false">#REF!</definedName>
    <definedName function="false" hidden="true" name="BOB_Med_MDC_days_19_curr" vbProcedure="false">#REF!</definedName>
    <definedName function="false" hidden="true" name="BOB_Med_MDC_days_20_curr" vbProcedure="false">#REF!</definedName>
    <definedName function="false" hidden="true" name="BOB_Med_MDC_days_21_curr" vbProcedure="false">#REF!</definedName>
    <definedName function="false" hidden="true" name="BOB_Med_MDC_days_22_curr" vbProcedure="false">#REF!</definedName>
    <definedName function="false" hidden="true" name="BOB_Med_MDC_days_23_curr" vbProcedure="false">#REF!</definedName>
    <definedName function="false" hidden="true" name="BOB_Med_MDC_days_999_curr" vbProcedure="false">#REF!</definedName>
    <definedName function="false" hidden="true" name="BOB_Med_MDC_inp_paid_00_curr" vbProcedure="false">#REF!</definedName>
    <definedName function="false" hidden="true" name="BOB_Med_MDC_inp_paid_01_curr" vbProcedure="false">#REF!</definedName>
    <definedName function="false" hidden="true" name="BOB_Med_MDC_inp_paid_02_curr" vbProcedure="false">#REF!</definedName>
    <definedName function="false" hidden="true" name="BOB_Med_MDC_inp_paid_03_curr" vbProcedure="false">#REF!</definedName>
    <definedName function="false" hidden="true" name="BOB_Med_MDC_inp_paid_04_curr" vbProcedure="false">#REF!</definedName>
    <definedName function="false" hidden="true" name="BOB_Med_MDC_inp_paid_05_curr" vbProcedure="false">#REF!</definedName>
    <definedName function="false" hidden="true" name="BOB_Med_MDC_inp_paid_06_curr" vbProcedure="false">#REF!</definedName>
    <definedName function="false" hidden="true" name="BOB_Med_MDC_inp_paid_07_curr" vbProcedure="false">#REF!</definedName>
    <definedName function="false" hidden="true" name="BOB_Med_MDC_inp_paid_08_curr" vbProcedure="false">#REF!</definedName>
    <definedName function="false" hidden="true" name="BOB_Med_MDC_inp_paid_09_curr" vbProcedure="false">#REF!</definedName>
    <definedName function="false" hidden="true" name="BOB_Med_MDC_inp_paid_10_curr" vbProcedure="false">#REF!</definedName>
    <definedName function="false" hidden="true" name="BOB_Med_MDC_inp_paid_11_curr" vbProcedure="false">#REF!</definedName>
    <definedName function="false" hidden="true" name="BOB_Med_MDC_inp_paid_12_curr" vbProcedure="false">#REF!</definedName>
    <definedName function="false" hidden="true" name="BOB_Med_MDC_inp_paid_13_curr" vbProcedure="false">#REF!</definedName>
    <definedName function="false" hidden="true" name="BOB_Med_MDC_inp_paid_14_curr" vbProcedure="false">#REF!</definedName>
    <definedName function="false" hidden="true" name="BOB_Med_MDC_inp_paid_15_curr" vbProcedure="false">#REF!</definedName>
    <definedName function="false" hidden="true" name="BOB_Med_MDC_inp_paid_16_curr" vbProcedure="false">#REF!</definedName>
    <definedName function="false" hidden="true" name="BOB_Med_MDC_inp_paid_17_curr" vbProcedure="false">#REF!</definedName>
    <definedName function="false" hidden="true" name="BOB_Med_MDC_inp_paid_18_curr" vbProcedure="false">#REF!</definedName>
    <definedName function="false" hidden="true" name="BOB_Med_MDC_inp_paid_19_curr" vbProcedure="false">#REF!</definedName>
    <definedName function="false" hidden="true" name="BOB_Med_MDC_inp_paid_20_curr" vbProcedure="false">#REF!</definedName>
    <definedName function="false" hidden="true" name="BOB_Med_MDC_inp_paid_21_curr" vbProcedure="false">#REF!</definedName>
    <definedName function="false" hidden="true" name="BOB_Med_MDC_inp_paid_22_curr" vbProcedure="false">#REF!</definedName>
    <definedName function="false" hidden="true" name="BOB_Med_MDC_inp_paid_23_curr" vbProcedure="false">#REF!</definedName>
    <definedName function="false" hidden="true" name="BOB_Med_MDC_inp_paid_999_curr" vbProcedure="false">#REF!</definedName>
    <definedName function="false" hidden="true" name="BOB_Med_MDC_paid_00_curr" vbProcedure="false">#REF!</definedName>
    <definedName function="false" hidden="true" name="BOB_Med_MDC_paid_01_curr" vbProcedure="false">#REF!</definedName>
    <definedName function="false" hidden="true" name="BOB_Med_MDC_paid_02_curr" vbProcedure="false">#REF!</definedName>
    <definedName function="false" hidden="true" name="BOB_Med_MDC_paid_03_curr" vbProcedure="false">#REF!</definedName>
    <definedName function="false" hidden="true" name="BOB_Med_MDC_paid_04_curr" vbProcedure="false">#REF!</definedName>
    <definedName function="false" hidden="true" name="BOB_Med_MDC_paid_05_curr" vbProcedure="false">#REF!</definedName>
    <definedName function="false" hidden="true" name="BOB_Med_MDC_paid_06_curr" vbProcedure="false">#REF!</definedName>
    <definedName function="false" hidden="true" name="BOB_Med_MDC_paid_07_curr" vbProcedure="false">#REF!</definedName>
    <definedName function="false" hidden="true" name="BOB_Med_MDC_paid_08_curr" vbProcedure="false">#REF!</definedName>
    <definedName function="false" hidden="true" name="BOB_Med_MDC_paid_09_curr" vbProcedure="false">#REF!</definedName>
    <definedName function="false" hidden="true" name="BOB_Med_MDC_paid_10_curr" vbProcedure="false">#REF!</definedName>
    <definedName function="false" hidden="true" name="BOB_Med_MDC_paid_11_curr" vbProcedure="false">#REF!</definedName>
    <definedName function="false" hidden="true" name="BOB_Med_MDC_paid_12_curr" vbProcedure="false">#REF!</definedName>
    <definedName function="false" hidden="true" name="BOB_Med_MDC_paid_13_curr" vbProcedure="false">#REF!</definedName>
    <definedName function="false" hidden="true" name="BOB_Med_MDC_paid_14_curr" vbProcedure="false">#REF!</definedName>
    <definedName function="false" hidden="true" name="BOB_Med_MDC_paid_15_curr" vbProcedure="false">#REF!</definedName>
    <definedName function="false" hidden="true" name="BOB_Med_MDC_paid_16_curr" vbProcedure="false">#REF!</definedName>
    <definedName function="false" hidden="true" name="BOB_Med_MDC_paid_17_curr" vbProcedure="false">#REF!</definedName>
    <definedName function="false" hidden="true" name="BOB_Med_MDC_paid_18_curr" vbProcedure="false">#REF!</definedName>
    <definedName function="false" hidden="true" name="BOB_Med_MDC_paid_19_curr" vbProcedure="false">#REF!</definedName>
    <definedName function="false" hidden="true" name="BOB_Med_MDC_paid_20_curr" vbProcedure="false">#REF!</definedName>
    <definedName function="false" hidden="true" name="BOB_Med_MDC_paid_21_curr" vbProcedure="false">#REF!</definedName>
    <definedName function="false" hidden="true" name="BOB_Med_MDC_paid_22_curr" vbProcedure="false">#REF!</definedName>
    <definedName function="false" hidden="true" name="BOB_Med_MDC_paid_23_curr" vbProcedure="false">#REF!</definedName>
    <definedName function="false" hidden="true" name="BOB_Med_MDC_paid_999_curr" vbProcedure="false">#REF!</definedName>
    <definedName function="false" hidden="true" name="BOB_Med_months_curr" vbProcedure="false">#REF!</definedName>
    <definedName function="false" hidden="true" name="BOB_Med_months_prior" vbProcedure="false">#REF!</definedName>
    <definedName function="false" hidden="true" name="BOB_Med_num_employees_curr" vbProcedure="false">#REF!</definedName>
    <definedName function="false" hidden="true" name="BOB_Med_num_employees_prior" vbProcedure="false">#REF!</definedName>
    <definedName function="false" hidden="true" name="BOB_Med_num_members_curr" vbProcedure="false">#REF!</definedName>
    <definedName function="false" hidden="true" name="BOB_Med_num_members_prior" vbProcedure="false">#REF!</definedName>
    <definedName function="false" hidden="true" name="BOB_Med_office_visits_count_curr" vbProcedure="false">#REF!</definedName>
    <definedName function="false" hidden="true" name="BOB_Med_office_visits_count_prior" vbProcedure="false">#REF!</definedName>
    <definedName function="false" hidden="true" name="BOB_Med_paid_amt_above_threshold_curr" vbProcedure="false">#REF!</definedName>
    <definedName function="false" hidden="true" name="BOB_Med_paid_amt_above_threshold_prior" vbProcedure="false">#REF!</definedName>
    <definedName function="false" hidden="true" name="BOB_Med_paid_amt_amb_surgeries_curr" vbProcedure="false">#REF!</definedName>
    <definedName function="false" hidden="true" name="BOB_Med_paid_amt_amb_surgeries_prior" vbProcedure="false">#REF!</definedName>
    <definedName function="false" hidden="true" name="BOB_Med_paid_amt_amb_visits_curr" vbProcedure="false">#REF!</definedName>
    <definedName function="false" hidden="true" name="BOB_Med_paid_amt_amb_visits_prior" vbProcedure="false">#REF!</definedName>
    <definedName function="false" hidden="true" name="BOB_Med_paid_amt_curr" vbProcedure="false">#REF!</definedName>
    <definedName function="false" hidden="true" name="BOB_Med_paid_amt_er_visits_curr" vbProcedure="false">#REF!</definedName>
    <definedName function="false" hidden="true" name="BOB_Med_paid_amt_er_visits_prior" vbProcedure="false">#REF!</definedName>
    <definedName function="false" hidden="true" name="BOB_Med_paid_amt_home_health_curr" vbProcedure="false">#REF!</definedName>
    <definedName function="false" hidden="true" name="BOB_Med_paid_amt_home_health_prior" vbProcedure="false">#REF!</definedName>
    <definedName function="false" hidden="true" name="BOB_Med_paid_amt_inp_days_curr" vbProcedure="false">#REF!</definedName>
    <definedName function="false" hidden="true" name="BOB_Med_paid_amt_inp_days_prior" vbProcedure="false">#REF!</definedName>
    <definedName function="false" hidden="true" name="BOB_Med_paid_amt_inp_surgeries_curr" vbProcedure="false">#REF!</definedName>
    <definedName function="false" hidden="true" name="BOB_Med_paid_amt_inp_surgeries_prior" vbProcedure="false">#REF!</definedName>
    <definedName function="false" hidden="true" name="BOB_Med_paid_amt_lab_serv_curr" vbProcedure="false">#REF!</definedName>
    <definedName function="false" hidden="true" name="BOB_Med_paid_amt_lab_serv_prior" vbProcedure="false">#REF!</definedName>
    <definedName function="false" hidden="true" name="BOB_Med_paid_amt_med_rx_curr" vbProcedure="false">#REF!</definedName>
    <definedName function="false" hidden="true" name="BOB_Med_paid_amt_med_rx_prior" vbProcedure="false">#REF!</definedName>
    <definedName function="false" hidden="true" name="BOB_Med_paid_amt_med_visits_curr" vbProcedure="false">#REF!</definedName>
    <definedName function="false" hidden="true" name="BOB_Med_paid_amt_med_visits_prior" vbProcedure="false">#REF!</definedName>
    <definedName function="false" hidden="true" name="BOB_Med_paid_amt_mental_health_curr" vbProcedure="false">#REF!</definedName>
    <definedName function="false" hidden="true" name="BOB_Med_paid_amt_mental_health_prior" vbProcedure="false">#REF!</definedName>
    <definedName function="false" hidden="true" name="BOB_Med_paid_amt_misc_med_curr" vbProcedure="false">#REF!</definedName>
    <definedName function="false" hidden="true" name="BOB_Med_paid_amt_misc_med_prior" vbProcedure="false">#REF!</definedName>
    <definedName function="false" hidden="true" name="BOB_Med_paid_amt_office_surgeries_curr" vbProcedure="false">#REF!</definedName>
    <definedName function="false" hidden="true" name="BOB_Med_paid_amt_office_surgeries_prior" vbProcedure="false">#REF!</definedName>
    <definedName function="false" hidden="true" name="BOB_Med_paid_amt_prim_off_visits_curr" vbProcedure="false">#REF!</definedName>
    <definedName function="false" hidden="true" name="BOB_Med_paid_amt_prim_off_visits_prior" vbProcedure="false">#REF!</definedName>
    <definedName function="false" hidden="true" name="BOB_Med_paid_amt_prior" vbProcedure="false">#REF!</definedName>
    <definedName function="false" hidden="true" name="BOB_Med_paid_amt_rad_serv_curr" vbProcedure="false">#REF!</definedName>
    <definedName function="false" hidden="true" name="BOB_Med_paid_amt_rad_serv_prior" vbProcedure="false">#REF!</definedName>
    <definedName function="false" hidden="true" name="BOB_Med_paid_amt_spec_office_visits_curr" vbProcedure="false">#REF!</definedName>
    <definedName function="false" hidden="true" name="BOB_Med_paid_amt_spec_office_visits_prior" vbProcedure="false">#REF!</definedName>
    <definedName function="false" hidden="true" name="BOB_Med_paid_encounter_lab_rad_curr" vbProcedure="false">#REF!</definedName>
    <definedName function="false" hidden="true" name="BOB_Med_paid_encounter_lab_rad_prior" vbProcedure="false">#REF!</definedName>
    <definedName function="false" hidden="true" name="BOB_Med_paid_encounter_other_curr" vbProcedure="false">#REF!</definedName>
    <definedName function="false" hidden="true" name="BOB_Med_paid_encounter_other_prior" vbProcedure="false">#REF!</definedName>
    <definedName function="false" hidden="true" name="BOB_Med_paid_encounter_prim_phys_curr" vbProcedure="false">#REF!</definedName>
    <definedName function="false" hidden="true" name="BOB_Med_paid_encounter_prim_phys_prior" vbProcedure="false">#REF!</definedName>
    <definedName function="false" hidden="true" name="BOB_Med_paid_encounter_spec_phys_curr" vbProcedure="false">#REF!</definedName>
    <definedName function="false" hidden="true" name="BOB_Med_paid_encounter_spec_phys_prior" vbProcedure="false">#REF!</definedName>
    <definedName function="false" hidden="true" name="BOB_Med_paid_other_curr" vbProcedure="false">#REF!</definedName>
    <definedName function="false" hidden="true" name="BOB_Med_paid_other_prior" vbProcedure="false">#REF!</definedName>
    <definedName function="false" hidden="true" name="BOB_Med_par_admit_count_curr" vbProcedure="false">#REF!</definedName>
    <definedName function="false" hidden="true" name="BOB_Med_par_admit_count_prior" vbProcedure="false">#REF!</definedName>
    <definedName function="false" hidden="true" name="BOB_Med_par_paid_amt_curr" vbProcedure="false">#REF!</definedName>
    <definedName function="false" hidden="true" name="BOB_Med_par_paid_amt_prior" vbProcedure="false">#REF!</definedName>
    <definedName function="false" hidden="true" name="BOB_Med_par_phys_office_visits_count_curr" vbProcedure="false">#REF!</definedName>
    <definedName function="false" hidden="true" name="BOB_Med_par_phys_office_visits_count_prior" vbProcedure="false">#REF!</definedName>
    <definedName function="false" hidden="true" name="BOB_Med_phys_office_visits_count_curr" vbProcedure="false">#REF!</definedName>
    <definedName function="false" hidden="true" name="BOB_Med_phys_office_visits_count_prior" vbProcedure="false">#REF!</definedName>
    <definedName function="false" hidden="true" name="BOB_Med_surgery_count_curr" vbProcedure="false">#REF!</definedName>
    <definedName function="false" hidden="true" name="BOB_Med_surgery_count_prior" vbProcedure="false">#REF!</definedName>
    <definedName function="false" hidden="true" name="BOB_Med_threshold_curr" vbProcedure="false">#REF!</definedName>
    <definedName function="false" hidden="true" name="BOB_Med_threshold_prior" vbProcedure="false">#REF!</definedName>
    <definedName function="false" hidden="true" name="BOB_Med_unknown_members_curr" vbProcedure="false">#REF!</definedName>
    <definedName function="false" hidden="true" name="BOB_Med_unknown_members_prior" vbProcedure="false">#REF!</definedName>
    <definedName function="false" hidden="true" name="BOB_Med_unknown_mem_0_19_curr" vbProcedure="false">#REF!</definedName>
    <definedName function="false" hidden="true" name="BOB_Med_unknown_mem_0_19_prior" vbProcedure="false">#REF!</definedName>
    <definedName function="false" hidden="true" name="BOB_Med_unknown_mem_20_44_curr" vbProcedure="false">#REF!</definedName>
    <definedName function="false" hidden="true" name="BOB_Med_unknown_mem_20_44_prior" vbProcedure="false">#REF!</definedName>
    <definedName function="false" hidden="true" name="BOB_Med_unknown_mem_45_64_curr" vbProcedure="false">#REF!</definedName>
    <definedName function="false" hidden="true" name="BOB_Med_unknown_mem_45_64_prior" vbProcedure="false">#REF!</definedName>
    <definedName function="false" hidden="true" name="BOB_Med_unknown_mem_65_over_curr" vbProcedure="false">#REF!</definedName>
    <definedName function="false" hidden="true" name="BOB_Med_unknown_mem_65_over_prior" vbProcedure="false">#REF!</definedName>
    <definedName function="false" hidden="true" name="BOB_num_brand_multisource_claims_curr" vbProcedure="false">#REF!</definedName>
    <definedName function="false" hidden="true" name="BOB_num_brand_multisource_claims_prior" vbProcedure="false">#REF!</definedName>
    <definedName function="false" hidden="true" name="BOB_num_brand_singlesource_claims_curr" vbProcedure="false">#REF!</definedName>
    <definedName function="false" hidden="true" name="BOB_num_brand_singlesource_claims_prior" vbProcedure="false">#REF!</definedName>
    <definedName function="false" hidden="true" name="BOB_num_claims_curr" vbProcedure="false">#REF!</definedName>
    <definedName function="false" hidden="true" name="BOB_num_claims_prior" vbProcedure="false">#REF!</definedName>
    <definedName function="false" hidden="true" name="BOB_num_cross_brand_claims_curr" vbProcedure="false">#REF!</definedName>
    <definedName function="false" hidden="true" name="BOB_num_cross_brand_claims_prior" vbProcedure="false">#REF!</definedName>
    <definedName function="false" hidden="true" name="BOB_num_formulary_claims_curr" vbProcedure="false">#REF!</definedName>
    <definedName function="false" hidden="true" name="BOB_num_formulary_claims_prior" vbProcedure="false">#REF!</definedName>
    <definedName function="false" hidden="true" name="BOB_num_generic_claims_curr" vbProcedure="false">#REF!</definedName>
    <definedName function="false" hidden="true" name="BOB_num_generic_claims_prior" vbProcedure="false">#REF!</definedName>
    <definedName function="false" hidden="true" name="BOB_num_non_formulary_claims_curr" vbProcedure="false">#REF!</definedName>
    <definedName function="false" hidden="true" name="BOB_num_non_formulary_claims_prior" vbProcedure="false">#REF!</definedName>
    <definedName function="false" hidden="true" name="BOB_num_other_generic_claims_curr" vbProcedure="false">#REF!</definedName>
    <definedName function="false" hidden="true" name="BOB_num_other_generic_claims_prior" vbProcedure="false">#REF!</definedName>
    <definedName function="false" hidden="true" name="BOB_num_util_members_curr" vbProcedure="false">#REF!</definedName>
    <definedName function="false" hidden="true" name="BOB_num_util_members_prior" vbProcedure="false">#REF!</definedName>
    <definedName function="false" hidden="true" name="BOB_Rx_avg_age_members_curr" vbProcedure="false">#REF!</definedName>
    <definedName function="false" hidden="true" name="BOB_Rx_avg_age_members_prior" vbProcedure="false">#REF!</definedName>
    <definedName function="false" hidden="true" name="BOB_Rx_female_members_curr" vbProcedure="false">#REF!</definedName>
    <definedName function="false" hidden="true" name="BOB_Rx_female_members_prior" vbProcedure="false">#REF!</definedName>
    <definedName function="false" hidden="true" name="BOB_Rx_female_mem_0_19_curr" vbProcedure="false">#REF!</definedName>
    <definedName function="false" hidden="true" name="BOB_Rx_female_mem_0_19_prior" vbProcedure="false">#REF!</definedName>
    <definedName function="false" hidden="true" name="BOB_Rx_female_mem_20_44_curr" vbProcedure="false">#REF!</definedName>
    <definedName function="false" hidden="true" name="BOB_Rx_female_mem_20_44_prior" vbProcedure="false">#REF!</definedName>
    <definedName function="false" hidden="true" name="BOB_Rx_female_mem_45_64_curr" vbProcedure="false">#REF!</definedName>
    <definedName function="false" hidden="true" name="BOB_Rx_female_mem_45_64_prior" vbProcedure="false">#REF!</definedName>
    <definedName function="false" hidden="true" name="BOB_Rx_female_mem_65_over_curr" vbProcedure="false">#REF!</definedName>
    <definedName function="false" hidden="true" name="BOB_Rx_female_mem_65_over_prior" vbProcedure="false">#REF!</definedName>
    <definedName function="false" hidden="true" name="BOB_Rx_male_members_curr" vbProcedure="false">#REF!</definedName>
    <definedName function="false" hidden="true" name="BOB_Rx_male_members_prior" vbProcedure="false">#REF!</definedName>
    <definedName function="false" hidden="true" name="BOB_Rx_male_mem_0_19_curr" vbProcedure="false">#REF!</definedName>
    <definedName function="false" hidden="true" name="BOB_Rx_male_mem_0_19_prior" vbProcedure="false">#REF!</definedName>
    <definedName function="false" hidden="true" name="BOB_Rx_male_mem_20_44_curr" vbProcedure="false">#REF!</definedName>
    <definedName function="false" hidden="true" name="BOB_Rx_male_mem_20_44_prior" vbProcedure="false">#REF!</definedName>
    <definedName function="false" hidden="true" name="BOB_Rx_male_mem_45_64_curr" vbProcedure="false">#REF!</definedName>
    <definedName function="false" hidden="true" name="BOB_Rx_male_mem_45_64_prior" vbProcedure="false">#REF!</definedName>
    <definedName function="false" hidden="true" name="BOB_Rx_male_mem_65_over_curr" vbProcedure="false">#REF!</definedName>
    <definedName function="false" hidden="true" name="BOB_Rx_male_mem_65_over_prior" vbProcedure="false">#REF!</definedName>
    <definedName function="false" hidden="true" name="BOB_Rx_months_curr" vbProcedure="false">#REF!</definedName>
    <definedName function="false" hidden="true" name="BOB_Rx_months_prior" vbProcedure="false">#REF!</definedName>
    <definedName function="false" hidden="true" name="BOB_Rx_num_employees_curr" vbProcedure="false">#REF!</definedName>
    <definedName function="false" hidden="true" name="BOB_Rx_num_employees_prior" vbProcedure="false">#REF!</definedName>
    <definedName function="false" hidden="true" name="BOB_Rx_num_members_curr" vbProcedure="false">#REF!</definedName>
    <definedName function="false" hidden="true" name="BOB_Rx_num_members_prior" vbProcedure="false">#REF!</definedName>
    <definedName function="false" hidden="true" name="BOB_Rx_unknown_members_curr" vbProcedure="false">#REF!</definedName>
    <definedName function="false" hidden="true" name="BOB_Rx_unknown_members_prior" vbProcedure="false">#REF!</definedName>
    <definedName function="false" hidden="true" name="BOB_Rx_unknown_mem_0_19_curr" vbProcedure="false">#REF!</definedName>
    <definedName function="false" hidden="true" name="BOB_Rx_unknown_mem_0_19_prior" vbProcedure="false">#REF!</definedName>
    <definedName function="false" hidden="true" name="BOB_Rx_unknown_mem_20_44_curr" vbProcedure="false">#REF!</definedName>
    <definedName function="false" hidden="true" name="BOB_Rx_unknown_mem_20_44_prior" vbProcedure="false">#REF!</definedName>
    <definedName function="false" hidden="true" name="BOB_Rx_unknown_mem_45_64_curr" vbProcedure="false">#REF!</definedName>
    <definedName function="false" hidden="true" name="BOB_Rx_unknown_mem_45_64_prior" vbProcedure="false">#REF!</definedName>
    <definedName function="false" hidden="true" name="BOB_Rx_unknown_mem_65_over_curr" vbProcedure="false">#REF!</definedName>
    <definedName function="false" hidden="true" name="BOB_Rx_unknown_mem_65_over_prior" vbProcedure="false">#REF!</definedName>
    <definedName function="false" hidden="true" name="BOB_sum_brand_multisource_paid_amt_curr" vbProcedure="false">#REF!</definedName>
    <definedName function="false" hidden="true" name="BOB_sum_brand_multisource_paid_amt_prior" vbProcedure="false">#REF!</definedName>
    <definedName function="false" hidden="true" name="BOB_sum_brand_singlesource_paid_amt_curr" vbProcedure="false">#REF!</definedName>
    <definedName function="false" hidden="true" name="BOB_sum_brand_singlesource_paid_amt_prior" vbProcedure="false">#REF!</definedName>
    <definedName function="false" hidden="true" name="BOB_sum_cross_brand_paid_amt_curr" vbProcedure="false">#REF!</definedName>
    <definedName function="false" hidden="true" name="BOB_sum_cross_brand_paid_amt_prior" vbProcedure="false">#REF!</definedName>
    <definedName function="false" hidden="true" name="BOB_sum_formulary_paid_amt_curr" vbProcedure="false">#REF!</definedName>
    <definedName function="false" hidden="true" name="BOB_sum_formulary_paid_amt_prior" vbProcedure="false">#REF!</definedName>
    <definedName function="false" hidden="true" name="BOB_sum_generic_paid_amt_curr" vbProcedure="false">#REF!</definedName>
    <definedName function="false" hidden="true" name="BOB_sum_generic_paid_amt_prior" vbProcedure="false">#REF!</definedName>
    <definedName function="false" hidden="true" name="BOB_sum_non_formulary_paid_amt_curr" vbProcedure="false">#REF!</definedName>
    <definedName function="false" hidden="true" name="BOB_sum_non_formulary_paid_amt_prior" vbProcedure="false">#REF!</definedName>
    <definedName function="false" hidden="true" name="BOB_sum_other_generic_paid_amt_curr" vbProcedure="false">#REF!</definedName>
    <definedName function="false" hidden="true" name="BOB_sum_other_generic_paid_amt_prior" vbProcedure="false">#REF!</definedName>
    <definedName function="false" hidden="true" name="BOB_sum_paid_curr" vbProcedure="false">#REF!</definedName>
    <definedName function="false" hidden="true" name="BOB_sum_paid_prior" vbProcedure="false">#REF!</definedName>
    <definedName function="false" hidden="true" name="BrandAverageCopay" vbProcedure="false">#REF!</definedName>
    <definedName function="false" hidden="true" name="BrandMultiAverageCopay" vbProcedure="false">#REF!</definedName>
    <definedName function="false" hidden="true" name="brand_curr" vbProcedure="false">#REF!</definedName>
    <definedName function="false" hidden="true" name="brand_prior" vbProcedure="false">#REF!</definedName>
    <definedName function="false" hidden="true" name="brn.backup._.Page" vbProcedure="false">{#N/A,#N/A,FALSE,"Admin - PS 98";#N/A,#N/A,FALSE,"Dep Ratio Adj"}</definedName>
    <definedName function="false" hidden="true" name="brn.Renewal" vbProcedure="false">{#N/A,#N/A,FALSE,"Approval Form";#N/A,#N/A,FALSE,"Renewal";#N/A,#N/A,FALSE,"Cosmos Report"}</definedName>
    <definedName function="false" hidden="true" name="BrokerEnteredName" vbProcedure="false">#REF!</definedName>
    <definedName function="false" hidden="true" name="BrokerEnteredTagLine" vbProcedure="false">#REF!</definedName>
    <definedName function="false" hidden="false" name="BS_Aug08" vbProcedure="false">#REF!</definedName>
    <definedName function="false" hidden="false" name="BS_Budget_Monthly" vbProcedure="false">#REF!</definedName>
    <definedName function="false" hidden="false" name="BS_Dec08" vbProcedure="false">#REF!</definedName>
    <definedName function="false" hidden="false" name="BS_PY_Actual" vbProcedure="false">#REF!</definedName>
    <definedName function="false" hidden="false" name="buddata" vbProcedure="false">#REF!</definedName>
    <definedName function="false" hidden="false" name="BudgetedAccountsPayable" vbProcedure="false">#REF!</definedName>
    <definedName function="false" hidden="false" name="BudgetedAccountsReceivable" vbProcedure="false">#REF!</definedName>
    <definedName function="false" hidden="false" name="BudgetedCapitalExpenditure" vbProcedure="false">#REF!</definedName>
    <definedName function="false" hidden="false" name="BudgetedCash" vbProcedure="false">#REF!</definedName>
    <definedName function="false" hidden="false" name="BudgetedCostOfSales" vbProcedure="false">#REF!</definedName>
    <definedName function="false" hidden="false" name="BudgetedCurrentPortionOfLTDebt" vbProcedure="false">#REF!</definedName>
    <definedName function="false" hidden="false" name="BudgetedDepreciationAndAmortization" vbProcedure="false">#REF!</definedName>
    <definedName function="false" hidden="false" name="BudgetedEBITDAAdjustment" vbProcedure="false">#REF!</definedName>
    <definedName function="false" hidden="false" name="BudgetedInterestExpense" vbProcedure="false">#REF!</definedName>
    <definedName function="false" hidden="false" name="BudgetedInventory" vbProcedure="false">#REF!</definedName>
    <definedName function="false" hidden="false" name="BudgetedOperatingExpenses" vbProcedure="false">#REF!</definedName>
    <definedName function="false" hidden="false" name="BudgetedOtherAssets" vbProcedure="false">#REF!</definedName>
    <definedName function="false" hidden="false" name="BudgetedOtherCurrentAssets" vbProcedure="false">#REF!</definedName>
    <definedName function="false" hidden="false" name="BudgetedOtherCurrentInterestBearingDebt" vbProcedure="false">#REF!</definedName>
    <definedName function="false" hidden="false" name="BudgetedOtherCurrentLiabilities" vbProcedure="false">#REF!</definedName>
    <definedName function="false" hidden="false" name="BudgetedOtherDebt" vbProcedure="false">#REF!</definedName>
    <definedName function="false" hidden="false" name="BudgetedOtherIncome" vbProcedure="false">#REF!</definedName>
    <definedName function="false" hidden="false" name="BudgetedOtherInterestBearingDebt" vbProcedure="false">#REF!</definedName>
    <definedName function="false" hidden="false" name="BudgetedOtherLiabilities" vbProcedure="false">#REF!</definedName>
    <definedName function="false" hidden="false" name="BudgetedPPAndE" vbProcedure="false">#REF!</definedName>
    <definedName function="false" hidden="false" name="BudgetedRestrictedCash" vbProcedure="false">#REF!</definedName>
    <definedName function="false" hidden="false" name="BudgetedRevolverDebt" vbProcedure="false">#REF!</definedName>
    <definedName function="false" hidden="false" name="BudgetedSales" vbProcedure="false">#REF!</definedName>
    <definedName function="false" hidden="false" name="BudgetedSeniorTermADebt" vbProcedure="false">#REF!</definedName>
    <definedName function="false" hidden="false" name="BudgetedSeniorTermBDebt" vbProcedure="false">#REF!</definedName>
    <definedName function="false" hidden="false" name="BudgetedShareholdersEquity" vbProcedure="false">#REF!</definedName>
    <definedName function="false" hidden="false" name="BudgetedSubordinatedDebt" vbProcedure="false">#REF!</definedName>
    <definedName function="false" hidden="false" name="BudgetedTaxes" vbProcedure="false">#REF!</definedName>
    <definedName function="false" hidden="true" name="but" vbProcedure="false">{"page1",#N/A,FALSE,"GIRLBO";"page2",#N/A,FALSE,"GIRLBO";"page3",#N/A,FALSE,"GIRLBO";"page4",#N/A,FALSE,"GIRLBO";"page5",#N/A,FALSE,"GIRLBO"}</definedName>
    <definedName function="false" hidden="false" name="Button2" vbProcedure="false">{"Mcp08.PrintRep",""}</definedName>
    <definedName function="false" hidden="false" name="bw" vbProcedure="false">#REF!</definedName>
    <definedName function="false" hidden="false" name="by" vbProcedure="false">#REF!</definedName>
    <definedName function="false" hidden="true" name="bye" vbProcedure="false">{#N/A,#N/A,FALSE,"Aging Summary";#N/A,#N/A,FALSE,"Ratio Analysis";#N/A,#N/A,FALSE,"Test 120 Day Accts";#N/A,#N/A,FALSE,"Tickmarks"}</definedName>
    <definedName function="false" hidden="false" name="CADRATE" vbProcedure="false">#REF!</definedName>
    <definedName function="false" hidden="false" name="CalculatedPercentages" vbProcedure="false">#REF!,#REF!,#REF!,#REF!</definedName>
    <definedName function="false" hidden="true" name="caos" vbProcedure="false">{"FY97Total",#N/A,FALSE,"FY97 - Total";"FY98Total",#N/A,FALSE,"FY98 - Total"}</definedName>
    <definedName function="false" hidden="tru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pStructure" vbProcedure="false">#REF!</definedName>
    <definedName function="false" hidden="false" name="CapSum_DebtAmort" vbProcedure="false">#REF!,#REF!</definedName>
    <definedName function="false" hidden="true" name="Cap_capitation_amt_curr" vbProcedure="false">#REF!</definedName>
    <definedName function="false" hidden="true" name="Cap_capitation_amt_prior" vbProcedure="false">#REF!</definedName>
    <definedName function="false" hidden="false" name="Cap_Tax" vbProcedure="false">#REF!</definedName>
    <definedName function="false" hidden="true" name="carla" vbProcedure="false">{"FY98Q1",#N/A,FALSE,"FY98 - Q1";"FY98Q2",#N/A,FALSE,"FY98 - Q2";"FY98Q3",#N/A,FALSE,"FY98 - Q3";"FY98Q4",#N/A,FALSE,"FY98 - Q4"}</definedName>
    <definedName function="false" hidden="false" name="Cash" vbProcedure="false">#REF!</definedName>
    <definedName function="false" hidden="false" name="Cash_Interest" vbProcedure="false">#REF!</definedName>
    <definedName function="false" hidden="true" name="casta" vbProcedure="false">{"FY97Total var",#N/A,FALSE,"FY97 - Total";"FY98Total var",#N/A,FALSE,"FY98 - Total"}</definedName>
    <definedName function="false" hidden="true" name="CatClaimantThreshold" vbProcedure="false">#REF!</definedName>
    <definedName function="false" hidden="false" name="Category" vbProcedure="false">#REF!</definedName>
    <definedName function="false" hidden="false" name="CBWorkbookPriority" vbProcedure="false">-1100774622</definedName>
    <definedName function="false" hidden="false" name="ccc" vbProcedure="false">{#N/A,#N/A,FALSE,"Calc";#N/A,#N/A,FALSE,"Sensitivity";#N/A,#N/A,FALSE,"LT Earn.Dil.";#N/A,#N/A,FALSE,"Dil. AVP"}</definedName>
    <definedName function="false" hidden="false" name="CCGCIRC" vbProcedure="false">#REF!</definedName>
    <definedName function="false" hidden="true" name="CCHART" vbProcedure="false">#REF!</definedName>
    <definedName function="false" hidden="true" name="cds" vbProcedure="false">{"FY97Tot nvs",#N/A,FALSE,"FY97 - Total";"FY98Tot nvs",#N/A,FALSE,"FY98 - Total"}</definedName>
    <definedName function="false" hidden="true" name="certo" vbProcedure="false">{"FY97Q1",#N/A,FALSE,"FY97 - Q1";"FY97Q2",#N/A,FALSE,"FY97 - Q2";"FY97Q3",#N/A,FALSE,"FY97 - Q3";"FY97Q4",#N/A,FALSE,"FY97 - Q4"}</definedName>
    <definedName function="false" hidden="true" name="certro" vbProcedure="false">{"FY98Q1",#N/A,FALSE,"FY98 - Q1";"FY98Q2",#N/A,FALSE,"FY98 - Q2";"FY98Q3",#N/A,FALSE,"FY98 - Q3";"FY98Q4",#N/A,FALSE,"FY98 - Q4"}</definedName>
    <definedName function="false" hidden="false" name="CFI" vbProcedure="false">#REF!</definedName>
    <definedName function="false" hidden="false" name="CF_Budget_Monthly" vbProcedure="false">#REF!</definedName>
    <definedName function="false" hidden="false" name="CF_INT" vbProcedure="false">#REF!</definedName>
    <definedName function="false" hidden="false" name="CF_PY_Actual" vbProcedure="false">#REF!</definedName>
    <definedName function="false" hidden="true" name="Chart" vbProcedure="false">{#N/A,#N/A,FALSE,"Pharm";#N/A,#N/A,FALSE,"WWCM"}</definedName>
    <definedName function="false" hidden="true" name="Check_For_Account_Selection" vbProcedure="false">#REF!</definedName>
    <definedName function="false" hidden="true" name="Check_For_Capitation_Product" vbProcedure="false">#REF!</definedName>
    <definedName function="false" hidden="true" name="Check_For_Plan_Selection" vbProcedure="false">#REF!</definedName>
    <definedName function="false" hidden="true" name="Check_For_Product_99" vbProcedure="false">#REF!</definedName>
    <definedName function="false" hidden="true" name="Check_For_Split_Funded_Medical" vbProcedure="false">#REF!</definedName>
    <definedName function="false" hidden="true" name="Check_Template_Type" vbProcedure="false">#REF!</definedName>
    <definedName function="false" hidden="true" name="chosie" vbProcedure="false">{#N/A,#N/A,FALSE,"Pharm";#N/A,#N/A,FALSE,"WWCM"}</definedName>
    <definedName function="false" hidden="true" name="ciao" vbProcedure="false">{"FY98Q1 var",#N/A,FALSE,"FY98 - Q1";"FY98Q2 var",#N/A,FALSE,"FY98 - Q2";"FY98Q3 var",#N/A,FALSE,"FY98 - Q3";"FY98Q4 var",#N/A,FALSE,"FY98 - Q4"}</definedName>
    <definedName function="false" hidden="true" name="cieco" vbProcedure="false">{"Allocation Matrix p1",#N/A,FALSE,"Allocation Matrix";"Allocation Matrix p2",#N/A,FALSE,"Allocation Matrix";"Allocation Matrix p3",#N/A,FALSE,"Allocation Matrix"}</definedName>
    <definedName function="false" hidden="true" name="cifra" vbProcedure="false">{"FY97Q1 var",#N/A,FALSE,"FY97 - Q1";"FY97Q2 var",#N/A,FALSE,"FY97 - Q2";"FY97Q3 var",#N/A,FALSE,"FY97 - Q3";"FY97Q4 var",#N/A,FALSE,"FY97 - Q4"}</definedName>
    <definedName function="false" hidden="false" name="CIQWBGuid" vbProcedure="false">"Affiniscape Merge Model v3.xlsx"</definedName>
    <definedName function="false" hidden="false" name="CIRC" vbProcedure="false">#REF!</definedName>
    <definedName function="false" hidden="false" name="Circuit" vbProcedure="false">#REF!</definedName>
    <definedName function="false" hidden="false" name="Client" vbProcedure="false">#REF!</definedName>
    <definedName function="false" hidden="true" name="ClientMatter" vbProcedure="false">"b1"</definedName>
    <definedName function="false" hidden="false" name="Close" vbProcedure="false">#REF!</definedName>
    <definedName function="false" hidden="false" name="CloseDate" vbProcedure="false">#REF!</definedName>
    <definedName function="false" hidden="false" name="CloseDateBSF" vbProcedure="false">#REF!</definedName>
    <definedName function="false" hidden="false" name="ClosePrint" vbProcedure="false">#REF!</definedName>
    <definedName function="false" hidden="false" name="closing" vbProcedure="false">#REF!</definedName>
    <definedName function="false" hidden="false" name="CMRR_FCST" vbProcedure="false">#REF!</definedName>
    <definedName function="false" hidden="false" name="CNY" vbProcedure="false">#REF!</definedName>
    <definedName function="false" hidden="true" name="COGS" vbProcedure="false">{#N/A,#N/A,FALSE,"Aging Summary";#N/A,#N/A,FALSE,"Ratio Analysis";#N/A,#N/A,FALSE,"Test 120 Day Accts";#N/A,#N/A,FALSE,"Tickmarks"}</definedName>
    <definedName function="false" hidden="true" name="COGstandard" vbProcedure="false">{#N/A,#N/A,FALSE,"Pharm";#N/A,#N/A,FALSE,"WWCM"}</definedName>
    <definedName function="false" hidden="false" name="COGS_1" vbProcedure="false">#REF!</definedName>
    <definedName function="false" hidden="false" name="COGS_2" vbProcedure="false">#REF!</definedName>
    <definedName function="false" hidden="false" name="COGS_3" vbProcedure="false">#REF!</definedName>
    <definedName function="false" hidden="false" name="COGS_4" vbProcedure="false">#REF!</definedName>
    <definedName function="false" hidden="false" name="COGS_5" vbProcedure="false">#REF!</definedName>
    <definedName function="false" hidden="false" name="coinsmntl" vbProcedure="false">#REF!</definedName>
    <definedName function="false" hidden="false" name="coinsur" vbProcedure="false">#REF!</definedName>
    <definedName function="false" hidden="false" name="Collect" vbProcedure="false">#REF!</definedName>
    <definedName function="false" hidden="false" name="Column" vbProcedure="false">#REF!</definedName>
    <definedName function="false" hidden="false" name="column3d" vbProcedure="false">#REF!</definedName>
    <definedName function="false" hidden="true" name="commonstart" vbProcedure="false">#REF!</definedName>
    <definedName function="false" hidden="true" name="CommunityRatedRow23Row27SIKeyStats" vbProcedure="false">#REF!</definedName>
    <definedName function="false" hidden="true" name="CommunityRated_HPD_Row_22_delete" vbProcedure="false">#REF!</definedName>
    <definedName function="false" hidden="false" name="comp21" vbProcedure="false">#REF!</definedName>
    <definedName function="false" hidden="false" name="comp22" vbProcedure="false">#REF!</definedName>
    <definedName function="false" hidden="false" name="comp23" vbProcedure="false">#REF!</definedName>
    <definedName function="false" hidden="false" name="comp24" vbProcedure="false">#REF!</definedName>
    <definedName function="false" hidden="false" name="comp25" vbProcedure="false">#REF!</definedName>
    <definedName function="false" hidden="false" name="comp26" vbProcedure="false">#REF!</definedName>
    <definedName function="false" hidden="false" name="comp27" vbProcedure="false">#REF!</definedName>
    <definedName function="false" hidden="false" name="comp28" vbProcedure="false">#REF!</definedName>
    <definedName function="false" hidden="false" name="comp29" vbProcedure="false">#REF!</definedName>
    <definedName function="false" hidden="false" name="comp30" vbProcedure="false">#REF!</definedName>
    <definedName function="false" hidden="false" name="comp31" vbProcedure="false">#REF!</definedName>
    <definedName function="false" hidden="false" name="comp32" vbProcedure="false">#REF!</definedName>
    <definedName function="false" hidden="false" name="comp33" vbProcedure="false">#REF!</definedName>
    <definedName function="false" hidden="false" name="comp34" vbProcedure="false">#REF!</definedName>
    <definedName function="false" hidden="false" name="comp35" vbProcedure="false">#REF!</definedName>
    <definedName function="false" hidden="false" name="comp36" vbProcedure="false">#REF!</definedName>
    <definedName function="false" hidden="false" name="CompanyName" vbProcedure="false">#REF!</definedName>
    <definedName function="false" hidden="true" name="Comparative_Period" vbProcedure="false">#REF!</definedName>
    <definedName function="false" hidden="true" name="Comparison" vbProcedure="false">{#N/A,#N/A,FALSE,"TFX Med. Europe Full Year in $"}</definedName>
    <definedName function="false" hidden="true" name="compnam" vbProcedure="false">#REF!</definedName>
    <definedName function="false" hidden="false" name="comps" vbProcedure="false">#REF!</definedName>
    <definedName function="false" hidden="true" name="CompYear" vbProcedure="false">#REF!</definedName>
    <definedName function="false" hidden="false" name="confbegdealyear" vbProcedure="false">#REF!</definedName>
    <definedName function="false" hidden="false" name="confclosedate" vbProcedure="false">#REF!</definedName>
    <definedName function="false" hidden="false" name="confdealyear" vbProcedure="false">#REF!</definedName>
    <definedName function="false" hidden="false" name="confenddealyear" vbProcedure="false">#REF!</definedName>
    <definedName function="false" hidden="false" name="confexitdate" vbProcedure="false">#REF!</definedName>
    <definedName function="false" hidden="false" name="confexityear" vbProcedure="false">#REF!</definedName>
    <definedName function="false" hidden="false" name="conffye" vbProcedure="false">#REF!</definedName>
    <definedName function="false" hidden="true" name="consol" vbProcedure="false">{"cash_marc",#N/A,FALSE,"dec95cr.xls"}</definedName>
    <definedName function="false" hidden="true" name="Consolidated" vbProcedure="false">{"cash_marc",#N/A,FALSE,"dec95cr.xls"}</definedName>
    <definedName function="false" hidden="true" name="ConsumersfirstT2s" vbProcedure="false">{"Statements",#N/A,TRUE,"Income Statement";"Statements",#N/A,TRUE,"Cash Flow Statement";"Statements",#N/A,TRUE,"Balance Sheet ";#N/A,#N/A,TRUE,"Revenue Data Table";#N/A,#N/A,TRUE,"Costs &amp; Expenses Data Table";#N/A,#N/A,TRUE,"Cash Flow Data Table ";#N/A,#N/A,TRUE,"Shor-term Interest Expense"}</definedName>
    <definedName function="false" hidden="true" name="ContentsHelp" vbProcedure="false">#REF!</definedName>
    <definedName function="false" hidden="false" name="Contract_Type" vbProcedure="false">#REF!</definedName>
    <definedName function="false" hidden="true" name="contrib2" vbProcedure="false">{"page1",#N/A,FALSE,"Temp";"page2",#N/A,FALSE,"Temp";"page3",#N/A,FALSE,"Temp";"page4",#N/A,FALSE,"Temp";"page5",#N/A,FALSE,"Temp";"page6",#N/A,FALSE,"Temp"}</definedName>
    <definedName function="false" hidden="true" name="COPY" vbProcedure="false">{#N/A,#N/A,FALSE,"Pharm";#N/A,#N/A,FALSE,"WWCM"}</definedName>
    <definedName function="false" hidden="true" name="copy1" vbProcedure="false">{#N/A,#N/A,FALSE,"Pharm";#N/A,#N/A,FALSE,"WWCM"}</definedName>
    <definedName function="false" hidden="true" name="COPY2" vbProcedure="false">{#N/A,#N/A,FALSE,"Pharm";#N/A,#N/A,FALSE,"WWCM"}</definedName>
    <definedName function="false" hidden="true" name="copy233" vbProcedure="false">{#N/A,#N/A,FALSE,"Pharm";#N/A,#N/A,FALSE,"WWCM"}</definedName>
    <definedName function="false" hidden="true" name="copy33" vbProcedure="false">{#N/A,#N/A,FALSE,"Pharm";#N/A,#N/A,FALSE,"WWCM"}</definedName>
    <definedName function="false" hidden="true" name="copy38" vbProcedure="false">{#N/A,#N/A,FALSE,"Pharm";#N/A,#N/A,FALSE,"WWCM"}</definedName>
    <definedName function="false" hidden="false" name="CostOfSales" vbProcedure="false">#REF!</definedName>
    <definedName function="false" hidden="true" name="Cost_Sharing_Analysis_Dental_Range" vbProcedure="false">#REF!</definedName>
    <definedName function="false" hidden="false" name="Covenants" vbProcedure="false">{#N/A,#N/A,FALSE,"MAY";#N/A,#N/A,FALSE,"Q2";#N/A,#N/A,FALSE,"YTD"}</definedName>
    <definedName function="false" hidden="false" name="Cover" vbProcedure="false">#REF!</definedName>
    <definedName function="false" hidden="true" name="CoverPageBrokerName" vbProcedure="false">#REF!</definedName>
    <definedName function="false" hidden="true" name="CoverPageBrokerTagLine" vbProcedure="false">#REF!</definedName>
    <definedName function="false" hidden="true" name="CoverPageHome" vbProcedure="false">#REF!</definedName>
    <definedName function="false" hidden="true" name="CoverPageProduct" vbProcedure="false">#REF!</definedName>
    <definedName function="false" hidden="true" name="Cover_Page_Range" vbProcedure="false">#REF!</definedName>
    <definedName function="false" hidden="true" name="Cover_Page_Run_Macros_Range" vbProcedure="false">#REF!</definedName>
    <definedName function="false" hidden="false" name="CPPRate" vbProcedure="false">#REF!</definedName>
    <definedName function="false" hidden="tru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true" name="CreateTable" vbProcedure="false">#REF!</definedName>
    <definedName function="false" hidden="true" name="Crgo" vbProcedure="false">{#N/A,#N/A,FALSE,"US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function="false" hidden="true" name="cuiao" vbProcedure="false">{"Allocation Matrix p1",#N/A,FALSE,"Allocation Matrix";"Allocation Matrix p2",#N/A,FALSE,"Allocation Matrix";"Allocation Matrix p3",#N/A,FALSE,"Allocation Matrix"}</definedName>
    <definedName function="false" hidden="false" name="CURRENCY" vbProcedure="false">#REF!</definedName>
    <definedName function="false" hidden="false" name="Currency_2" vbProcedure="false">#REF!</definedName>
    <definedName function="false" hidden="false" name="CurrentPortionOfLTDebt" vbProcedure="false">#REF!</definedName>
    <definedName function="false" hidden="false" name="CurrentQuarter" vbProcedure="false">#REF!</definedName>
    <definedName function="false" hidden="true" name="Current_Cat_End_Row_Number" vbProcedure="false">#REF!</definedName>
    <definedName function="false" hidden="true" name="Current_Claims_Above_50K_Check" vbProcedure="false">#REF!</definedName>
    <definedName function="false" hidden="true" name="Current_Period" vbProcedure="false">#REF!</definedName>
    <definedName function="false" hidden="true" name="CurrYear" vbProcedure="false">#REF!</definedName>
    <definedName function="false" hidden="true" name="curr_yyyymmdd_incurred_end_date" vbProcedure="false">#REF!</definedName>
    <definedName function="false" hidden="true" name="curr_yyyymmdd_processed_end_date" vbProcedure="false">#REF!</definedName>
    <definedName function="false" hidden="false" name="curse" vbProcedure="false">#REF!</definedName>
    <definedName function="false" hidden="false" name="cust" vbProcedure="false">#REF!</definedName>
    <definedName function="false" hidden="false" name="cust1" vbProcedure="false">#REF!</definedName>
    <definedName function="false" hidden="false" name="Cwvu.ALL." vbProcedure="false">#REF!,#REF!</definedName>
    <definedName function="false" hidden="false" name="Cwvu.all.2" vbProcedure="false">#REF!,#REF!</definedName>
    <definedName function="false" hidden="true" name="Cwvu.GREY_ALL." vbProcedure="false">#REF!</definedName>
    <definedName function="false" hidden="false" name="Cwvu.PRT." vbProcedure="false">#REF!,#REF!,#REF!,#REF!,#REF!</definedName>
    <definedName function="false" hidden="false" name="Cwvu.prt.2" vbProcedure="false">#REF!,#REF!,#REF!,#REF!,#REF!</definedName>
    <definedName function="false" hidden="true" name="cxdd" vbProcedure="false">{#N/A,#N/A,TRUE,"Summary";#N/A,#N/A,TRUE,"Financials"}</definedName>
    <definedName function="false" hidden="false" name="CY_93" vbProcedure="false">#REF!</definedName>
    <definedName function="false" hidden="false" name="CY_94" vbProcedure="false">#REF!</definedName>
    <definedName function="false" hidden="true" name="D" vbProcedure="false">{#N/A,#N/A,FALSE,"AD_Purch";#N/A,#N/A,FALSE,"Projections";#N/A,#N/A,FALSE,"DCF";#N/A,#N/A,FALSE,"Mkt Val"}</definedName>
    <definedName function="false" hidden="true" name="DAD" vbProcedure="false">{#N/A,#N/A,FALSE,"REPORT"}</definedName>
    <definedName function="false" hidden="true" name="DADF" vbProcedure="false">{#N/A,#N/A,FALSE,"REPORT"}</definedName>
    <definedName function="false" hidden="false" name="dadsf" vbProcedure="false">#REF!</definedName>
    <definedName function="false" hidden="true" name="daf" vbProcedure="false">{#N/A,#N/A,FALSE,"1";#N/A,#N/A,FALSE,"2";#N/A,#N/A,FALSE,"16 - 17";#N/A,#N/A,FALSE,"18 - 19";#N/A,#N/A,FALSE,"26";#N/A,#N/A,FALSE,"27";#N/A,#N/A,FALSE,"28"}</definedName>
    <definedName function="false" hidden="true" name="dakfkjafgkeaj" vbProcedure="false">{#N/A,#N/A,FALSE,"Pharm";#N/A,#N/A,FALSE,"WWCM"}</definedName>
    <definedName function="false" hidden="true" name="data3" vbProcedure="false">#REF!</definedName>
    <definedName function="false" hidden="true" name="datadownfour" vbProcedure="false">#REF!</definedName>
    <definedName function="false" hidden="true" name="datadownone" vbProcedure="false">#REF!</definedName>
    <definedName function="false" hidden="true" name="datadownthree" vbProcedure="false">#REF!</definedName>
    <definedName function="false" hidden="true" name="datadowntwo" vbProcedure="false">#REF!</definedName>
    <definedName function="false" hidden="false" name="datafilename" vbProcedure="false">#REF!</definedName>
    <definedName function="false" hidden="true" name="datatoggle" vbProcedure="false">#REF!</definedName>
    <definedName function="false" hidden="true" name="datatoggletwo" vbProcedure="false">#REF!</definedName>
    <definedName function="false" hidden="true" name="DataValDate" vbProcedure="false">#REF!</definedName>
    <definedName function="false" hidden="true" name="datavaldate2" vbProcedure="false">#REF!</definedName>
    <definedName function="false" hidden="true" name="datavaldate3" vbProcedure="false">#REF!</definedName>
    <definedName function="false" hidden="true" name="DataVal_BenTypesLong" vbProcedure="false">#REF!</definedName>
    <definedName function="false" hidden="true" name="DataVal_BenTypesShort" vbProcedure="false">#REF!</definedName>
    <definedName function="false" hidden="true" name="DataVal_MarginDesc" vbProcedure="false">#REF!</definedName>
    <definedName function="false" hidden="true" name="DATA_01" vbProcedure="false">#REF!</definedName>
    <definedName function="false" hidden="true" name="Data_Availability_Summary_Home" vbProcedure="false">#REF!</definedName>
    <definedName function="false" hidden="true" name="Data_Availability_Summary_Range" vbProcedure="false">#REF!</definedName>
    <definedName function="false" hidden="false" name="Data_Location" vbProcedure="false">"'Combined Booking Data'!$P$5:$P$1495"</definedName>
    <definedName function="false" hidden="false" name="Data_OrderType" vbProcedure="false">"'Combined Booking Data'!$+'Booking Data'!$H$oP$5:$o$1495"</definedName>
    <definedName function="false" hidden="false" name="date" vbProcedure="false">#REF!</definedName>
    <definedName function="false" hidden="false" name="Date_List" vbProcedure="false">#REF!</definedName>
    <definedName function="false" hidden="false" name="Days_in_Receivables" vbProcedure="false">#REF!,#REF!</definedName>
    <definedName function="false" hidden="true" name="DA_Accumulator_Range" vbProcedure="false">#REF!</definedName>
    <definedName function="false" hidden="true" name="DA_Capitation_Range" vbProcedure="false">#REF!</definedName>
    <definedName function="false" hidden="true" name="DA_Dental_Range" vbProcedure="false">#REF!</definedName>
    <definedName function="false" hidden="true" name="DA_Medical_Range" vbProcedure="false">#REF!</definedName>
    <definedName function="false" hidden="true" name="DA_Off_Page_Range" vbProcedure="false">#REF!</definedName>
    <definedName function="false" hidden="true" name="DA_Prior_Range" vbProcedure="false">#REF!</definedName>
    <definedName function="false" hidden="true" name="DA_RX_Range" vbProcedure="false">#REF!</definedName>
    <definedName function="false" hidden="false" name="DB" vbProcedure="false">#REF!</definedName>
    <definedName function="false" hidden="tru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DCHART" vbProcedure="false">#REF!</definedName>
    <definedName function="false" hidden="true" name="DD" vbProcedure="false">{"ALLOCATION1",#N/A,FALSE,"EXPENSE ALLOCATIONS";"ALLOCATION2",#N/A,FALSE,"EXPENSE ALLOCATIONS";"ALLOCATION3",#N/A,FALSE,"EXPENSE ALLOCATIONS";"ALLOCATION4",#N/A,FALSE,"EXPENSE ALLOCATIONS"}</definedName>
    <definedName function="false" hidden="false" name="ddd" vbProcedure="false">{"histincome",#N/A,FALSE,"hyfins";"closing balance",#N/A,FALSE,"hyfins"}</definedName>
    <definedName function="false" hidden="true" name="dddaz" vbProcedure="false">{#N/A,#N/A,FALSE,"Pharm";#N/A,#N/A,FALSE,"WWCM"}</definedName>
    <definedName function="false" hidden="true" name="dddddd" vbProcedure="false">{#N/A,#N/A,FALSE,"Pharm";#N/A,#N/A,FALSE,"WWCM"}</definedName>
    <definedName function="false" hidden="true" name="DD_ER_VISITS_FOOTNOTE" vbProcedure="false">#REF!</definedName>
    <definedName function="false" hidden="false" name="DealYear" vbProcedure="false">#REF!</definedName>
    <definedName function="false" hidden="false" name="DealYearBSF" vbProcedure="false">#REF!</definedName>
    <definedName function="false" hidden="true" name="debtpref" vbProcedure="false">#REF!</definedName>
    <definedName function="false" hidden="false" name="Debt_Exp_to_Sales" vbProcedure="false">#REF!,#REF!</definedName>
    <definedName function="false" hidden="false" name="DecData" vbProcedure="false">#REF!</definedName>
    <definedName function="false" hidden="true" name="dede" vbProcedure="false">{#N/A,#N/A,FALSE,"Pharm";#N/A,#N/A,FALSE,"WWCM"}</definedName>
    <definedName function="false" hidden="true" name="DEDED" vbProcedure="false">{#N/A,#N/A,FALSE,"Card";#N/A,#N/A,FALSE,"Prav";#N/A,#N/A,FALSE,"Irbe";#N/A,#N/A,FALSE,"Plavix";#N/A,#N/A,FALSE,"Capt";#N/A,#N/A,FALSE,"Fosi"}</definedName>
    <definedName function="false" hidden="true" name="DEDEDZE" vbProcedure="false">{#N/A,#N/A,FALSE,"Pharm";#N/A,#N/A,FALSE,"WWCM"}</definedName>
    <definedName function="false" hidden="false" name="deduct2p" vbProcedure="false">#REF!</definedName>
    <definedName function="false" hidden="false" name="deductf" vbProcedure="false">#REF!</definedName>
    <definedName function="false" hidden="false" name="deducts" vbProcedure="false">#REF!</definedName>
    <definedName function="false" hidden="true" name="DEDZD" vbProcedure="false">{#N/A,#N/A,FALSE,"Pharm";#N/A,#N/A,FALSE,"WWCM"}</definedName>
    <definedName function="false" hidden="true" name="DEE" vbProcedure="false">{#N/A,#N/A,FALSE,"Pharm";#N/A,#N/A,FALSE,"WWCM"}</definedName>
    <definedName function="false" hidden="true" name="def" vbProcedure="false">{"510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function="false" hidden="true" name="DefRev" vbProcedure="false">#REF!</definedName>
    <definedName function="false" hidden="true" name="delete" vbProcedure="false">{"NOTES",#N/A,FALSE,"NOTES";"EXECSUM",#N/A,FALSE,"EXECSUM"}</definedName>
    <definedName function="false" hidden="true" name="DeleteRange" vbProcedure="false">#REF!</definedName>
    <definedName function="false" hidden="true" name="DeleteTable" vbProcedure="false">#REF!</definedName>
    <definedName function="false" hidden="true" name="Demographics_Dental_Range" vbProcedure="false">#REF!</definedName>
    <definedName function="false" hidden="true" name="Demographics_FI_Community_Graph_range" vbProcedure="false">#REF!</definedName>
    <definedName function="false" hidden="true" name="Demographics_Medical_Range" vbProcedure="false">#REF!</definedName>
    <definedName function="false" hidden="true" name="DentalProductCheck" vbProcedure="false">#REF!</definedName>
    <definedName function="false" hidden="true" name="dental_ahf_ind" vbProcedure="false">#REF!</definedName>
    <definedName function="false" hidden="true" name="Dental_avg_age_members_curr" vbProcedure="false">#REF!</definedName>
    <definedName function="false" hidden="true" name="Dental_avg_age_members_prior" vbProcedure="false">#REF!</definedName>
    <definedName function="false" hidden="true" name="Dental_basic_paid_amt_curr" vbProcedure="false">#REF!</definedName>
    <definedName function="false" hidden="true" name="Dental_basic_paid_amt_prior" vbProcedure="false">#REF!</definedName>
    <definedName function="false" hidden="true" name="Dental_basic_svcs_curr" vbProcedure="false">#REF!</definedName>
    <definedName function="false" hidden="true" name="Dental_basic_svcs_prior" vbProcedure="false">#REF!</definedName>
    <definedName function="false" hidden="true" name="Dental_cost_share_allowed_amt_curr" vbProcedure="false">#REF!</definedName>
    <definedName function="false" hidden="true" name="Dental_cost_share_allowed_amt_prior" vbProcedure="false">#REF!</definedName>
    <definedName function="false" hidden="true" name="Dental_cost_share_cob_amt_curr" vbProcedure="false">#REF!</definedName>
    <definedName function="false" hidden="true" name="Dental_cost_share_cob_amt_prior" vbProcedure="false">#REF!</definedName>
    <definedName function="false" hidden="true" name="Dental_cost_share_coins_amt_curr" vbProcedure="false">#REF!</definedName>
    <definedName function="false" hidden="true" name="Dental_cost_share_coins_amt_prior" vbProcedure="false">#REF!</definedName>
    <definedName function="false" hidden="true" name="Dental_cost_share_deductible_amt_curr" vbProcedure="false">#REF!</definedName>
    <definedName function="false" hidden="true" name="Dental_cost_share_deductible_amt_prior" vbProcedure="false">#REF!</definedName>
    <definedName function="false" hidden="true" name="Dental_dependent_paid_amt_curr" vbProcedure="false">#REF!</definedName>
    <definedName function="false" hidden="true" name="Dental_dependent_paid_amt_prior" vbProcedure="false">#REF!</definedName>
    <definedName function="false" hidden="true" name="Dental_employee_paid_amt_curr" vbProcedure="false">#REF!</definedName>
    <definedName function="false" hidden="true" name="Dental_employee_paid_amt_prior" vbProcedure="false">#REF!</definedName>
    <definedName function="false" hidden="true" name="Dental_female_members_curr" vbProcedure="false">#REF!</definedName>
    <definedName function="false" hidden="true" name="Dental_female_members_prior" vbProcedure="false">#REF!</definedName>
    <definedName function="false" hidden="true" name="Dental_female_mem_0_19_curr" vbProcedure="false">#REF!</definedName>
    <definedName function="false" hidden="true" name="Dental_female_mem_0_19_prior" vbProcedure="false">#REF!</definedName>
    <definedName function="false" hidden="true" name="Dental_female_mem_20_44_curr" vbProcedure="false">#REF!</definedName>
    <definedName function="false" hidden="true" name="Dental_female_mem_20_44_prior" vbProcedure="false">#REF!</definedName>
    <definedName function="false" hidden="true" name="Dental_female_mem_45_64_curr" vbProcedure="false">#REF!</definedName>
    <definedName function="false" hidden="true" name="Dental_female_mem_45_64_prior" vbProcedure="false">#REF!</definedName>
    <definedName function="false" hidden="true" name="Dental_female_mem_65_over_curr" vbProcedure="false">#REF!</definedName>
    <definedName function="false" hidden="true" name="Dental_female_mem_65_over_prior" vbProcedure="false">#REF!</definedName>
    <definedName function="false" hidden="true" name="Dental_Ingenix_Footnote" vbProcedure="false">#REF!</definedName>
    <definedName function="false" hidden="true" name="Dental_key_results_network_discount_amt_curr" vbProcedure="false">#REF!</definedName>
    <definedName function="false" hidden="true" name="Dental_key_results_network_discount_amt_prior" vbProcedure="false">#REF!</definedName>
    <definedName function="false" hidden="true" name="Dental_key_results_network_paid_amt_curr" vbProcedure="false">#REF!</definedName>
    <definedName function="false" hidden="true" name="Dental_key_results_network_paid_amt_prior" vbProcedure="false">#REF!</definedName>
    <definedName function="false" hidden="true" name="Dental_key_results_rc_savings_amt_curr" vbProcedure="false">#REF!</definedName>
    <definedName function="false" hidden="true" name="Dental_key_results_rc_savings_amt_prior" vbProcedure="false">#REF!</definedName>
    <definedName function="false" hidden="true" name="Dental_major_paid_amt_curr" vbProcedure="false">#REF!</definedName>
    <definedName function="false" hidden="true" name="Dental_major_paid_amt_prior" vbProcedure="false">#REF!</definedName>
    <definedName function="false" hidden="true" name="Dental_major_svcs_curr" vbProcedure="false">#REF!</definedName>
    <definedName function="false" hidden="true" name="Dental_major_svcs_prior" vbProcedure="false">#REF!</definedName>
    <definedName function="false" hidden="true" name="Dental_male_members_curr" vbProcedure="false">#REF!</definedName>
    <definedName function="false" hidden="true" name="Dental_male_members_prior" vbProcedure="false">#REF!</definedName>
    <definedName function="false" hidden="true" name="Dental_male_mem_0_19_curr" vbProcedure="false">#REF!</definedName>
    <definedName function="false" hidden="true" name="Dental_male_mem_0_19_prior" vbProcedure="false">#REF!</definedName>
    <definedName function="false" hidden="true" name="Dental_male_mem_20_44_curr" vbProcedure="false">#REF!</definedName>
    <definedName function="false" hidden="true" name="Dental_male_mem_20_44_prior" vbProcedure="false">#REF!</definedName>
    <definedName function="false" hidden="true" name="Dental_male_mem_45_64_curr" vbProcedure="false">#REF!</definedName>
    <definedName function="false" hidden="true" name="Dental_male_mem_45_64_prior" vbProcedure="false">#REF!</definedName>
    <definedName function="false" hidden="true" name="Dental_male_mem_65_over_curr" vbProcedure="false">#REF!</definedName>
    <definedName function="false" hidden="true" name="Dental_male_mem_65_over_prior" vbProcedure="false">#REF!</definedName>
    <definedName function="false" hidden="true" name="Dental_months_curr" vbProcedure="false">#REF!</definedName>
    <definedName function="false" hidden="true" name="Dental_months_prior" vbProcedure="false">#REF!</definedName>
    <definedName function="false" hidden="true" name="Dental_network_discount_in_network_curr" vbProcedure="false">#REF!</definedName>
    <definedName function="false" hidden="true" name="Dental_network_discount_in_network_prior" vbProcedure="false">#REF!</definedName>
    <definedName function="false" hidden="true" name="Dental_network_discount_other_curr" vbProcedure="false">#REF!</definedName>
    <definedName function="false" hidden="true" name="Dental_network_discount_other_prior" vbProcedure="false">#REF!</definedName>
    <definedName function="false" hidden="true" name="Dental_network_discount_out_network_curr" vbProcedure="false">#REF!</definedName>
    <definedName function="false" hidden="true" name="Dental_network_discount_out_network_prior" vbProcedure="false">#REF!</definedName>
    <definedName function="false" hidden="true" name="Dental_net_submitted_in_network_curr" vbProcedure="false">#REF!</definedName>
    <definedName function="false" hidden="true" name="Dental_net_submitted_in_network_prior" vbProcedure="false">#REF!</definedName>
    <definedName function="false" hidden="true" name="Dental_net_submitted_other_curr" vbProcedure="false">#REF!</definedName>
    <definedName function="false" hidden="true" name="Dental_net_submitted_other_prior" vbProcedure="false">#REF!</definedName>
    <definedName function="false" hidden="true" name="Dental_net_submitted_out_network_curr" vbProcedure="false">#REF!</definedName>
    <definedName function="false" hidden="true" name="Dental_net_submitted_out_network_prior" vbProcedure="false">#REF!</definedName>
    <definedName function="false" hidden="true" name="Dental_num_employees_curr" vbProcedure="false">#REF!</definedName>
    <definedName function="false" hidden="true" name="Dental_num_employees_prior" vbProcedure="false">#REF!</definedName>
    <definedName function="false" hidden="true" name="Dental_num_members_curr" vbProcedure="false">#REF!</definedName>
    <definedName function="false" hidden="true" name="Dental_num_members_prior" vbProcedure="false">#REF!</definedName>
    <definedName function="false" hidden="true" name="Dental_OON_Footnote" vbProcedure="false">#REF!</definedName>
    <definedName function="false" hidden="true" name="Dental_orthodonic_paid_amt_curr" vbProcedure="false">#REF!</definedName>
    <definedName function="false" hidden="true" name="Dental_orthodonic_paid_amt_prior" vbProcedure="false">#REF!</definedName>
    <definedName function="false" hidden="true" name="Dental_orthodonic_svcs_curr" vbProcedure="false">#REF!</definedName>
    <definedName function="false" hidden="true" name="Dental_orthodonic_svcs_prior" vbProcedure="false">#REF!</definedName>
    <definedName function="false" hidden="true" name="Dental_other_paid_amt_curr" vbProcedure="false">#REF!</definedName>
    <definedName function="false" hidden="true" name="Dental_other_paid_amt_prior" vbProcedure="false">#REF!</definedName>
    <definedName function="false" hidden="true" name="Dental_other_svcs_curr" vbProcedure="false">#REF!</definedName>
    <definedName function="false" hidden="true" name="Dental_other_svcs_prior" vbProcedure="false">#REF!</definedName>
    <definedName function="false" hidden="true" name="Dental_paid_amt_curr" vbProcedure="false">#REF!</definedName>
    <definedName function="false" hidden="true" name="Dental_paid_amt_female_0_19_curr" vbProcedure="false">#REF!</definedName>
    <definedName function="false" hidden="true" name="Dental_paid_amt_female_0_19_prior" vbProcedure="false">#REF!</definedName>
    <definedName function="false" hidden="true" name="Dental_paid_amt_female_20_44_curr" vbProcedure="false">#REF!</definedName>
    <definedName function="false" hidden="true" name="Dental_paid_amt_female_20_44_prior" vbProcedure="false">#REF!</definedName>
    <definedName function="false" hidden="true" name="Dental_paid_amt_female_45_64_curr" vbProcedure="false">#REF!</definedName>
    <definedName function="false" hidden="true" name="Dental_paid_amt_female_45_64_prior" vbProcedure="false">#REF!</definedName>
    <definedName function="false" hidden="true" name="Dental_paid_amt_female_65_over_curr" vbProcedure="false">#REF!</definedName>
    <definedName function="false" hidden="true" name="Dental_paid_amt_female_65_over_prior" vbProcedure="false">#REF!</definedName>
    <definedName function="false" hidden="true" name="Dental_paid_amt_male_0_19_curr" vbProcedure="false">#REF!</definedName>
    <definedName function="false" hidden="true" name="Dental_paid_amt_male_0_19_prior" vbProcedure="false">#REF!</definedName>
    <definedName function="false" hidden="true" name="Dental_paid_amt_male_20_44_curr" vbProcedure="false">#REF!</definedName>
    <definedName function="false" hidden="true" name="Dental_paid_amt_male_20_44_prior" vbProcedure="false">#REF!</definedName>
    <definedName function="false" hidden="true" name="Dental_paid_amt_male_45_64_curr" vbProcedure="false">#REF!</definedName>
    <definedName function="false" hidden="true" name="Dental_paid_amt_male_45_64_prior" vbProcedure="false">#REF!</definedName>
    <definedName function="false" hidden="true" name="Dental_paid_amt_male_65_over_curr" vbProcedure="false">#REF!</definedName>
    <definedName function="false" hidden="true" name="Dental_paid_amt_male_65_over_prior" vbProcedure="false">#REF!</definedName>
    <definedName function="false" hidden="true" name="Dental_paid_amt_prior" vbProcedure="false">#REF!</definedName>
    <definedName function="false" hidden="true" name="Dental_paid_amt_unknown_0_19_curr" vbProcedure="false">#REF!</definedName>
    <definedName function="false" hidden="true" name="Dental_paid_amt_unknown_0_19_prior" vbProcedure="false">#REF!</definedName>
    <definedName function="false" hidden="true" name="Dental_paid_amt_unknown_20_44_curr" vbProcedure="false">#REF!</definedName>
    <definedName function="false" hidden="true" name="Dental_paid_amt_unknown_20_44_prior" vbProcedure="false">#REF!</definedName>
    <definedName function="false" hidden="true" name="Dental_paid_amt_unknown_45_64_curr" vbProcedure="false">#REF!</definedName>
    <definedName function="false" hidden="true" name="Dental_paid_amt_unknown_45_64_prior" vbProcedure="false">#REF!</definedName>
    <definedName function="false" hidden="true" name="Dental_paid_amt_unknown_65_over_curr" vbProcedure="false">#REF!</definedName>
    <definedName function="false" hidden="true" name="Dental_paid_amt_unknown_65_over_prior" vbProcedure="false">#REF!</definedName>
    <definedName function="false" hidden="true" name="Dental_PPO_Max_Section_Check" vbProcedure="false">#REF!</definedName>
    <definedName function="false" hidden="true" name="Dental_PPO_Section_Check" vbProcedure="false">#REF!</definedName>
    <definedName function="false" hidden="true" name="Dental_preventative_paid_amt_curr" vbProcedure="false">#REF!</definedName>
    <definedName function="false" hidden="true" name="Dental_preventative_paid_amt_prior" vbProcedure="false">#REF!</definedName>
    <definedName function="false" hidden="true" name="Dental_preventative_svcs_curr" vbProcedure="false">#REF!</definedName>
    <definedName function="false" hidden="true" name="Dental_preventative_svcs_prior" vbProcedure="false">#REF!</definedName>
    <definedName function="false" hidden="true" name="Dental_rc_savings_in_network_curr" vbProcedure="false">#REF!</definedName>
    <definedName function="false" hidden="true" name="Dental_rc_savings_in_network_prior" vbProcedure="false">#REF!</definedName>
    <definedName function="false" hidden="true" name="Dental_rc_savings_other_curr" vbProcedure="false">#REF!</definedName>
    <definedName function="false" hidden="true" name="Dental_rc_savings_other_prior" vbProcedure="false">#REF!</definedName>
    <definedName function="false" hidden="true" name="Dental_rc_savings_out_network_curr" vbProcedure="false">#REF!</definedName>
    <definedName function="false" hidden="true" name="Dental_rc_savings_out_network_prior" vbProcedure="false">#REF!</definedName>
    <definedName function="false" hidden="true" name="Dental_services_in_network_curr" vbProcedure="false">#REF!</definedName>
    <definedName function="false" hidden="true" name="Dental_services_in_network_prior" vbProcedure="false">#REF!</definedName>
    <definedName function="false" hidden="true" name="Dental_services_other_curr" vbProcedure="false">#REF!</definedName>
    <definedName function="false" hidden="true" name="Dental_services_other_prior" vbProcedure="false">#REF!</definedName>
    <definedName function="false" hidden="true" name="Dental_services_out_network_curr" vbProcedure="false">#REF!</definedName>
    <definedName function="false" hidden="true" name="Dental_services_out_network_prior" vbProcedure="false">#REF!</definedName>
    <definedName function="false" hidden="true" name="Dental_unknown_members_curr" vbProcedure="false">#REF!</definedName>
    <definedName function="false" hidden="true" name="Dental_unknown_members_prior" vbProcedure="false">#REF!</definedName>
    <definedName function="false" hidden="true" name="Dental_unknown_mem_0_19_curr" vbProcedure="false">#REF!</definedName>
    <definedName function="false" hidden="true" name="Dental_unknown_mem_0_19_prior" vbProcedure="false">#REF!</definedName>
    <definedName function="false" hidden="true" name="Dental_unknown_mem_20_44_curr" vbProcedure="false">#REF!</definedName>
    <definedName function="false" hidden="true" name="Dental_unknown_mem_20_44_prior" vbProcedure="false">#REF!</definedName>
    <definedName function="false" hidden="true" name="Dental_unknown_mem_45_64_curr" vbProcedure="false">#REF!</definedName>
    <definedName function="false" hidden="true" name="Dental_unknown_mem_45_64_prior" vbProcedure="false">#REF!</definedName>
    <definedName function="false" hidden="true" name="Dental_unknown_mem_65_over_curr" vbProcedure="false">#REF!</definedName>
    <definedName function="false" hidden="true" name="Dental_unknown_mem_65_over_prior" vbProcedure="false">#REF!</definedName>
    <definedName function="false" hidden="false" name="DepreciationAndAmortization" vbProcedure="false">#REF!</definedName>
    <definedName function="false" hidden="false" name="Dept" vbProcedure="false">#REF!</definedName>
    <definedName function="false" hidden="true" name="DeRidder" vbProcedure="false">{#N/A,#N/A,FALSE,"C";#N/A,#N/A,FALSE,"D";#N/A,#N/A,FALSE,"D (2)";#N/A,#N/A,FALSE,"E";#N/A,#N/A,FALSE,"F";#N/A,#N/A,FALSE,"G";#N/A,#N/A,FALSE,"H";#N/A,#N/A,FALSE,"I";#N/A,#N/A,FALSE,"J";#N/A,#N/A,FALSE,"K";#N/A,#N/A,FALSE,"L";#N/A,#N/A,FALSE,"M";#N/A,#N/A,FALSE,"N";#N/A,#N/A,FALSE,"O";#N/A,#N/A,FALSE,"P";#N/A,#N/A,FALSE,"Q";#N/A,#N/A,FALSE,"R";#N/A,#N/A,FALSE,"R (2)";#N/A,#N/A,FALSE,"S";#N/A,#N/A,FALSE,"T";#N/A,#N/A,FALSE,"U";#N/A,#N/A,FALSE,"V";#N/A,#N/A,FALSE,"W";#N/A,#N/A,FALSE,"X";#N/A,#N/A,FALSE,"X (2)";#N/A,#N/A,FALSE,"X (3)";#N/A,#N/A,FALSE,"Y";#N/A,#N/A,FALSE,"Y (2)";#N/A,#N/A,FALSE,"Y (3)";#N/A,#N/A,FALSE,"Z";#N/A,#N/A,FALSE,"AA";#N/A,#N/A,FALSE,"AB";#N/A,#N/A,FALSE,"AC";#N/A,#N/A,FALSE,"AD";#N/A,#N/A,FALSE,"AE";#N/A,#N/A,FALSE,"AF";#N/A,#N/A,FALSE,"AG";#N/A,#N/A,FALSE,"AH";#N/A,#N/A,FALSE,"AI";#N/A,#N/A,FALSE,"AJ";#N/A,#N/A,FALSE,"AK";#N/A,#N/A,FALSE,"AL";#N/A,#N/A,FALSE,"AM";#N/A,#N/A,FALSE,"AN";#N/A,#N/A,FALSE,"AO";#N/A,#N/A,FALSE,"AP";#N/A,#N/A,FALSE,"AP (2)";#N/A,#N/A,FALSE,"AQ";#N/A,#N/A,FALSE,"AR";#N/A,#N/A,FALSE,"AS";#N/A,#N/A,FALSE,"AT";#N/A,#N/A,FALSE,"AU";#N/A,#N/A,FALSE,"AV";#N/A,#N/A,FALSE,"AW";#N/A,#N/A,FALSE,"AX";#N/A,#N/A,FALSE,"AY";#N/A,#N/A,FALSE,"AZ";#N/A,#N/A,FALSE,"BA"}</definedName>
    <definedName function="false" hidden="true" name="derta" vbProcedure="false">{"FY97Q1 nvs",#N/A,FALSE,"FY97 - Q1";"FY97Q2 nvs",#N/A,FALSE,"FY97 - Q2";"FY97Q3 nvs",#N/A,FALSE,"FY97 - Q3";"FY97Q4 nvs",#N/A,FALSE,"FY97 - Q4"}</definedName>
    <definedName function="false" hidden="true" name="desto" vbProcedure="false">{"FY98Q1 nvs",#N/A,FALSE,"FY98 - Q1";"FY98Q2 nvs",#N/A,FALSE,"FY98 - Q2";"FY98Q3 nvs",#N/A,FALSE,"FY98 - Q3";"FY98Q4 nvs",#N/A,FALSE,"FY98 - Q4"}</definedName>
    <definedName function="false" hidden="true" name="detail" vbProcedure="false">{"umarea",#N/A,FALSE,"Starting Cost";"umagesex",#N/A,FALSE,"Starting Cost";"umbenlim",#N/A,FALSE,"Starting Cost";"umprovdisc",#N/A,FALSE,"Starting Cost";"umother",#N/A,FALSE,"Starting Cost";"umtrend",#N/A,FALSE,"Starting Cost"}</definedName>
    <definedName function="false" hidden="true" name="detto" vbProcedure="false">{"FY97Q1",#N/A,FALSE,"FY97 - Q1";"FY97Q2",#N/A,FALSE,"FY97 - Q2";"FY97Q3",#N/A,FALSE,"FY97 - Q3";"FY97Q4",#N/A,FALSE,"FY97 - Q4"}</definedName>
    <definedName function="false" hidden="true" name="dev_tech" vbProcedure="false">#REF!</definedName>
    <definedName function="false" hidden="true" name="DEZLFEZKLHF" vbProcedure="false">{#N/A,#N/A,FALSE,"Pharm";#N/A,#N/A,FALSE,"WWCM"}</definedName>
    <definedName function="false" hidden="true" name="df" vbProcedure="false">{"FY97Q1 var",#N/A,FALSE,"FY97 - Q1";"FY97Q2 var",#N/A,FALSE,"FY97 - Q2";"FY97Q3 var",#N/A,FALSE,"FY97 - Q3";"FY97Q4 var",#N/A,FALSE,"FY97 - Q4"}</definedName>
    <definedName function="false" hidden="true" name="DFDD" vbProcedure="false">{#N/A,#N/A,FALSE,"REPORT"}</definedName>
    <definedName function="false" hidden="true" name="dfdfdfd" vbProcedure="false">{#N/A,#N/A,FALSE,"AD_Purchase";#N/A,#N/A,FALSE,"Credit";#N/A,#N/A,FALSE,"PF Acquisition";#N/A,#N/A,FALSE,"PF Offering"}</definedName>
    <definedName function="false" hidden="true" name="dfdfed" vbProcedure="false">#REF!</definedName>
    <definedName function="false" hidden="false" name="dfg"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true" name="dfgdsgbfd" vbProcedure="false">{#N/A,#N/A,FALSE,"AE detail rpt"}</definedName>
    <definedName function="false" hidden="true" name="dfghfghj" vbProcedure="false">{"cash_marc",#N/A,FALSE,"dec95cr.xls"}</definedName>
    <definedName function="false" hidden="true" name="dfhdf" vbProcedure="false">{#N/A,#N/A,FALSE,"AE detail rpt"}</definedName>
    <definedName function="false" hidden="true" name="dfr" vbProcedure="false">{#N/A,#N/A,FALSE,"Pharm";#N/A,#N/A,FALSE,"WWCM"}</definedName>
    <definedName function="false" hidden="true" name="dfsa" vbProcedure="false">#REF!</definedName>
    <definedName function="false" hidden="true" name="dfsafdsa" vbProcedure="false">#REF!</definedName>
    <definedName function="false" hidden="true" name="dfsafsaf" vbProcedure="false">{#N/A,#N/A,FALSE,"AE summary rpt";#N/A,#N/A,FALSE,"CopySummary";#N/A,#N/A,FALSE,"CopySummary"}</definedName>
    <definedName function="false" hidden="false" name="dgdg" vbProcedure="false">{#N/A,#N/A,FALSE,"Calc";#N/A,#N/A,FALSE,"Sensitivity";#N/A,#N/A,FALSE,"LT Earn.Dil.";#N/A,#N/A,FALSE,"Dil. AVP"}</definedName>
    <definedName function="false" hidden="false" name="dgdgss" vbProcedure="false">{"consolidated",#N/A,FALSE,"Sheet1";"cms",#N/A,FALSE,"Sheet1";"fse",#N/A,FALSE,"Sheet1"}</definedName>
    <definedName function="false" hidden="true" name="dicci" vbProcedure="false">{"FY97Total",#N/A,FALSE,"FY97 - Total";"FY98Total",#N/A,FALSE,"FY98 - Total"}</definedName>
    <definedName function="false" hidden="true" name="dimmi" vbProcedure="false">{"FY97Q1 nvs",#N/A,FALSE,"FY97 - Q1";"FY97Q2 nvs",#N/A,FALSE,"FY97 - Q2";"FY97Q3 nvs",#N/A,FALSE,"FY97 - Q3";"FY97Q4 nvs",#N/A,FALSE,"FY97 - Q4"}</definedName>
    <definedName function="false" hidden="false" name="Direction" vbProcedure="false">#REF!</definedName>
    <definedName function="false" hidden="false" name="Direct_Discount_Rate" vbProcedure="false">#REF!</definedName>
    <definedName function="false" hidden="true" name="dirlo" vbProcedure="false">{"FY97Tot nvs",#N/A,FALSE,"FY97 - Total";"FY98Tot nvs",#N/A,FALSE,"FY98 - Total"}</definedName>
    <definedName function="false" hidden="true" name="Discount" vbProcedure="false">#REF!</definedName>
    <definedName function="false" hidden="false" name="Discount_Rate" vbProcedure="false">#REF!</definedName>
    <definedName function="false" hidden="true" name="display_area_2" vbProcedure="false">#REF!</definedName>
    <definedName function="false" hidden="true" name="djksljd" vbProcedure="false">{#N/A,#N/A,FALSE,"Other";#N/A,#N/A,FALSE,"Ace";#N/A,#N/A,FALSE,"Derm"}</definedName>
    <definedName function="false" hidden="true" name="dkgahirghigf" vbProcedure="false">{#N/A,#N/A,FALSE,"Pharm";#N/A,#N/A,FALSE,"WWCM"}</definedName>
    <definedName function="false" hidden="false" name="DME_Dirty" vbProcedure="false">"False"</definedName>
    <definedName function="false" hidden="false" name="DME_LocalFile" vbProcedure="false">"True"</definedName>
    <definedName function="false" hidden="false" name="DME_ODMALinks1" vbProcedure="false">"::ODMA\DME-MSE\London-44590=C:\TEMP\Dme\London-44590.xls"</definedName>
    <definedName function="false" hidden="false" name="DME_ODMALinksCount" vbProcedure="false">"1"</definedName>
    <definedName function="false" hidden="true" name="DocumentName" vbProcedure="false">"b1"</definedName>
    <definedName function="false" hidden="true" name="DocumentNum" vbProcedure="false">"a1"</definedName>
    <definedName function="false" hidden="true" name="doh" vbProcedure="false">{#N/A,#N/A,FALSE,"TS";#N/A,#N/A,FALSE,"Combo";#N/A,#N/A,FALSE,"FAIR";#N/A,#N/A,FALSE,"RBC";#N/A,#N/A,FALSE,"xxxx";#N/A,#N/A,FALSE,"A_D";#N/A,#N/A,FALSE,"WACC";#N/A,#N/A,FALSE,"DCF";#N/A,#N/A,FALSE,"LBO";#N/A,#N/A,FALSE,"AcqMults";#N/A,#N/A,FALSE,"CompMults"}</definedName>
    <definedName function="false" hidden="true" name="don" vbProcedure="false">{#N/A,#N/A,FALSE,"Approval2"}</definedName>
    <definedName function="false" hidden="true" name="DrillDownBOBSIKeyStats" vbProcedure="false">#REF!</definedName>
    <definedName function="false" hidden="true" name="DrillDownRow17Row27SIKeyStats" vbProcedure="false">#REF!</definedName>
    <definedName function="false" hidden="false" name="DRNew" vbProcedure="false">#REF!</definedName>
    <definedName function="false" hidden="true" name="dro" vbProcedure="false">{#N/A,#N/A,FALSE,"Cosmos Report"}</definedName>
    <definedName function="false" hidden="true" name="ds" vbProcedure="false">{"FY97Tot nvs",#N/A,FALSE,"FY97 - Total";"FY98Tot nvs",#N/A,FALSE,"FY98 - Total"}</definedName>
    <definedName function="false" hidden="true" name="dse" vbProcedure="false">{"FY97Tot nvs",#N/A,FALSE,"FY97 - Total";"FY98Tot nvs",#N/A,FALSE,"FY98 - Total"}</definedName>
    <definedName function="false" hidden="false" name="dsfadsf" vbProcedure="false">{"histincome",#N/A,FALSE,"hyfins";"closing balance",#N/A,FALSE,"hyfins"}</definedName>
    <definedName function="false" hidden="true" name="dsfk" vbProcedure="false">{#N/A,#N/A,TRUE,"Index";#N/A,#N/A,TRUE,"Income Statement vs Original Pl";#N/A,#N/A,TRUE,"Income Statement vs Reproj";#N/A,#N/A,TRUE,"Dental Care DHMO Original Plan";#N/A,#N/A,TRUE,"Dental Care DHMO Revised";#N/A,#N/A,TRUE,"Premium Analysis vs Prior Month";#N/A,#N/A,TRUE,"CURRENT AR";#N/A,#N/A,TRUE,"MO TO MO UNEARNED PREM";#N/A,#N/A,TRUE,"MO TO MO AR ANALYSIS";#N/A,#N/A,TRUE,"MO BY MO SG&amp;A FULL YR";#N/A,#N/A,TRUE,"Book of Business"}</definedName>
    <definedName function="false" hidden="true" name="dsfsdfds" vbProcedure="false">{#N/A,#N/A,FALSE,"AE detail rpt"}</definedName>
    <definedName function="false" hidden="true" name="dsfsffss" vbProcedure="false">{#N/A,#N/A,FALSE,"Pharm";#N/A,#N/A,FALSE,"WWCM"}</definedName>
    <definedName function="false" hidden="true" name="dsfvsdfds" vbProcedure="false">{"'Consolidated Inventory'!$A$1:$O$187"}</definedName>
    <definedName function="false" hidden="false" name="dsg" vbProcedure="false">{#N/A,#N/A,FALSE,"Calc";#N/A,#N/A,FALSE,"Sensitivity";#N/A,#N/A,FALSE,"LT Earn.Dil.";#N/A,#N/A,FALSE,"Dil. AVP"}</definedName>
    <definedName function="false" hidden="true" name="dv" vbProcedure="false">#REF!</definedName>
    <definedName function="false" hidden="true" name="dyfhn" vbProcedure="false">{#N/A,#N/A,FALSE,"Aging Summary";#N/A,#N/A,FALSE,"Ratio Analysis";#N/A,#N/A,FALSE,"Test 120 Day Accts";#N/A,#N/A,FALSE,"Tickmarks"}</definedName>
    <definedName function="false" hidden="false" name="Dynamic_Content_Assembler" vbProcedure="false">#REF!</definedName>
    <definedName function="false" hidden="true" name="E" vbProcedure="false">#REF!</definedName>
    <definedName function="false" hidden="false" name="E14" vbProcedure="false">#NAME?</definedName>
    <definedName function="false" hidden="false" name="E15" vbProcedure="false">#NAME?</definedName>
    <definedName function="false" hidden="true" name="e5yy25y" vbProcedure="false">{#N/A,#N/A,FALSE,"Projections";#N/A,#N/A,FALSE,"Contribution_Stock";#N/A,#N/A,FALSE,"PF_Combo_Stock";#N/A,#N/A,FALSE,"Projections";#N/A,#N/A,FALSE,"Contribution_Cash";#N/A,#N/A,FALSE,"PF_Combo_Cash";#N/A,#N/A,FALSE,"IPO_Cash"}</definedName>
    <definedName function="false" hidden="true" name="earn1" vbProcedure="false">#REF!</definedName>
    <definedName function="false" hidden="true" name="ebitda" vbProcedure="false">#REF!</definedName>
    <definedName function="false" hidden="false" name="EBITDAAdjustment" vbProcedure="false">#REF!</definedName>
    <definedName function="false" hidden="false" name="EBITDA_TTM" vbProcedure="false">#REF!</definedName>
    <definedName function="false" hidden="true" name="EBM_Toggle" vbProcedure="false">#REF!</definedName>
    <definedName function="false" hidden="true" name="ECHART" vbProcedure="false">#REF!</definedName>
    <definedName function="false" hidden="true" name="edwd" vbProcedure="false">#REF!</definedName>
    <definedName function="false" hidden="true" name="ee" vbProcedure="false">{"FY97Q1 nvs",#N/A,FALSE,"FY97 - Q1";"FY97Q2 nvs",#N/A,FALSE,"FY97 - Q2";"FY97Q3 nvs",#N/A,FALSE,"FY97 - Q3";"FY97Q4 nvs",#N/A,FALSE,"FY97 - Q4"}</definedName>
    <definedName function="false" hidden="true" name="eee" vbProcedure="false">{"Allocation Matrix p1",#N/A,FALSE,"Allocation Matrix";"Allocation Matrix p2",#N/A,FALSE,"Allocation Matrix";"Allocation Matrix p3",#N/A,FALSE,"Allocation Matrix"}</definedName>
    <definedName function="false" hidden="true" name="eeeee" vbProcedure="false">{#N/A,#N/A,FALSE,"Pharm";#N/A,#N/A,FALSE,"WWCM"}</definedName>
    <definedName function="false" hidden="false" name="Effectiveness" vbProcedure="false">#REF!</definedName>
    <definedName function="false" hidden="false" name="EHTRate" vbProcedure="false">#REF!</definedName>
    <definedName function="false" hidden="true" name="EIJI" vbProcedure="false">{"ALLOCATION1",#N/A,FALSE,"EXPENSE ALLOCATIONS";"ALLOCATION2",#N/A,FALSE,"EXPENSE ALLOCATIONS";"ALLOCATION3",#N/A,FALSE,"EXPENSE ALLOCATIONS";"ALLOCATION4",#N/A,FALSE,"EXPENSE ALLOCATIONS"}</definedName>
    <definedName function="false" hidden="true" name="Eiji1" vbProcedure="false">{"ALLOCATION1",#N/A,FALSE,"EXPENSE ALLOCATIONS";"ALLOCATION2",#N/A,FALSE,"EXPENSE ALLOCATIONS";"ALLOCATION3",#N/A,FALSE,"EXPENSE ALLOCATIONS";"ALLOCATION4",#N/A,FALSE,"EXPENSE ALLOCATIONS"}</definedName>
    <definedName function="false" hidden="true" name="EIJIA" vbProcedure="false">{"ALLOCATION1",#N/A,FALSE,"EXPENSE ALLOCATIONS";"ALLOCATION2",#N/A,FALSE,"EXPENSE ALLOCATIONS";"ALLOCATION3",#N/A,FALSE,"EXPENSE ALLOCATIONS";"ALLOCATION4",#N/A,FALSE,"EXPENSE ALLOCATIONS"}</definedName>
    <definedName function="false" hidden="true" name="EIJIB"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EIJIC" vbProcedure="false">{"TOTALDPAK",#N/A,FALSE,"DPAK PRODUCTION";"HADPAK",#N/A,FALSE,"DPAK PRODUCTION";"PSIDPAK",#N/A,FALSE,"DPAK PRODUCTION"}</definedName>
    <definedName function="false" hidden="true" name="EIJID"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false" name="EIRate" vbProcedure="false">#REF!</definedName>
    <definedName function="false" hidden="true" name="ejkfgkjze" vbProcedure="false">{#N/A,#N/A,FALSE,"Pharm";#N/A,#N/A,FALSE,"WWCM"}</definedName>
    <definedName function="false" hidden="true" name="embGraph_a" vbProcedure="false">#REF!</definedName>
    <definedName function="false" hidden="true" name="emil" vbProcedure="false">#REF!</definedName>
    <definedName function="false" hidden="false" name="emily" vbProcedure="false">{#N/A,#N/A,FALSE,"Calc";#N/A,#N/A,FALSE,"Sensitivity";#N/A,#N/A,FALSE,"LT Earn.Dil.";#N/A,#N/A,FALSE,"Dil. AVP"}</definedName>
    <definedName function="false" hidden="false" name="EmplInput" vbProcedure="false">#REF!</definedName>
    <definedName function="false" hidden="false" name="emplist" vbProcedure="false">#REF!</definedName>
    <definedName function="false" hidden="false" name="Employer" vbProcedure="false">#REF!</definedName>
    <definedName function="false" hidden="false" name="EndDealYear" vbProcedure="false">#REF!</definedName>
    <definedName function="false" hidden="false" name="EndDealYearBSF" vbProcedure="false">#REF!</definedName>
    <definedName function="false" hidden="false" name="EndofPriorYear" vbProcedure="false">#REF!</definedName>
    <definedName function="false" hidden="false" name="EndofYear" vbProcedure="false">#REF!</definedName>
    <definedName function="false" hidden="false" name="Enrolled" vbProcedure="false">#REF!</definedName>
    <definedName function="false" hidden="true" name="eown" vbProcedure="false">{#N/A,#N/A,FALSE,"Assumptions"}</definedName>
    <definedName function="false" hidden="true" name="epsltm" vbProcedure="false">#REF!</definedName>
    <definedName function="false" hidden="true" name="ePSM_Dental_Graph_Page" vbProcedure="false">#REF!</definedName>
    <definedName function="false" hidden="true" name="ePSM_Medical_Graph_Page_Range" vbProcedure="false">#REF!</definedName>
    <definedName function="false" hidden="true" name="ePSM_Rx_Graph_Page" vbProcedure="false">#REF!</definedName>
    <definedName function="false" hidden="false" name="equity2row" vbProcedure="false">#REF!</definedName>
    <definedName function="false" hidden="false" name="equityrow" vbProcedure="false">#REF!</definedName>
    <definedName function="false" hidden="true" name="er" vbProcedure="false">{"Allocation Matrix p1",#N/A,FALSE,"Allocation Matrix";"Allocation Matrix p2",#N/A,FALSE,"Allocation Matrix";"Allocation Matrix p3",#N/A,FALSE,"Allocation Matrix"}</definedName>
    <definedName function="false" hidden="true" name="erd" vbProcedure="false">{#N/A,#N/A,FALSE,"Pharm";#N/A,#N/A,FALSE,"WWCM"}</definedName>
    <definedName function="false" hidden="true" name="ERRA" vbProcedure="false">{"Allocation Matrix p1",#N/A,FALSE,"Allocation Matrix";"Allocation Matrix p2",#N/A,FALSE,"Allocation Matrix";"Allocation Matrix p3",#N/A,FALSE,"Allocation Matrix"}</definedName>
    <definedName function="false" hidden="false" name="error" vbProcedure="false">#REF!</definedName>
    <definedName function="false" hidden="true" name="error1" vbProcedure="false">#REF!</definedName>
    <definedName function="false" hidden="true" name="erryeyetyuu" vbProcedure="false">{#N/A,#N/A,FALSE,"Pharm";#N/A,#N/A,FALSE,"WWCM"}</definedName>
    <definedName function="false" hidden="true" name="ER_Visits_1000_Members" vbProcedure="false">#REF!</definedName>
    <definedName function="false" hidden="true" name="ESC5MOS" vbProcedure="false">{"Statements",#N/A,TRUE,"Income Statement";"Statements",#N/A,TRUE,"Cash Flow Statement";"Statements",#N/A,TRUE,"Balance Sheet ";#N/A,#N/A,TRUE,"Revenue Data Table";#N/A,#N/A,TRUE,"Costs &amp; Expenses Data Table";#N/A,#N/A,TRUE,"Cash Flow Data Table ";#N/A,#N/A,TRUE,"Shor-term Interest Expense"}</definedName>
    <definedName function="false" hidden="true" name="ESSAI" vbProcedure="false">{#N/A,#N/A,FALSE,"Pharm";#N/A,#N/A,FALSE,"WWCM"}</definedName>
    <definedName function="false" hidden="true" name="est_mvic" vbProcedure="false">#REF!</definedName>
    <definedName function="false" hidden="false" name="etet" vbProcedure="false">{#N/A,#N/A,FALSE,"Calc";#N/A,#N/A,FALSE,"Sensitivity";#N/A,#N/A,FALSE,"LT Earn.Dil.";#N/A,#N/A,FALSE,"Dil. AVP"}</definedName>
    <definedName function="false" hidden="true" name="etr" vbProcedure="false">{#N/A,#N/A,FALSE,"FACTSHEETS";#N/A,#N/A,FALSE,"pump";#N/A,#N/A,FALSE,"filter"}</definedName>
    <definedName function="false" hidden="true" name="ev.Calculation" vbProcedure="false">-4105</definedName>
    <definedName function="false" hidden="true" name="ev.Initialized" vbProcedure="false">FALSE()</definedName>
    <definedName function="false" hidden="false" name="evii1" vbProcedure="false">#REF!</definedName>
    <definedName function="false" hidden="false" name="evii5" vbProcedure="false">#REF!</definedName>
    <definedName function="false" hidden="true" name="EV__CVPARAMS__" vbProcedure="false">"Trend!$B$17:$C$38;"</definedName>
    <definedName function="false" hidden="false" name="EV__LASTREFTIME__" vbProcedure="false">38618.5925694444</definedName>
    <definedName function="false" hidden="true" name="EV__LOCKEDCVW__PAYROLL" vbProcedure="false">"11250,Actual,TotalAdj,TOT_DEPT,ALLEMPL,TOT_COMPANY_PF,Tot_Job,TOT_LOB,ALLPAYGROUPS,2008.Total,ALLDATACONT,PERIODIC,"</definedName>
    <definedName function="false" hidden="true" name="EV__LOCKEDCVW__REVENUE" vbProcedure="false">"CustomerData,Actual,1001018,Revenue,10,TOT_LOB,2009.SEP,PERIODIC,"</definedName>
    <definedName function="false" hidden="true" name="EV__LOCKEDCVW__SAFETY" vbProcedure="false">"PrevDOTRatio_PLAN,Plan,Input,LINEHAUL,TOT_COMPANY,REGULAR,2009.TOTAL,PERIODIC,"</definedName>
    <definedName function="false" hidden="true" name="EV__MAXEXPCOLS__" vbProcedure="false">100</definedName>
    <definedName function="false" hidden="true" name="EV__MAXEXPROWS__" vbProcedure="false">1000</definedName>
    <definedName function="false" hidden="true" name="EV__WBEVMODE__" vbProcedure="false">0</definedName>
    <definedName function="false" hidden="true" name="EV__WBREFOPTIONS__" vbProcedure="false">134217783</definedName>
    <definedName function="false" hidden="true" name="ewae" vbProcedure="false">{"FY98Q1",#N/A,FALSE,"FY98 - Q1";"FY98Q2",#N/A,FALSE,"FY98 - Q2";"FY98Q3",#N/A,FALSE,"FY98 - Q3";"FY98Q4",#N/A,FALSE,"FY98 - Q4"}</definedName>
    <definedName function="false" hidden="true" name="ewrew" vbProcedure="false">{#N/A,#N/A,FALSE,"Projections";#N/A,#N/A,FALSE,"Multiples Valuation";#N/A,#N/A,FALSE,"LBO";#N/A,#N/A,FALSE,"Multiples_Sensitivity";#N/A,#N/A,FALSE,"Summary"}</definedName>
    <definedName function="false" hidden="true" name="ewwe" vbProcedure="false">{#N/A,#N/A,FALSE,"REPORT"}</definedName>
    <definedName function="false" hidden="true" name="ExbMult_Total" vbProcedure="false">#REF!</definedName>
    <definedName function="false" hidden="false" name="exbnumlist" vbProcedure="false">#REF!</definedName>
    <definedName function="false" hidden="true" name="exclude_large_claimant_ind" vbProcedure="false">#REF!</definedName>
    <definedName function="false" hidden="true" name="Exclude_MDC_Range" vbProcedure="false">#REF!</definedName>
    <definedName function="false" hidden="false" name="Exec_Sum" vbProcedure="false">#REF!</definedName>
    <definedName function="false" hidden="true" name="Exec_SUmmary_Default_text" vbProcedure="false">#REF!</definedName>
    <definedName function="false" hidden="false" name="exhii_1" vbProcedure="false">#REF!</definedName>
    <definedName function="false" hidden="false" name="ExitDate" vbProcedure="false">#REF!</definedName>
    <definedName function="false" hidden="false" name="ExitDateBSF" vbProcedure="false">#REF!</definedName>
    <definedName function="false" hidden="false" name="ExitMultiple" vbProcedure="false">#REF!</definedName>
    <definedName function="false" hidden="false" name="ExitMultipleBSF" vbProcedure="false">#REF!</definedName>
    <definedName function="false" hidden="false" name="ExitYear" vbProcedure="false">#REF!</definedName>
    <definedName function="false" hidden="false" name="ExitYearBSF" vbProcedure="false">#REF!</definedName>
    <definedName function="false" hidden="false" name="Exit_Year" vbProcedure="false">#REF!</definedName>
    <definedName function="false" hidden="false" name="expclaim" vbProcedure="false">#REF!</definedName>
    <definedName function="false" hidden="false" name="F10Y" vbProcedure="false">#REF!</definedName>
    <definedName function="false" hidden="false" name="F11Y" vbProcedure="false">#REF!</definedName>
    <definedName function="false" hidden="false" name="F2F" vbProcedure="false">#REF!</definedName>
    <definedName function="false" hidden="false" name="f2g" vbProcedure="false">#REF!</definedName>
    <definedName function="false" hidden="true" name="factors" vbProcedure="false">{#N/A,#N/A,FALSE,"Factors"}</definedName>
    <definedName function="false" hidden="false" name="fact_tab" vbProcedure="false">#REF!</definedName>
    <definedName function="false" hidden="true" name="fast" vbProcedure="false">{"FY97Q1",#N/A,FALSE,"FY97 - Q1";"FY97Q2",#N/A,FALSE,"FY97 - Q2";"FY97Q3",#N/A,FALSE,"FY97 - Q3";"FY97Q4",#N/A,FALSE,"FY97 - Q4"}</definedName>
    <definedName function="false" hidden="true" name="fbfdbfd" vbProcedure="false">{#N/A,#N/A,FALSE,"AE detail rpt"}</definedName>
    <definedName function="false" hidden="true" name="FCHART" vbProcedure="false">#REF!</definedName>
    <definedName function="false" hidden="true" name="FCode" vbProcedure="false">#REF!</definedName>
    <definedName function="false" hidden="true" name="fd" vbProcedure="false">{#N/A,#N/A,FALSE,"AE detail rpt"}</definedName>
    <definedName function="false" hidden="true" name="fdfad" vbProcedure="false">{#N/A,#N/A,FALSE,"Worksheet";#N/A,#N/A,FALSE,"RawData";#N/A,#N/A,FALSE,"Claim Counts";#N/A,#N/A,FALSE,"ILProjDisc";#N/A,#N/A,FALSE,"ICAdj";#N/A,#N/A,FALSE,"RatesLivesMan";#N/A,#N/A,FALSE,"BENAdj";#N/A,#N/A,FALSE,"Admin";#N/A,#N/A,FALSE,"ISLcalc";#N/A,#N/A,FALSE,"Database";#N/A,#N/A,FALSE,"Summary";#N/A,#N/A,FALSE,"ASLSummary";#N/A,#N/A,FALSE,"Individual Large Claims";#N/A,#N/A,FALSE,"Benefit Adjustments";#N/A,#N/A,FALSE,"Trend Analysis"}</definedName>
    <definedName function="false" hidden="true" name="FDFD" vbProcedure="false">{#N/A,#N/A,FALSE,"Pharm";#N/A,#N/A,FALSE,"WWCM"}</definedName>
    <definedName function="false" hidden="true" name="fdfghdf" vbProcedure="false">{"inputs raw data",#N/A,TRUE,"INPUT"}</definedName>
    <definedName function="false" hidden="true" name="FDFS" vbProcedure="false">#REF!</definedName>
    <definedName function="false" hidden="true" name="fdgfdggfd" vbProcedure="false">{#N/A,#N/A,FALSE,"MAY";#N/A,#N/A,FALSE,"Q2";#N/A,#N/A,FALSE,"YTD"}</definedName>
    <definedName function="false" hidden="true" name="fdgsafdg" vbProcedure="false">{#N/A,#N/A,FALSE,"Table of Contents";#N/A,#N/A,FALSE,"Cover Page";#N/A,#N/A,FALSE,"Paid Claim Experience";#N/A,#N/A,FALSE,"1998 Renewal Normalized";#N/A,#N/A,FALSE,"1998 Actual Annualized";#N/A,#N/A,FALSE,"1999 Renewal";#N/A,#N/A,FALSE,"1999 Dental";#N/A,#N/A,FALSE,"Stop Loss Exhibit";#N/A,#N/A,FALSE,"Claim Projection Comparisons";#N/A,#N/A,FALSE,"Fee Comparisons"}</definedName>
    <definedName function="false" hidden="true" name="fdhbdf" vbProcedure="false">{#N/A,#N/A,FALSE,"AE detail rpt"}</definedName>
    <definedName function="false" hidden="true" name="FDP_0_1_aUrv" vbProcedure="false">#REF!</definedName>
    <definedName function="false" hidden="true" name="FDP_100_1_aUrv" vbProcedure="false">#REF!</definedName>
    <definedName function="false" hidden="true" name="FDP_101_1_aUrv" vbProcedure="false">#REF!</definedName>
    <definedName function="false" hidden="true" name="FDP_102_1_aUrv" vbProcedure="false">#REF!</definedName>
    <definedName function="false" hidden="true" name="FDP_103_1_aUrv" vbProcedure="false">#REF!</definedName>
    <definedName function="false" hidden="true" name="FDP_104_1_aUrv" vbProcedure="false">#REF!</definedName>
    <definedName function="false" hidden="true" name="FDP_105_1_aUrv" vbProcedure="false">#REF!</definedName>
    <definedName function="false" hidden="true" name="FDP_106_1_aUrv" vbProcedure="false">#REF!</definedName>
    <definedName function="false" hidden="true" name="FDP_107_1_aUrv" vbProcedure="false">#REF!</definedName>
    <definedName function="false" hidden="true" name="FDP_108_1_aUrv" vbProcedure="false">#REF!</definedName>
    <definedName function="false" hidden="true" name="FDP_109_1_aUrv" vbProcedure="false">#REF!</definedName>
    <definedName function="false" hidden="true" name="FDP_10_1_aDrv" vbProcedure="false">#REF!</definedName>
    <definedName function="false" hidden="true" name="FDP_10_1_aUrv" vbProcedure="false">#REF!</definedName>
    <definedName function="false" hidden="true" name="FDP_110_1_aUrv" vbProcedure="false">#REF!</definedName>
    <definedName function="false" hidden="true" name="FDP_111_1_aUrv" vbProcedure="false">#REF!</definedName>
    <definedName function="false" hidden="true" name="FDP_112_1_aUrv" vbProcedure="false">#REF!</definedName>
    <definedName function="false" hidden="true" name="FDP_113_1_aUrv" vbProcedure="false">#REF!</definedName>
    <definedName function="false" hidden="true" name="FDP_114_1_aUrv" vbProcedure="false">#REF!</definedName>
    <definedName function="false" hidden="true" name="FDP_115_1_aUrv" vbProcedure="false">#REF!</definedName>
    <definedName function="false" hidden="true" name="FDP_116_1_aUrv" vbProcedure="false">#REF!</definedName>
    <definedName function="false" hidden="true" name="FDP_117_1_aUrv" vbProcedure="false">#REF!</definedName>
    <definedName function="false" hidden="true" name="FDP_118_1_aUrv" vbProcedure="false">#REF!</definedName>
    <definedName function="false" hidden="true" name="FDP_119_1_aUrv" vbProcedure="false">#REF!</definedName>
    <definedName function="false" hidden="true" name="FDP_11_1_aDrv" vbProcedure="false">#REF!</definedName>
    <definedName function="false" hidden="true" name="FDP_120_1_aUrv" vbProcedure="false">#REF!</definedName>
    <definedName function="false" hidden="true" name="FDP_121_1_aUrv" vbProcedure="false">#REF!</definedName>
    <definedName function="false" hidden="true" name="FDP_122_1_aUrv" vbProcedure="false">#REF!</definedName>
    <definedName function="false" hidden="true" name="FDP_123_1_aUrv" vbProcedure="false">#REF!</definedName>
    <definedName function="false" hidden="true" name="FDP_124_1_aUrv" vbProcedure="false">#REF!</definedName>
    <definedName function="false" hidden="true" name="FDP_125_1_aUrv" vbProcedure="false">#REF!</definedName>
    <definedName function="false" hidden="true" name="FDP_126_1_aUrv" vbProcedure="false">#REF!</definedName>
    <definedName function="false" hidden="true" name="FDP_127_1_aUrv" vbProcedure="false">#REF!</definedName>
    <definedName function="false" hidden="true" name="FDP_128_1_aUrv" vbProcedure="false">#REF!</definedName>
    <definedName function="false" hidden="true" name="FDP_129_1_aUrv" vbProcedure="false">#REF!</definedName>
    <definedName function="false" hidden="true" name="FDP_12_1_aDrv" vbProcedure="false">#REF!</definedName>
    <definedName function="false" hidden="true" name="FDP_12_1_aUrv" vbProcedure="false">#REF!</definedName>
    <definedName function="false" hidden="true" name="FDP_130_1_aUrv" vbProcedure="false">#REF!</definedName>
    <definedName function="false" hidden="true" name="FDP_131_1_aUrv" vbProcedure="false">#REF!</definedName>
    <definedName function="false" hidden="true" name="FDP_132_1_aUrv" vbProcedure="false">#REF!</definedName>
    <definedName function="false" hidden="true" name="FDP_133_1_aUrv" vbProcedure="false">#REF!</definedName>
    <definedName function="false" hidden="true" name="FDP_134_1_aUrv" vbProcedure="false">#REF!</definedName>
    <definedName function="false" hidden="true" name="FDP_135_1_aUrv" vbProcedure="false">#REF!</definedName>
    <definedName function="false" hidden="true" name="FDP_136_1_aSrv" vbProcedure="false">#REF!</definedName>
    <definedName function="false" hidden="true" name="FDP_137_1_aUrv" vbProcedure="false">#REF!</definedName>
    <definedName function="false" hidden="true" name="FDP_138_1_aUrv" vbProcedure="false">#REF!</definedName>
    <definedName function="false" hidden="true" name="FDP_139_1_aUrv" vbProcedure="false">#REF!</definedName>
    <definedName function="false" hidden="true" name="FDP_13_1_aDrv" vbProcedure="false">#REF!</definedName>
    <definedName function="false" hidden="true" name="FDP_13_1_aUrv" vbProcedure="false">#REF!</definedName>
    <definedName function="false" hidden="true" name="FDP_140_1_aUrv" vbProcedure="false">#REF!</definedName>
    <definedName function="false" hidden="true" name="FDP_141_1_aSrv" vbProcedure="false">#REF!</definedName>
    <definedName function="false" hidden="true" name="FDP_141_1_aUrv" vbProcedure="false">#REF!</definedName>
    <definedName function="false" hidden="true" name="FDP_142_1_aUrv" vbProcedure="false">#REF!</definedName>
    <definedName function="false" hidden="true" name="FDP_143_1_aUrv" vbProcedure="false">#REF!</definedName>
    <definedName function="false" hidden="true" name="FDP_144_1_aUrv" vbProcedure="false">#REF!</definedName>
    <definedName function="false" hidden="true" name="FDP_145_1_aUrv" vbProcedure="false">#REF!</definedName>
    <definedName function="false" hidden="true" name="FDP_146_1_aUrv" vbProcedure="false">#REF!</definedName>
    <definedName function="false" hidden="true" name="FDP_147_1_aUrv" vbProcedure="false">#REF!</definedName>
    <definedName function="false" hidden="true" name="FDP_148_1_aUrv" vbProcedure="false">#REF!</definedName>
    <definedName function="false" hidden="true" name="FDP_149_1_aUrv" vbProcedure="false">#REF!</definedName>
    <definedName function="false" hidden="true" name="FDP_14_1_aDrv" vbProcedure="false">#REF!</definedName>
    <definedName function="false" hidden="true" name="FDP_150_1_aUrv" vbProcedure="false">#REF!</definedName>
    <definedName function="false" hidden="true" name="FDP_151_1_aUrv" vbProcedure="false">#REF!</definedName>
    <definedName function="false" hidden="true" name="FDP_152_1_aUrv" vbProcedure="false">#REF!</definedName>
    <definedName function="false" hidden="true" name="FDP_153_1_aUrv" vbProcedure="false">#REF!</definedName>
    <definedName function="false" hidden="true" name="FDP_154_1_aUrv" vbProcedure="false">#REF!</definedName>
    <definedName function="false" hidden="true" name="FDP_155_1_aSrv" vbProcedure="false">#REF!</definedName>
    <definedName function="false" hidden="true" name="FDP_155_1_aUrv" vbProcedure="false">#REF!</definedName>
    <definedName function="false" hidden="true" name="FDP_156_1_aDrv" vbProcedure="false">#REF!</definedName>
    <definedName function="false" hidden="true" name="FDP_156_1_aUrv" vbProcedure="false">#REF!</definedName>
    <definedName function="false" hidden="true" name="FDP_157_1_aSrv" vbProcedure="false">#REF!</definedName>
    <definedName function="false" hidden="true" name="FDP_157_1_aUrv" vbProcedure="false">#REF!</definedName>
    <definedName function="false" hidden="true" name="FDP_158_1_aUrv" vbProcedure="false">#REF!</definedName>
    <definedName function="false" hidden="true" name="FDP_159_1_aSrv" vbProcedure="false">#REF!</definedName>
    <definedName function="false" hidden="true" name="FDP_15_1_aUrv" vbProcedure="false">#REF!</definedName>
    <definedName function="false" hidden="true" name="FDP_160_1_aUrv" vbProcedure="false">#REF!</definedName>
    <definedName function="false" hidden="true" name="FDP_161_1_aSrv" vbProcedure="false">#REF!</definedName>
    <definedName function="false" hidden="true" name="FDP_161_1_aUrv" vbProcedure="false">#REF!</definedName>
    <definedName function="false" hidden="true" name="FDP_162_1_aUrv" vbProcedure="false">#REF!</definedName>
    <definedName function="false" hidden="true" name="FDP_163_1_aSrv" vbProcedure="false">#REF!</definedName>
    <definedName function="false" hidden="true" name="FDP_163_1_aUrv" vbProcedure="false">#REF!</definedName>
    <definedName function="false" hidden="true" name="FDP_164_1_aUrv" vbProcedure="false">#REF!</definedName>
    <definedName function="false" hidden="true" name="FDP_165_1_aSrv" vbProcedure="false">#REF!</definedName>
    <definedName function="false" hidden="true" name="FDP_166_1_aDrv" vbProcedure="false">#REF!</definedName>
    <definedName function="false" hidden="true" name="FDP_167_1_aDrv" vbProcedure="false">#REF!</definedName>
    <definedName function="false" hidden="true" name="FDP_168_1_aDrv" vbProcedure="false">#REF!</definedName>
    <definedName function="false" hidden="true" name="FDP_169_1_aDrv" vbProcedure="false">#REF!</definedName>
    <definedName function="false" hidden="true" name="FDP_16_1_aDrv" vbProcedure="false">#REF!</definedName>
    <definedName function="false" hidden="true" name="FDP_170_1_aDrv" vbProcedure="false">#REF!</definedName>
    <definedName function="false" hidden="true" name="FDP_171_1_aDrv" vbProcedure="false">#REF!</definedName>
    <definedName function="false" hidden="true" name="FDP_172_1_aDrv" vbProcedure="false">#REF!</definedName>
    <definedName function="false" hidden="true" name="FDP_173_1_aDrv" vbProcedure="false">#REF!</definedName>
    <definedName function="false" hidden="true" name="FDP_174_1_aDrv" vbProcedure="false">#REF!</definedName>
    <definedName function="false" hidden="true" name="FDP_175_1_aDrv" vbProcedure="false">#REF!</definedName>
    <definedName function="false" hidden="true" name="FDP_176_1_aDrv" vbProcedure="false">#REF!</definedName>
    <definedName function="false" hidden="true" name="FDP_177_1_aDrv" vbProcedure="false">#REF!</definedName>
    <definedName function="false" hidden="true" name="FDP_178_1_aDrv" vbProcedure="false">#REF!</definedName>
    <definedName function="false" hidden="true" name="FDP_179_1_aUrv" vbProcedure="false">#REF!</definedName>
    <definedName function="false" hidden="true" name="FDP_17_1_aUrv" vbProcedure="false">#REF!</definedName>
    <definedName function="false" hidden="true" name="FDP_180_1_aUrv" vbProcedure="false">#REF!</definedName>
    <definedName function="false" hidden="true" name="FDP_181_1_aUrv" vbProcedure="false">#REF!</definedName>
    <definedName function="false" hidden="true" name="FDP_182_1_aDrv" vbProcedure="false">#REF!</definedName>
    <definedName function="false" hidden="true" name="FDP_183_1_aDrv" vbProcedure="false">#REF!</definedName>
    <definedName function="false" hidden="true" name="FDP_184_1_aUdv" vbProcedure="false">#REF!</definedName>
    <definedName function="false" hidden="true" name="FDP_185_1_aUdv" vbProcedure="false">#REF!</definedName>
    <definedName function="false" hidden="true" name="FDP_186_1_aUdv" vbProcedure="false">#REF!</definedName>
    <definedName function="false" hidden="true" name="FDP_187_1_aUdv" vbProcedure="false">#REF!</definedName>
    <definedName function="false" hidden="true" name="FDP_188_1_aUdv" vbProcedure="false">#REF!</definedName>
    <definedName function="false" hidden="true" name="FDP_189_1_aUdv" vbProcedure="false">#REF!</definedName>
    <definedName function="false" hidden="true" name="FDP_18_1_aUrv" vbProcedure="false">#REF!</definedName>
    <definedName function="false" hidden="true" name="FDP_190_1_aUdv" vbProcedure="false">#REF!</definedName>
    <definedName function="false" hidden="true" name="FDP_191_1_aUdv" vbProcedure="false">#REF!</definedName>
    <definedName function="false" hidden="true" name="FDP_192_1_aUdv" vbProcedure="false">#REF!</definedName>
    <definedName function="false" hidden="true" name="FDP_193_1_aUdv" vbProcedure="false">#REF!</definedName>
    <definedName function="false" hidden="true" name="FDP_194_1_aUdv" vbProcedure="false">#REF!</definedName>
    <definedName function="false" hidden="true" name="FDP_195_1_aUdv" vbProcedure="false">#REF!</definedName>
    <definedName function="false" hidden="true" name="FDP_196_1_aUdv" vbProcedure="false">#REF!</definedName>
    <definedName function="false" hidden="true" name="FDP_197_1_aUdv" vbProcedure="false">#REF!</definedName>
    <definedName function="false" hidden="true" name="FDP_198_1_aUdv" vbProcedure="false">#REF!</definedName>
    <definedName function="false" hidden="true" name="FDP_199_1_aUdv" vbProcedure="false">#REF!</definedName>
    <definedName function="false" hidden="true" name="FDP_19_1_aDrv" vbProcedure="false">#REF!</definedName>
    <definedName function="false" hidden="true" name="FDP_1_1_aUrv" vbProcedure="false">#REF!</definedName>
    <definedName function="false" hidden="true" name="FDP_200_1_aDdv" vbProcedure="false">#REF!</definedName>
    <definedName function="false" hidden="true" name="FDP_201_1_aDdv" vbProcedure="false">#REF!</definedName>
    <definedName function="false" hidden="true" name="FDP_202_1_aDdv" vbProcedure="false">#REF!</definedName>
    <definedName function="false" hidden="true" name="FDP_203_1_aDdv" vbProcedure="false">#REF!</definedName>
    <definedName function="false" hidden="true" name="FDP_204_1_aUrv" vbProcedure="false">#REF!</definedName>
    <definedName function="false" hidden="true" name="FDP_205_1_aUrv" vbProcedure="false">#REF!</definedName>
    <definedName function="false" hidden="true" name="FDP_206_1_aDrv" vbProcedure="false">#REF!</definedName>
    <definedName function="false" hidden="true" name="FDP_20_1_aDrv" vbProcedure="false">#REF!</definedName>
    <definedName function="false" hidden="true" name="FDP_21_1_aDrv" vbProcedure="false">#REF!</definedName>
    <definedName function="false" hidden="true" name="FDP_22_1_aDrv" vbProcedure="false">#REF!</definedName>
    <definedName function="false" hidden="true" name="FDP_23_1_aDrv" vbProcedure="false">#REF!</definedName>
    <definedName function="false" hidden="true" name="FDP_24_1_aDrv" vbProcedure="false">#REF!</definedName>
    <definedName function="false" hidden="true" name="FDP_25_1_aDrv" vbProcedure="false">#REF!</definedName>
    <definedName function="false" hidden="true" name="FDP_25_1_aUrv" vbProcedure="false">#REF!</definedName>
    <definedName function="false" hidden="true" name="FDP_26_1_aDrv" vbProcedure="false">#REF!</definedName>
    <definedName function="false" hidden="true" name="FDP_26_1_aUrv" vbProcedure="false">#REF!</definedName>
    <definedName function="false" hidden="true" name="FDP_27_1_aDrv" vbProcedure="false">#REF!</definedName>
    <definedName function="false" hidden="true" name="FDP_280_1_aSrv" vbProcedure="false">#REF!</definedName>
    <definedName function="false" hidden="true" name="FDP_281_1_aSrv" vbProcedure="false">#REF!</definedName>
    <definedName function="false" hidden="true" name="FDP_282_1_aSrv" vbProcedure="false">#REF!</definedName>
    <definedName function="false" hidden="true" name="FDP_283_1_aSrv" vbProcedure="false">#REF!</definedName>
    <definedName function="false" hidden="true" name="FDP_28_1_aDrv" vbProcedure="false">#REF!</definedName>
    <definedName function="false" hidden="true" name="FDP_28_1_aUrv" vbProcedure="false">#REF!</definedName>
    <definedName function="false" hidden="true" name="FDP_29_1_aDrv" vbProcedure="false">#REF!</definedName>
    <definedName function="false" hidden="true" name="FDP_29_1_aUrv" vbProcedure="false">#REF!</definedName>
    <definedName function="false" hidden="true" name="FDP_2_1_aUrv" vbProcedure="false">#REF!</definedName>
    <definedName function="false" hidden="true" name="FDP_30_1_aDrv" vbProcedure="false">#REF!</definedName>
    <definedName function="false" hidden="true" name="FDP_30_1_aUrv" vbProcedure="false">#REF!</definedName>
    <definedName function="false" hidden="true" name="FDP_31_1_aDrv" vbProcedure="false">#REF!</definedName>
    <definedName function="false" hidden="true" name="FDP_31_1_aUrv" vbProcedure="false">#REF!</definedName>
    <definedName function="false" hidden="true" name="FDP_32_1_aDrv" vbProcedure="false">#REF!</definedName>
    <definedName function="false" hidden="true" name="FDP_32_1_aUrv" vbProcedure="false">#REF!</definedName>
    <definedName function="false" hidden="true" name="FDP_33_1_aDrv" vbProcedure="false">#REF!</definedName>
    <definedName function="false" hidden="true" name="FDP_34_1_aUrv" vbProcedure="false">#REF!</definedName>
    <definedName function="false" hidden="true" name="FDP_35_1_aUrv" vbProcedure="false">#REF!</definedName>
    <definedName function="false" hidden="true" name="FDP_36_1_aUrv" vbProcedure="false">#REF!</definedName>
    <definedName function="false" hidden="true" name="FDP_37_1_aUrv" vbProcedure="false">#REF!</definedName>
    <definedName function="false" hidden="true" name="FDP_38_1_aUrv" vbProcedure="false">#REF!</definedName>
    <definedName function="false" hidden="true" name="FDP_39_1_aSrv" vbProcedure="false">#REF!</definedName>
    <definedName function="false" hidden="true" name="FDP_39_1_aUrv" vbProcedure="false">#REF!</definedName>
    <definedName function="false" hidden="true" name="FDP_3_1_aUrv" vbProcedure="false">#REF!</definedName>
    <definedName function="false" hidden="true" name="FDP_40_1_aUrv" vbProcedure="false">#REF!</definedName>
    <definedName function="false" hidden="true" name="FDP_41_1_aUrv" vbProcedure="false">#REF!</definedName>
    <definedName function="false" hidden="true" name="FDP_42_1_aUrv" vbProcedure="false">#REF!</definedName>
    <definedName function="false" hidden="true" name="FDP_43_1_aUrv" vbProcedure="false">#REF!</definedName>
    <definedName function="false" hidden="true" name="FDP_44_1_aUrv" vbProcedure="false">#REF!</definedName>
    <definedName function="false" hidden="true" name="FDP_45_1_aSrv" vbProcedure="false">#REF!</definedName>
    <definedName function="false" hidden="true" name="FDP_45_1_aUrv" vbProcedure="false">#REF!</definedName>
    <definedName function="false" hidden="true" name="FDP_46_1_aSrv" vbProcedure="false">#REF!</definedName>
    <definedName function="false" hidden="true" name="FDP_46_1_aUrv" vbProcedure="false">#REF!</definedName>
    <definedName function="false" hidden="true" name="FDP_47_1_aUrv" vbProcedure="false">#REF!</definedName>
    <definedName function="false" hidden="true" name="FDP_48_1_aUrv" vbProcedure="false">#REF!</definedName>
    <definedName function="false" hidden="true" name="FDP_49_1_aUrv" vbProcedure="false">#REF!</definedName>
    <definedName function="false" hidden="true" name="FDP_4_1_aSrv" vbProcedure="false">#REF!</definedName>
    <definedName function="false" hidden="true" name="FDP_4_1_aUrv" vbProcedure="false">#REF!</definedName>
    <definedName function="false" hidden="true" name="FDP_50_1_aUrv" vbProcedure="false">#REF!</definedName>
    <definedName function="false" hidden="true" name="FDP_51_1_aUrv" vbProcedure="false">#REF!</definedName>
    <definedName function="false" hidden="true" name="FDP_52_1_aSrv" vbProcedure="false">#REF!</definedName>
    <definedName function="false" hidden="true" name="FDP_52_1_aUrv" vbProcedure="false">#REF!</definedName>
    <definedName function="false" hidden="true" name="FDP_53_1_aUrv" vbProcedure="false">#REF!</definedName>
    <definedName function="false" hidden="true" name="FDP_54_1_aDdv" vbProcedure="false">#REF!</definedName>
    <definedName function="false" hidden="true" name="FDP_54_1_aUrv" vbProcedure="false">#REF!</definedName>
    <definedName function="false" hidden="true" name="FDP_55_1_aUrv" vbProcedure="false">#REF!</definedName>
    <definedName function="false" hidden="true" name="FDP_56_1_aUrv" vbProcedure="false">#REF!</definedName>
    <definedName function="false" hidden="true" name="FDP_57_1_aUrv" vbProcedure="false">#REF!</definedName>
    <definedName function="false" hidden="true" name="FDP_58_1_aUrv" vbProcedure="false">#REF!</definedName>
    <definedName function="false" hidden="true" name="FDP_59_1_aUrv" vbProcedure="false">#REF!</definedName>
    <definedName function="false" hidden="true" name="FDP_5_1_aDrv" vbProcedure="false">#REF!</definedName>
    <definedName function="false" hidden="true" name="FDP_5_1_aUrv" vbProcedure="false">#REF!</definedName>
    <definedName function="false" hidden="true" name="FDP_60_1_aUrv" vbProcedure="false">#REF!</definedName>
    <definedName function="false" hidden="true" name="FDP_61_1_aUrv" vbProcedure="false">#REF!</definedName>
    <definedName function="false" hidden="true" name="FDP_62_1_aUrv" vbProcedure="false">#REF!</definedName>
    <definedName function="false" hidden="true" name="FDP_63_1_aUrv" vbProcedure="false">#REF!</definedName>
    <definedName function="false" hidden="true" name="FDP_64_1_aUrv" vbProcedure="false">#REF!</definedName>
    <definedName function="false" hidden="true" name="FDP_65_1_aSrv" vbProcedure="false">#REF!</definedName>
    <definedName function="false" hidden="true" name="FDP_65_1_aUrv" vbProcedure="false">#REF!</definedName>
    <definedName function="false" hidden="true" name="FDP_66_1_aSrv" vbProcedure="false">#REF!</definedName>
    <definedName function="false" hidden="true" name="FDP_66_1_aUrv" vbProcedure="false">#REF!</definedName>
    <definedName function="false" hidden="true" name="FDP_67_1_aUrv" vbProcedure="false">#REF!</definedName>
    <definedName function="false" hidden="true" name="FDP_67_1_rUrv" vbProcedure="false">#REF!</definedName>
    <definedName function="false" hidden="true" name="FDP_68_1_aSrv" vbProcedure="false">#REF!</definedName>
    <definedName function="false" hidden="true" name="FDP_68_1_aUrv" vbProcedure="false">#REF!</definedName>
    <definedName function="false" hidden="true" name="FDP_69_1_aSrv" vbProcedure="false">#REF!</definedName>
    <definedName function="false" hidden="true" name="FDP_69_1_aUrv" vbProcedure="false">#REF!</definedName>
    <definedName function="false" hidden="true" name="FDP_6_1_aSrv" vbProcedure="false">#REF!</definedName>
    <definedName function="false" hidden="true" name="FDP_6_1_aUrv" vbProcedure="false">#REF!</definedName>
    <definedName function="false" hidden="true" name="FDP_70_1_aUrv" vbProcedure="false">#REF!</definedName>
    <definedName function="false" hidden="true" name="FDP_71_1_aUrv" vbProcedure="false">#REF!</definedName>
    <definedName function="false" hidden="true" name="FDP_72_1_aUrv" vbProcedure="false">#REF!</definedName>
    <definedName function="false" hidden="true" name="FDP_73_1_aSrv" vbProcedure="false">#REF!</definedName>
    <definedName function="false" hidden="true" name="FDP_74_1_aDrv" vbProcedure="false">#REF!</definedName>
    <definedName function="false" hidden="true" name="FDP_75_1_aUrv" vbProcedure="false">#REF!</definedName>
    <definedName function="false" hidden="true" name="FDP_76_1_aDrv" vbProcedure="false">#REF!</definedName>
    <definedName function="false" hidden="true" name="FDP_77_1_aUrv" vbProcedure="false">#REF!</definedName>
    <definedName function="false" hidden="true" name="FDP_78_1_aSrv" vbProcedure="false">#REF!</definedName>
    <definedName function="false" hidden="true" name="FDP_79_1_aUrv" vbProcedure="false">#REF!</definedName>
    <definedName function="false" hidden="true" name="FDP_7_1_aSrv" vbProcedure="false">#REF!</definedName>
    <definedName function="false" hidden="true" name="FDP_7_1_aUrv" vbProcedure="false">#REF!</definedName>
    <definedName function="false" hidden="true" name="FDP_80_1_aSrv" vbProcedure="false">#REF!</definedName>
    <definedName function="false" hidden="true" name="FDP_81_1_aUrv" vbProcedure="false">#REF!</definedName>
    <definedName function="false" hidden="true" name="FDP_82_1_aUrv" vbProcedure="false">#REF!</definedName>
    <definedName function="false" hidden="true" name="FDP_83_1_aUrv" vbProcedure="false">#REF!</definedName>
    <definedName function="false" hidden="true" name="FDP_84_1_aUrv" vbProcedure="false">#REF!</definedName>
    <definedName function="false" hidden="true" name="FDP_85_1_aUrv" vbProcedure="false">#REF!</definedName>
    <definedName function="false" hidden="true" name="FDP_86_1_aSrv" vbProcedure="false">#REF!</definedName>
    <definedName function="false" hidden="true" name="FDP_87_1_aUrv" vbProcedure="false">#REF!</definedName>
    <definedName function="false" hidden="true" name="FDP_88_1_aSrv" vbProcedure="false">#REF!</definedName>
    <definedName function="false" hidden="true" name="FDP_89_1_aUrv" vbProcedure="false">#REF!</definedName>
    <definedName function="false" hidden="true" name="FDP_8_1_aUrv" vbProcedure="false">#REF!</definedName>
    <definedName function="false" hidden="true" name="FDP_90_1_aUrv" vbProcedure="false">#REF!</definedName>
    <definedName function="false" hidden="true" name="FDP_91_1_aUrv" vbProcedure="false">#REF!</definedName>
    <definedName function="false" hidden="true" name="FDP_92_1_aSrv" vbProcedure="false">#REF!</definedName>
    <definedName function="false" hidden="true" name="FDP_93_1_aUrv" vbProcedure="false">#REF!</definedName>
    <definedName function="false" hidden="true" name="FDP_94_1_aSrv" vbProcedure="false">#REF!</definedName>
    <definedName function="false" hidden="true" name="FDP_95_1_aUrv" vbProcedure="false">#REF!</definedName>
    <definedName function="false" hidden="true" name="FDP_96_1_aUrv" vbProcedure="false">#REF!</definedName>
    <definedName function="false" hidden="true" name="FDP_97_1_aSrv" vbProcedure="false">#REF!</definedName>
    <definedName function="false" hidden="true" name="FDP_98_1_aDrv" vbProcedure="false">#REF!</definedName>
    <definedName function="false" hidden="true" name="FDP_99_1_aUrv" vbProcedure="false">#REF!</definedName>
    <definedName function="false" hidden="true" name="FDP_9_1_aSrv" vbProcedure="false">#REF!</definedName>
    <definedName function="false" hidden="true" name="FDP_9_1_aUrv" vbProcedure="false">#REF!</definedName>
    <definedName function="false" hidden="false" name="FDS" vbProcedure="false">{"bs",#N/A,FALSE,"SCF"}</definedName>
    <definedName function="false" hidden="true" name="fdsafdsa" vbProcedure="false">{#N/A,#N/A,FALSE,"AE detail rpt"}</definedName>
    <definedName function="false" hidden="true" name="fdsafsdafd" vbProcedure="false">{#N/A,#N/A,FALSE,"AE detail rpt"}</definedName>
    <definedName function="false" hidden="true" name="fdsgbdf" vbProcedure="false">{#N/A,#N/A,FALSE,"AE detail rpt"}</definedName>
    <definedName function="false" hidden="false" name="FebData" vbProcedure="false">#REF!</definedName>
    <definedName function="false" hidden="false" name="Fed_Tax" vbProcedure="false">#REF!</definedName>
    <definedName function="false" hidden="true" name="ff" vbProcedure="false">{#N/A,#N/A,FALSE,"Pharm";#N/A,#N/A,FALSE,"WWCM"}</definedName>
    <definedName function="false" hidden="true" name="fff" vbProcedure="false">{"FY97Total var",#N/A,FALSE,"FY97 - Total";"FY98Total var",#N/A,FALSE,"FY98 - Total"}</definedName>
    <definedName function="false" hidden="false" name="ffff" vbProcedure="false">{"bs",#N/A,FALSE,"SCF"}</definedName>
    <definedName function="false" hidden="true" name="fffffff" vbProcedure="false">{#N/A,#N/A,FALSE,"Pharm";#N/A,#N/A,FALSE,"WWCM"}</definedName>
    <definedName function="false" hidden="true" name="fg" vbProcedure="false">{#N/A,#N/A,FALSE,"Aging Summary";#N/A,#N/A,FALSE,"Ratio Analysis";#N/A,#N/A,FALSE,"Test 120 Day Accts";#N/A,#N/A,FALSE,"Tickmarks"}</definedName>
    <definedName function="false" hidden="true" name="fgdgh" vbProcedure="false">{#N/A,#N/A,FALSE,"AE detail rpt"}</definedName>
    <definedName function="false" hidden="true" name="fgkjkh" vbProcedure="false">{#N/A,#N/A,FALSE,"REPORT"}</definedName>
    <definedName function="false" hidden="false" name="fgsg" vbProcedure="false">{"consolidated",#N/A,FALSE,"Sheet1";"cms",#N/A,FALSE,"Sheet1";"fse",#N/A,FALSE,"Sheet1"}</definedName>
    <definedName function="false" hidden="true" name="fil" vbProcedure="false">#REF!</definedName>
    <definedName function="false" hidden="true" name="FILL" vbProcedure="false">#REF!</definedName>
    <definedName function="false" hidden="true" name="Fill2" vbProcedure="false">#REF!</definedName>
    <definedName function="false" hidden="true" name="FinancialOverviewCurr._3" vbProcedure="false">#REF!</definedName>
    <definedName function="false" hidden="true" name="FinancialOverviewCurr._6" vbProcedure="false">#REF!</definedName>
    <definedName function="false" hidden="true" name="FinancialOverviewCurr._7" vbProcedure="false">#REF!</definedName>
    <definedName function="false" hidden="true" name="Financial_Overview_Dental_Range" vbProcedure="false">#REF!</definedName>
    <definedName function="false" hidden="true" name="Financial_Overview_Medical_Range" vbProcedure="false">#REF!</definedName>
    <definedName function="false" hidden="true" name="finres" vbProcedure="false">#REF!</definedName>
    <definedName function="false" hidden="false" name="FIRSTMONTH" vbProcedure="false">#REF!</definedName>
    <definedName function="false" hidden="false" name="FirstPeriod" vbProcedure="false">#REF!</definedName>
    <definedName function="false" hidden="false" name="FIRSTYEAR" vbProcedure="false">#REF!</definedName>
    <definedName function="false" hidden="true" name="First_Time_Switch" vbProcedure="false">#REF!</definedName>
    <definedName function="false" hidden="false" name="FiscalYearSales" vbProcedure="false">#REF!</definedName>
    <definedName function="false" hidden="false" name="Fixed_Charge_Coverage_Ratio_Definition" vbProcedure="false">#REF!</definedName>
    <definedName function="false" hidden="true" name="FI_Demographics_Medical_Range" vbProcedure="false">#REF!</definedName>
    <definedName function="false" hidden="true" name="FI_ER_Visits_1000_Members" vbProcedure="false">#REF!</definedName>
    <definedName function="false" hidden="true" name="FI_ExclusionInd" vbProcedure="false">#REF!</definedName>
    <definedName function="false" hidden="true" name="FI_Executive_Summary_Home" vbProcedure="false">#REF!</definedName>
    <definedName function="false" hidden="true" name="FI_Executive_Summary_Page" vbProcedure="false">#REF!</definedName>
    <definedName function="false" hidden="true" name="FI_Executive_Summary_Page_NoData_Text" vbProcedure="false">#REF!</definedName>
    <definedName function="false" hidden="true" name="FI_Executive_Summary_Range" vbProcedure="false">#REF!</definedName>
    <definedName function="false" hidden="true" name="FI_EXEC_SUMMARY_RANGE_ROW66_ROW73" vbProcedure="false">#REF!</definedName>
    <definedName function="false" hidden="true" name="FI_EXEC_SUMMARY_RANGE_ROW7_ROW73" vbProcedure="false">#REF!</definedName>
    <definedName function="false" hidden="true" name="fi_exec_summary_row41" vbProcedure="false">#REF!</definedName>
    <definedName function="false" hidden="true" name="fi_exec_summary_rows11" vbProcedure="false">#REF!</definedName>
    <definedName function="false" hidden="true" name="fi_exec_summary_rows52_rows61" vbProcedure="false">#REF!</definedName>
    <definedName function="false" hidden="true" name="fi_exec_summary_rows66_rows74" vbProcedure="false">#REF!</definedName>
    <definedName function="false" hidden="true" name="fi_exec_summary_rows7_rows74" vbProcedure="false">#REF!</definedName>
    <definedName function="false" hidden="true" name="FI_Key_Statistics_Medical_Range" vbProcedure="false">#REF!</definedName>
    <definedName function="false" hidden="true" name="FI_Key_Stats_BOB_Range" vbProcedure="false">#REF!</definedName>
    <definedName function="false" hidden="true" name="FI_Key_Stats_Footnote1_Range" vbProcedure="false">#REF!</definedName>
    <definedName function="false" hidden="true" name="FI_Key_Stats_Footnote2_Range" vbProcedure="false">#REF!</definedName>
    <definedName function="false" hidden="true" name="FI_Key_Stats_Footnote3_Range" vbProcedure="false">#REF!</definedName>
    <definedName function="false" hidden="true" name="FI_Key_Stats_Row36_Range" vbProcedure="false">#REF!</definedName>
    <definedName function="false" hidden="true" name="FI_Key_Stats_Rows23_Rows27_Range" vbProcedure="false">#REF!</definedName>
    <definedName function="false" hidden="true" name="FI_Provider_Network_Exp_Medical_Range" vbProcedure="false">#REF!</definedName>
    <definedName function="false" hidden="true" name="FI_Rx_Key_Statistics_Range" vbProcedure="false">#REF!</definedName>
    <definedName function="false" hidden="true" name="FI_Rx_Paid_Current" vbProcedure="false">#REF!</definedName>
    <definedName function="false" hidden="true" name="FI_Trend_Analysis_Medical_Range" vbProcedure="false">#REF!</definedName>
    <definedName function="false" hidden="true" name="FJEZK" vbProcedure="false">{#N/A,#N/A,FALSE,"Pharm";#N/A,#N/A,FALSE,"WWCM"}</definedName>
    <definedName function="false" hidden="true" name="fleebarg" vbProcedure="false">{"rates",#N/A,FALSE,"Summary"}</definedName>
    <definedName function="false" hidden="true" name="flurb" vbProcedure="false">{"umarea",#N/A,FALSE,"Starting Cost";"umagesex",#N/A,FALSE,"Starting Cost";"umbenlim",#N/A,FALSE,"Starting Cost";"umprovdisc",#N/A,FALSE,"Starting Cost";"umother",#N/A,FALSE,"Starting Cost";"umtrend",#N/A,FALSE,"Starting Cost"}</definedName>
    <definedName function="false" hidden="false" name="FootnoteDefaults" vbProcedure="false">{1;TRUE;5;"Times New Roman";FALSE;FALSE;TRUE;18;8;-4.5;-4;1;2;2;1;TRUE;5}</definedName>
    <definedName function="false" hidden="false" name="Forecast" vbProcedure="false">#REF!</definedName>
    <definedName function="false" hidden="true" name="formulary_curr" vbProcedure="false">#REF!</definedName>
    <definedName function="false" hidden="true" name="formulary_prior" vbProcedure="false">#REF!</definedName>
    <definedName function="false" hidden="true" name="FOV_01_Range" vbProcedure="false">#REF!</definedName>
    <definedName function="false" hidden="true" name="FOV_02_Range" vbProcedure="false">#REF!</definedName>
    <definedName function="false" hidden="true" name="FOV_03_Range" vbProcedure="false">#REF!</definedName>
    <definedName function="false" hidden="true" name="FOV_04_Range" vbProcedure="false">#REF!</definedName>
    <definedName function="false" hidden="true" name="FOV_05_Range" vbProcedure="false">#REF!</definedName>
    <definedName function="false" hidden="true" name="FOV_06_Range" vbProcedure="false">#REF!</definedName>
    <definedName function="false" hidden="true" name="FOV_07_Range" vbProcedure="false">#REF!</definedName>
    <definedName function="false" hidden="true" name="FOV_08_Range" vbProcedure="false">#REF!</definedName>
    <definedName function="false" hidden="true" name="FOV_09_Range" vbProcedure="false">#REF!</definedName>
    <definedName function="false" hidden="true" name="FOV_10_Range" vbProcedure="false">#REF!</definedName>
    <definedName function="false" hidden="true" name="FOV_11_Range" vbProcedure="false">#REF!</definedName>
    <definedName function="false" hidden="true" name="FOV_12_Range" vbProcedure="false">#REF!</definedName>
    <definedName function="false" hidden="true" name="FOV_13_Range" vbProcedure="false">#REF!</definedName>
    <definedName function="false" hidden="true" name="FOV_14_Range" vbProcedure="false">#REF!</definedName>
    <definedName function="false" hidden="true" name="FOV_15_Range" vbProcedure="false">#REF!</definedName>
    <definedName function="false" hidden="true" name="FOV_30_Range" vbProcedure="false">#REF!</definedName>
    <definedName function="false" hidden="true" name="FOV_40_Range" vbProcedure="false">#REF!</definedName>
    <definedName function="false" hidden="true" name="FOV_41_Range" vbProcedure="false">#REF!</definedName>
    <definedName function="false" hidden="true" name="FOV_42_Range" vbProcedure="false">#REF!</definedName>
    <definedName function="false" hidden="true" name="FOV_43_Range" vbProcedure="false">#REF!</definedName>
    <definedName function="false" hidden="true" name="FOV_44_Range" vbProcedure="false">#REF!</definedName>
    <definedName function="false" hidden="true" name="FOV_45_Range" vbProcedure="false">#REF!</definedName>
    <definedName function="false" hidden="true" name="FOV_46_Range" vbProcedure="false">#REF!</definedName>
    <definedName function="false" hidden="true" name="FOV_47_Range" vbProcedure="false">#REF!</definedName>
    <definedName function="false" hidden="true" name="FOV_48_Range" vbProcedure="false">#REF!</definedName>
    <definedName function="false" hidden="true" name="FOV_49_Range" vbProcedure="false">#REF!</definedName>
    <definedName function="false" hidden="true" name="FOV_50_Range" vbProcedure="false">#REF!</definedName>
    <definedName function="false" hidden="true" name="FOV_51_Range" vbProcedure="false">#REF!</definedName>
    <definedName function="false" hidden="true" name="FOV_52_Range" vbProcedure="false">#REF!</definedName>
    <definedName function="false" hidden="true" name="FOV_53_Range" vbProcedure="false">#REF!</definedName>
    <definedName function="false" hidden="true" name="FOV_54_Range" vbProcedure="false">#REF!</definedName>
    <definedName function="false" hidden="true" name="FOV_55_Range" vbProcedure="false">#REF!</definedName>
    <definedName function="false" hidden="true" name="FOV_56_Range" vbProcedure="false">#REF!</definedName>
    <definedName function="false" hidden="true" name="FOV_57_Range" vbProcedure="false">#REF!</definedName>
    <definedName function="false" hidden="true" name="FOV_58_Range" vbProcedure="false">#REF!</definedName>
    <definedName function="false" hidden="true" name="FOV_59_Range" vbProcedure="false">#REF!</definedName>
    <definedName function="false" hidden="true" name="FOV_68_Range" vbProcedure="false">#REF!</definedName>
    <definedName function="false" hidden="true" name="FOV_69_Range" vbProcedure="false">#REF!</definedName>
    <definedName function="false" hidden="true" name="FOV_70_Range" vbProcedure="false">#REF!</definedName>
    <definedName function="false" hidden="true" name="FOV_71_Range" vbProcedure="false">#REF!</definedName>
    <definedName function="false" hidden="true" name="FOV_72_Range" vbProcedure="false">#REF!</definedName>
    <definedName function="false" hidden="true" name="FOV_73_Range" vbProcedure="false">#REF!</definedName>
    <definedName function="false" hidden="true" name="FOV_74_Range" vbProcedure="false">#REF!</definedName>
    <definedName function="false" hidden="true" name="FOV_75_Range" vbProcedure="false">#REF!</definedName>
    <definedName function="false" hidden="true" name="FOV_76_Range" vbProcedure="false">#REF!</definedName>
    <definedName function="false" hidden="true" name="FOV_99_Range" vbProcedure="false">#REF!</definedName>
    <definedName function="false" hidden="true" name="FOV_DN_Range" vbProcedure="false">#REF!</definedName>
    <definedName function="false" hidden="true" name="FOV_RX_Range" vbProcedure="false">#REF!</definedName>
    <definedName function="false" hidden="true" name="FOV_SI_Dental_Range" vbProcedure="false">#REF!</definedName>
    <definedName function="false" hidden="true" name="FOV_SI_Pharmacy_Range" vbProcedure="false">#REF!</definedName>
    <definedName function="false" hidden="true" name="FOV_SI_Product_01_Range" vbProcedure="false">#REF!</definedName>
    <definedName function="false" hidden="true" name="FOV_SI_Product_05_Range" vbProcedure="false">#REF!</definedName>
    <definedName function="false" hidden="true" name="FO_Dental_report_has_xml_ind" vbProcedure="false">#REF!</definedName>
    <definedName function="false" hidden="tru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true" name="fre" vbProcedure="false">{"FY98Q1 var",#N/A,FALSE,"FY98 - Q1";"FY98Q2 var",#N/A,FALSE,"FY98 - Q2";"FY98Q3 var",#N/A,FALSE,"FY98 - Q3";"FY98Q4 var",#N/A,FALSE,"FY98 - Q4"}</definedName>
    <definedName function="false" hidden="true" name="fred" vbProcedure="false">{#N/A,#N/A,FALSE,"Approval Form"}</definedName>
    <definedName function="false" hidden="true" name="FRF" vbProcedure="false">{#N/A,#N/A,FALSE,"1";#N/A,#N/A,FALSE,"2";#N/A,#N/A,FALSE,"16 - 17";#N/A,#N/A,FALSE,"18 - 19";#N/A,#N/A,FALSE,"26";#N/A,#N/A,FALSE,"27";#N/A,#N/A,FALSE,"28"}</definedName>
    <definedName function="false" hidden="true" name="FRFERFE" vbProcedure="false">{#N/A,#N/A,FALSE,"Pharm";#N/A,#N/A,FALSE,"WWCM"}</definedName>
    <definedName function="false" hidden="true" name="fsd" vbProcedure="false">#REF!</definedName>
    <definedName function="false" hidden="false" name="fsfs" vbProcedure="false">{#N/A,#N/A,FALSE,"Calc";#N/A,#N/A,FALSE,"Sensitivity";#N/A,#N/A,FALSE,"LT Earn.Dil.";#N/A,#N/A,FALSE,"Dil. AVP"}</definedName>
    <definedName function="false" hidden="true" name="fshfs" vbProcedure="false">{#N/A,#N/A,FALSE,"AE detail rpt"}</definedName>
    <definedName function="false" hidden="true" name="FSoPacific" vbProcedure="false">{"BS",#N/A,FALSE,"USA"}</definedName>
    <definedName function="false" hidden="false" name="Full_Use_CPU_License" vbProcedure="false">#REF!</definedName>
    <definedName function="false" hidden="false" name="FundCarryRate" vbProcedure="false">#REF!</definedName>
    <definedName function="false" hidden="true" name="FundCode" vbProcedure="false">#REF!</definedName>
    <definedName function="false" hidden="tru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tru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Name" vbProcedure="false">#REF!</definedName>
    <definedName function="false" hidden="false" name="Future_1" vbProcedure="false">#REF!</definedName>
    <definedName function="false" hidden="false" name="Future_2" vbProcedure="false">#REF!</definedName>
    <definedName function="false" hidden="false" name="Future_3" vbProcedure="false">#REF!</definedName>
    <definedName function="false" hidden="false" name="Future_4" vbProcedure="false">#REF!</definedName>
    <definedName function="false" hidden="true" name="FVG" vbProcedure="false">{#N/A,#N/A,FALSE,"Pharm";#N/A,#N/A,FALSE,"WWCM"}</definedName>
    <definedName function="false" hidden="true" name="fwap" vbProcedure="false">{#N/A,#N/A,FALSE,"Allocation"}</definedName>
    <definedName function="false" hidden="true" name="fweep" vbProcedure="false">{"OM Visits",#N/A,TRUE,"Optimal";"OM Dollars per Hour",#N/A,TRUE,"Optimal";"OM Hours per Visit",#N/A,TRUE,"Optimal";"OM Dollars per Visit",#N/A,TRUE,"Optimal";"OM Total Visits",#N/A,TRUE,"Optimal";"OM PMPM",#N/A,TRUE,"Optimal"}</definedName>
    <definedName function="false" hidden="false" name="FY14Sales" vbProcedure="false">#REF!</definedName>
    <definedName function="false" hidden="false" name="FYE" vbProcedure="false">#REF!</definedName>
    <definedName function="false" hidden="false" name="FYEBSF" vbProcedure="false">#REF!</definedName>
    <definedName function="false" hidden="false" name="FY_1" vbProcedure="false">#REF!</definedName>
    <definedName function="false" hidden="false" name="FY_1998" vbProcedure="false">#REF!,#REF!,#REF!,#REF!,#REF!,#REF!</definedName>
    <definedName function="false" hidden="false" name="FY_1999" vbProcedure="false">#REF!,#REF!,#REF!,#REF!,#REF!</definedName>
    <definedName function="false" hidden="false" name="FY_2000" vbProcedure="false">#REF!,#REF!,#REF!,#REF!,#REF!</definedName>
    <definedName function="false" hidden="false" name="FY_93" vbProcedure="false">#REF!</definedName>
    <definedName function="false" hidden="false" name="FY_94" vbProcedure="false">#REF!</definedName>
    <definedName function="false" hidden="true" name="g" vbProcedure="false">#REF!</definedName>
    <definedName function="false" hidden="true" name="gasf" vbProcedure="false">{#N/A,#N/A,FALSE,"Model"}</definedName>
    <definedName function="false" hidden="true" name="gdfgdf" vbProcedure="false">{"'Consolidated Inventory'!$A$1:$O$187"}</definedName>
    <definedName function="false" hidden="true" name="gdfgfdg" vbProcedure="false">{"'Consolidated Inventory'!$A$1:$O$187"}</definedName>
    <definedName function="false" hidden="true" name="gdfhd" vbProcedure="false">{"'Consolidated Inventory'!$A$1:$O$187"}</definedName>
    <definedName function="false" hidden="true" name="gdgdf" vbProcedure="false">{#N/A,#N/A,FALSE,"AE detail rpt"}</definedName>
    <definedName function="false" hidden="true" name="gdhd" vbProcedure="false">{#N/A,#N/A,FALSE,"AE detail rpt"}</definedName>
    <definedName function="false" hidden="true" name="GenericAverageCopay" vbProcedure="false">#REF!</definedName>
    <definedName function="false" hidden="true" name="generic_curr" vbProcedure="false">#REF!</definedName>
    <definedName function="false" hidden="true" name="generic_prior" vbProcedure="false">#REF!</definedName>
    <definedName function="false" hidden="true" name="generic_subst_curr" vbProcedure="false">#REF!</definedName>
    <definedName function="false" hidden="true" name="generic_subst_prior" vbProcedure="false">#REF!</definedName>
    <definedName function="false" hidden="true" name="generic_util_curr" vbProcedure="false">#REF!</definedName>
    <definedName function="false" hidden="true" name="generic_util_prior" vbProcedure="false">#REF!</definedName>
    <definedName function="false" hidden="true" name="gfa" vbProcedure="false">{"FY98Q1 nvs",#N/A,FALSE,"FY98 - Q1";"FY98Q2 nvs",#N/A,FALSE,"FY98 - Q2";"FY98Q3 nvs",#N/A,FALSE,"FY98 - Q3";"FY98Q4 nvs",#N/A,FALSE,"FY98 - Q4"}</definedName>
    <definedName function="false" hidden="true" name="gfd" vbProcedure="false">{#N/A,#N/A,FALSE,"Approval Form"}</definedName>
    <definedName function="false" hidden="true" name="gfdjhjh" vbProcedure="false">{#N/A,#N/A,FALSE,"Pharm";#N/A,#N/A,FALSE,"WWCM"}</definedName>
    <definedName function="false" hidden="true" name="gffdd" vbProcedure="false">{#N/A,#N/A,FALSE,"Approval2"}</definedName>
    <definedName function="false" hidden="false" name="gfg" vbProcedure="false">#REF!</definedName>
    <definedName function="false" hidden="true" name="gfhsfgs" vbProcedure="false">{#N/A,#N/A,FALSE,"AE detail rpt"}</definedName>
    <definedName function="false" hidden="true" name="gfsshjgh" vbProcedure="false">{#N/A,#N/A,FALSE,"AE summary rpt";#N/A,#N/A,FALSE,"CopySummary";#N/A,#N/A,FALSE,"CopySummary"}</definedName>
    <definedName function="false" hidden="true" name="ggfdg" vbProcedure="false">{#N/A,#N/A,FALSE,"AE detail rpt"}</definedName>
    <definedName function="false" hidden="true" name="ghdg" vbProcedure="false">{#N/A,#N/A,FALSE,"AE detail rpt"}</definedName>
    <definedName function="false" hidden="true" name="ghi" vbProcedure="false">{"510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function="false" hidden="true" name="ghjggjh" vbProcedure="false">{#N/A,#N/A,FALSE,"Pharm";#N/A,#N/A,FALSE,"WWCM"}</definedName>
    <definedName function="false" hidden="true" name="GIGI" vbProcedure="false">{"FY98Q1",#N/A,FALSE,"FY98 - Q1";"FY98Q2",#N/A,FALSE,"FY98 - Q2";"FY98Q3",#N/A,FALSE,"FY98 - Q3";"FY98Q4",#N/A,FALSE,"FY98 - Q4"}</definedName>
    <definedName function="false" hidden="true" name="GIORGIO" vbProcedure="false">{"FY97Q1 var",#N/A,FALSE,"FY97 - Q1";"FY97Q2 var",#N/A,FALSE,"FY97 - Q2";"FY97Q3 var",#N/A,FALSE,"FY97 - Q3";"FY97Q4 var",#N/A,FALSE,"FY97 - Q4"}</definedName>
    <definedName function="false" hidden="false" name="GlideChartMarker" vbProcedure="false">"Chart!A1"</definedName>
    <definedName function="false" hidden="false" name="GlideDataMarker" vbProcedure="false">"Data!A1"</definedName>
    <definedName function="false" hidden="false" name="GlideHiddenMarker" vbProcedure="false">"Costcurvedata!A1"</definedName>
    <definedName function="false" hidden="false" name="GlideMaxCharts" vbProcedure="false">7</definedName>
    <definedName function="false" hidden="true" name="Global1" vbProcedure="false">{#N/A,#N/A,FALSE,"Pharm";#N/A,#N/A,FALSE,"WWCM"}</definedName>
    <definedName function="false" hidden="true" name="gmcol" vbProcedure="false">#REF!</definedName>
    <definedName function="false" hidden="true" name="gooch" vbProcedure="false">{#N/A,#N/A,FALSE,"Projections";#N/A,#N/A,FALSE,"Multiples Valuation";#N/A,#N/A,FALSE,"LBO";#N/A,#N/A,FALSE,"Multiples_Sensitivity";#N/A,#N/A,FALSE,"Summary"}</definedName>
    <definedName function="false" hidden="true" name="gpi_name_class_A_curr" vbProcedure="false">#REF!</definedName>
    <definedName function="false" hidden="true" name="gpi_name_class_A_prior" vbProcedure="false">#REF!</definedName>
    <definedName function="false" hidden="true" name="gpi_name_class_B_curr" vbProcedure="false">#REF!</definedName>
    <definedName function="false" hidden="true" name="gpi_name_class_B_prior" vbProcedure="false">#REF!</definedName>
    <definedName function="false" hidden="true" name="gpi_name_class_C_curr" vbProcedure="false">#REF!</definedName>
    <definedName function="false" hidden="true" name="gpi_name_class_C_prior" vbProcedure="false">#REF!</definedName>
    <definedName function="false" hidden="true" name="gpi_name_class_D_curr" vbProcedure="false">#REF!</definedName>
    <definedName function="false" hidden="true" name="gpi_name_class_D_prior" vbProcedure="false">#REF!</definedName>
    <definedName function="false" hidden="true" name="gpi_name_class_E_curr" vbProcedure="false">#REF!</definedName>
    <definedName function="false" hidden="true" name="gpi_name_class_E_prior" vbProcedure="false">#REF!</definedName>
    <definedName function="false" hidden="true" name="gpi_name_class_F_curr" vbProcedure="false">#REF!</definedName>
    <definedName function="false" hidden="true" name="gpi_name_class_F_prior" vbProcedure="false">#REF!</definedName>
    <definedName function="false" hidden="true" name="gpi_name_class_G_curr" vbProcedure="false">#REF!</definedName>
    <definedName function="false" hidden="true" name="gpi_name_class_G_prior" vbProcedure="false">#REF!</definedName>
    <definedName function="false" hidden="true" name="gpi_name_class_H_curr" vbProcedure="false">#REF!</definedName>
    <definedName function="false" hidden="true" name="gpi_name_class_H_prior" vbProcedure="false">#REF!</definedName>
    <definedName function="false" hidden="true" name="gpi_name_class_I_curr" vbProcedure="false">#REF!</definedName>
    <definedName function="false" hidden="true" name="gpi_name_class_I_prior" vbProcedure="false">#REF!</definedName>
    <definedName function="false" hidden="true" name="gpi_name_class_J_curr" vbProcedure="false">#REF!</definedName>
    <definedName function="false" hidden="true" name="gpi_name_class_J_prior" vbProcedure="false">#REF!</definedName>
    <definedName function="false" hidden="true" name="gpi_name_class_K_curr" vbProcedure="false">#REF!</definedName>
    <definedName function="false" hidden="true" name="gpi_name_class_K_prior" vbProcedure="false">#REF!</definedName>
    <definedName function="false" hidden="true" name="gpi_name_class_L_curr" vbProcedure="false">#REF!</definedName>
    <definedName function="false" hidden="true" name="gpi_name_class_L_prior" vbProcedure="false">#REF!</definedName>
    <definedName function="false" hidden="true" name="gpi_name_class_M_curr" vbProcedure="false">#REF!</definedName>
    <definedName function="false" hidden="true" name="gpi_name_class_M_prior" vbProcedure="false">#REF!</definedName>
    <definedName function="false" hidden="true" name="gpi_name_class_N_curr" vbProcedure="false">#REF!</definedName>
    <definedName function="false" hidden="true" name="gpi_name_class_N_prior" vbProcedure="false">#REF!</definedName>
    <definedName function="false" hidden="true" name="gpi_name_class_OTHER_curr" vbProcedure="false">#REF!</definedName>
    <definedName function="false" hidden="true" name="gpi_name_class_OTHER_prior" vbProcedure="false">#REF!</definedName>
    <definedName function="false" hidden="true" name="gpi_name_class_O_curr" vbProcedure="false">#REF!</definedName>
    <definedName function="false" hidden="true" name="gpi_name_class_O_prior" vbProcedure="false">#REF!</definedName>
    <definedName function="false" hidden="true" name="gpi_name_class_P_curr" vbProcedure="false">#REF!</definedName>
    <definedName function="false" hidden="true" name="gpi_name_class_P_prior" vbProcedure="false">#REF!</definedName>
    <definedName function="false" hidden="true" name="gpi_name_class_Q_curr" vbProcedure="false">#REF!</definedName>
    <definedName function="false" hidden="true" name="gpi_name_class_Q_prior" vbProcedure="false">#REF!</definedName>
    <definedName function="false" hidden="true" name="gpi_name_class_R_curr" vbProcedure="false">#REF!</definedName>
    <definedName function="false" hidden="true" name="gpi_name_class_R_prior" vbProcedure="false">#REF!</definedName>
    <definedName function="false" hidden="true" name="Graph" vbProcedure="false">#REF!</definedName>
    <definedName function="false" hidden="false" name="Graph_Vert" vbProcedure="false">#REF!</definedName>
    <definedName function="false" hidden="false" name="Griffin" vbProcedure="false">#REF!</definedName>
    <definedName function="false" hidden="false" name="grossnetdebt" vbProcedure="false">#REF!</definedName>
    <definedName function="false" hidden="false" name="Group7" vbProcedure="false">{"Mcp08.PrintRep",""}</definedName>
    <definedName function="false" hidden="false" name="Growth_Rate" vbProcedure="false">#REF!</definedName>
    <definedName function="false" hidden="false" name="gs" vbProcedure="false">{"'Cover'!$B$11"}</definedName>
    <definedName function="false" hidden="true" name="gt" vbProcedure="false">{#N/A,#N/A,FALSE,"P&amp;L Variance";#N/A,#N/A,FALSE,"Location P&amp;L (Actual)";#N/A,#N/A,FALSE,"Location P&amp;L (Budget)";#N/A,#N/A,FALSE,"Location P&amp;L (Variance)";#N/A,#N/A,FALSE,"By Month P&amp;L"}</definedName>
    <definedName function="false" hidden="false" name="GuestSurvey" vbProcedure="false">#REF!</definedName>
    <definedName function="false" hidden="false" name="GVKey" vbProcedure="false">"100111-01w"</definedName>
    <definedName function="false" hidden="true" name="h" vbProcedure="false">{#N/A,#N/A,FALSE,"AE detail rpt"}</definedName>
    <definedName function="false" hidden="true" name="hdfbnfgd" vbProcedure="false">{#N/A,#N/A,FALSE,"AE detail rpt"}</definedName>
    <definedName function="false" hidden="true" name="Health_Profile_Top_10_Dis_Med_HPD_Range" vbProcedure="false">#REF!</definedName>
    <definedName function="false" hidden="true" name="help" vbProcedure="false">{"510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function="false" hidden="false" name="Hemorrhage" vbProcedure="false">{"mgmt forecast",#N/A,FALSE,"Mgmt Forecast";"dcf table",#N/A,FALSE,"Mgmt Forecast";"sensitivity",#N/A,FALSE,"Mgmt Forecast";"table inputs",#N/A,FALSE,"Mgmt Forecast";"calculations",#N/A,FALSE,"Mgmt Forecast"}</definedName>
    <definedName function="false" hidden="true" name="HFinGraph" vbProcedure="false">{#N/A,#N/A,FALSE,"Pharm";#N/A,#N/A,FALSE,"WWCM"}</definedName>
    <definedName function="false" hidden="true" name="hfsdhjfg" vbProcedure="false">{#N/A,#N/A,FALSE,"AE detail rpt"}</definedName>
    <definedName function="false" hidden="true" name="hgfjfg" vbProcedure="false">{#N/A,#N/A,FALSE,"AE detail rpt"}</definedName>
    <definedName function="false" hidden="true" name="hhh" vbProcedure="false">#REF!</definedName>
    <definedName function="false" hidden="false" name="hhhh" vbProcedure="false">{#N/A,#N/A,FALSE,"MAY";#N/A,#N/A,FALSE,"Q2";#N/A,#N/A,FALSE,"YTD"}</definedName>
    <definedName function="false" hidden="false" name="hhhh1" vbProcedure="false">{#N/A,#N/A,FALSE,"MAY";#N/A,#N/A,FALSE,"Q2";#N/A,#N/A,FALSE,"YTD"}</definedName>
    <definedName function="false" hidden="false" name="hhhh7000" vbProcedure="false">{#N/A,#N/A,FALSE,"MAY";#N/A,#N/A,FALSE,"Q2";#N/A,#N/A,FALSE,"YTD"}</definedName>
    <definedName function="false" hidden="true" name="Hi" vbProcedure="false">{#N/A,#N/A,FALSE,"Approval2"}</definedName>
    <definedName function="false" hidden="true" name="Hibh" vbProcedure="false">{#N/A,#N/A,FALSE,"Pharm";#N/A,#N/A,FALSE,"WWCM"}</definedName>
    <definedName function="false" hidden="true" name="HiddenRows" vbProcedure="false">#REF!</definedName>
    <definedName function="false" hidden="true" name="HideColCav" vbProcedure="false">#REF!</definedName>
    <definedName function="false" hidden="true" name="hj" vbProcedure="false">{#N/A,#N/A,FALSE,"AE detail rpt"}</definedName>
    <definedName function="false" hidden="true" name="hjh" vbProcedure="false">{#N/A,#N/A,FALSE,"Worksheet";#N/A,#N/A,FALSE,"RawData";#N/A,#N/A,FALSE,"Claim Counts";#N/A,#N/A,FALSE,"ILProjDisc";#N/A,#N/A,FALSE,"ICAdj";#N/A,#N/A,FALSE,"RatesLivesMan";#N/A,#N/A,FALSE,"BENAdj";#N/A,#N/A,FALSE,"Admin";#N/A,#N/A,FALSE,"ISLcalc";#N/A,#N/A,FALSE,"Database";#N/A,#N/A,FALSE,"Summary";#N/A,#N/A,FALSE,"ASLSummary";#N/A,#N/A,FALSE,"Individual Large Claims";#N/A,#N/A,FALSE,"Benefit Adjustments";#N/A,#N/A,FALSE,"Trend Analysis"}</definedName>
    <definedName function="false" hidden="true" name="hjhjffukfuk" vbProcedure="false">{#N/A,#N/A,FALSE,"Pharm";#N/A,#N/A,FALSE,"WWCM"}</definedName>
    <definedName function="false" hidden="true" name="hjhjfkfukywrte" vbProcedure="false">{#N/A,#N/A,FALSE,"Pharm";#N/A,#N/A,FALSE,"WWCM"}</definedName>
    <definedName function="false" hidden="true" name="hjhkjkl" vbProcedure="false">{#N/A,#N/A,FALSE,"Pharm";#N/A,#N/A,FALSE,"WWCM"}</definedName>
    <definedName function="false" hidden="false" name="hjjh" vbProcedure="false">{"p1";"p2";"analys";"covrge";"notes";"page 1";"page 2";"page1";"roea";"source";"source2";"summary"}</definedName>
    <definedName function="false" hidden="true" name="hjjjkk" vbProcedure="false">{#N/A,#N/A,FALSE,"REPORT"}</definedName>
    <definedName function="false" hidden="true" name="hjjkk" vbProcedure="false">{#N/A,#N/A,FALSE,"Pharm";#N/A,#N/A,FALSE,"WWCM"}</definedName>
    <definedName function="false" hidden="true" name="hjkk" vbProcedure="false">{#N/A,#N/A,FALSE,"Pharm";#N/A,#N/A,FALSE,"WWCM"}</definedName>
    <definedName function="false" hidden="true" name="hk" vbProcedure="false">{#N/A,#N/A,FALSE,"AE detail rpt"}</definedName>
    <definedName function="false" hidden="true" name="hkgh" vbProcedure="false">{#N/A,#N/A,FALSE,"Approval Form";#N/A,#N/A,FALSE,"Renewal";#N/A,#N/A,FALSE,"Cosmos Report"}</definedName>
    <definedName function="false" hidden="true" name="hkjkh" vbProcedure="false">{#N/A,#N/A,FALSE,"AE detail rpt"}</definedName>
    <definedName function="false" hidden="true" name="HKSH" vbProcedure="false">{#N/A,#N/A,FALSE,"REPORT"}</definedName>
    <definedName function="false" hidden="true" name="hlp" vbProcedure="false">#REF!</definedName>
    <definedName function="false" hidden="true" name="HMG" vbProcedure="false">{#N/A,#N/A,FALSE,"REPORT"}</definedName>
    <definedName function="false" hidden="true" name="hn.ConvertZero1" vbProcedure="false">#REF!,#REF!,#REF!,#REF!,#REF!,#REF!,#REF!,#REF!,#REF!,#REF!</definedName>
    <definedName function="false" hidden="true" name="hn.ConvertZero2" vbProcedure="false">#REF!,#REF!,#REF!,#REF!,#REF!,#REF!,#REF!,#REF!</definedName>
    <definedName function="false" hidden="true" name="hn.ConvertZero3" vbProcedure="false">#REF!,#REF!,#REF!,#REF!,#REF!</definedName>
    <definedName function="false" hidden="true" name="hn.ConvertZero4" vbProcedure="false">#REF!,#REF!,#REF!,#REF!,#REF!,#REF!,#REF!,#REF!</definedName>
    <definedName function="false" hidden="true" name="hn.ConvertZeroUnhide1" vbProcedure="false">#REF!,#REF!,#REF!</definedName>
    <definedName function="false" hidden="true" name="hn.Delete015" vbProcedure="false">#REF!,#REF!,#REF!,#REF!</definedName>
    <definedName function="false" hidden="true" name="hn.DZ_MultByFXRates" vbProcedure="false">#REF!,#REF!,#REF!,#REF!</definedName>
    <definedName function="false" hidden="true" name="hn.dz_ThouToMil" vbProcedure="false">#REF!,#REF!,#REF!,#REF!,#REF!</definedName>
    <definedName function="false" hidden="true" name="hn.ExtDb" vbProcedure="false">FALSE()</definedName>
    <definedName function="false" hidden="true" name="hn.LTM_CS" vbProcedure="false">#REF!,#REF!,#REF!,#REF!,#REF!,#REF!</definedName>
    <definedName function="false" hidden="true" name="hn.LTM_Misc" vbProcedure="false">#REF!,#REF!,#REF!</definedName>
    <definedName function="false" hidden="true" name="hn.LTM_MultByFXRates" vbProcedure="false">#REF!,#REF!,#REF!,#REF!,#REF!,#REF!,#REF!</definedName>
    <definedName function="false" hidden="true" name="hn.ModelType" vbProcedure="false">"DEAL"</definedName>
    <definedName function="false" hidden="true" name="hn.ModelVersion" vbProcedure="false">1</definedName>
    <definedName function="false" hidden="true" name="hn.MultbyFXRates" vbProcedure="false">#REF!,#REF!,#REF!,#REF!,#REF!,#REF!,#REF!</definedName>
    <definedName function="false" hidden="true" name="hn.MultByFXRates1" vbProcedure="false">#REF!,#REF!,#REF!,#REF!,#REF!</definedName>
    <definedName function="false" hidden="true" name="hn.MultByFXRates2" vbProcedure="false">#REF!,#REF!,#REF!,#REF!,#REF!</definedName>
    <definedName function="false" hidden="true" name="hn.MultByFXRates3" vbProcedure="false">#REF!,#REF!,#REF!,#REF!,#REF!</definedName>
    <definedName function="false" hidden="true" name="hn.MultbyFxrates4" vbProcedure="false">#REF!,#REF!,#REF!,#REF!,#REF!,#REF!,#REF!</definedName>
    <definedName function="false" hidden="true" name="hn.multbyfxrates5" vbProcedure="false">#REF!,#REF!,#REF!,#REF!,#REF!</definedName>
    <definedName function="false" hidden="true" name="hn.multbyfxrates6" vbProcedure="false">#REF!,#REF!,#REF!,#REF!,#REF!</definedName>
    <definedName function="false" hidden="true" name="hn.multbyfxrates7" vbProcedure="false">#REF!,#REF!,#REF!,#REF!,#REF!</definedName>
    <definedName function="false" hidden="true" name="hn.MultByFXRatesBot1" vbProcedure="false">#REF!,#REF!,#REF!,#REF!,#REF!,#REF!,#REF!,#REF!,#REF!,#REF!,#REF!,#REF!</definedName>
    <definedName function="false" hidden="true" name="hn.MultByFXRatesBot2" vbProcedure="false">#REF!,#REF!,#REF!,#REF!,#REF!,#REF!,#REF!,#REF!,#REF!,#REF!,#REF!,#REF!</definedName>
    <definedName function="false" hidden="true" name="hn.MultByFXRatesBot3" vbProcedure="false">#REF!,#REF!,#REF!,#REF!,#REF!,#REF!,#REF!,#REF!,#REF!,#REF!,#REF!,#REF!</definedName>
    <definedName function="false" hidden="true" name="hn.MultByFXRatesBot4" vbProcedure="false">#REF!,#REF!,#REF!,#REF!,#REF!,#REF!,#REF!,#REF!,#REF!,#REF!,#REF!,#REF!,#REF!</definedName>
    <definedName function="false" hidden="true" name="hn.MultByFXRatesBot5" vbProcedure="false">#REF!,#REF!,#REF!,#REF!,#REF!,#REF!,#REF!,#REF!,#REF!,#REF!,#REF!</definedName>
    <definedName function="false" hidden="true" name="hn.MultByFXRatesBot6" vbProcedure="false">#REF!,#REF!,#REF!,#REF!,#REF!,#REF!,#REF!,#REF!,#REF!,#REF!,#REF!</definedName>
    <definedName function="false" hidden="true" name="hn.MultByFXRatesBot7" vbProcedure="false">#REF!,#REF!,#REF!,#REF!,#REF!,#REF!,#REF!,#REF!,#REF!,#REF!,#REF!</definedName>
    <definedName function="false" hidden="true" name="hn.MultByFXRatesTop1" vbProcedure="false">#REF!,#REF!,#REF!,#REF!,#REF!,#REF!,#REF!,#REF!,#REF!,#REF!,#REF!,#REF!</definedName>
    <definedName function="false" hidden="true" name="hn.MultByFXRatesTop2" vbProcedure="false">#REF!,#REF!,#REF!,#REF!,#REF!,#REF!,#REF!,#REF!,#REF!,#REF!,#REF!,#REF!,#REF!,#REF!,#REF!</definedName>
    <definedName function="false" hidden="true" name="hn.MultByFXRatesTop3" vbProcedure="false">#REF!,#REF!,#REF!,#REF!,#REF!,#REF!,#REF!,#REF!,#REF!,#REF!,#REF!,#REF!,#REF!,#REF!,#REF!</definedName>
    <definedName function="false" hidden="true" name="hn.MultByFXRatesTop4" vbProcedure="false">#REF!,#REF!,#REF!,#REF!,#REF!,#REF!,#REF!,#REF!,#REF!,#REF!,#REF!,#REF!,#REF!,#REF!,#REF!</definedName>
    <definedName function="false" hidden="true" name="hn.MultByFXRatesTop5" vbProcedure="false">#REF!,#REF!,#REF!,#REF!,#REF!,#REF!,#REF!,#REF!,#REF!,#REF!,#REF!,#REF!</definedName>
    <definedName function="false" hidden="true" name="hn.MultByFXRatesTop6" vbProcedure="false">#REF!,#REF!,#REF!,#REF!,#REF!,#REF!,#REF!,#REF!,#REF!,#REF!,#REF!,#REF!,#REF!,#REF!,#REF!</definedName>
    <definedName function="false" hidden="true" name="hn.MultByFXRatesTop7" vbProcedure="false">#REF!,#REF!,#REF!,#REF!,#REF!,#REF!,#REF!,#REF!,#REF!,#REF!,#REF!,#REF!,#REF!,#REF!,#REF!</definedName>
    <definedName function="false" hidden="true" name="hn.NoUpload" vbProcedure="false">0</definedName>
    <definedName function="false" hidden="true" name="hn.YearLabel" vbProcedure="false">#REF!</definedName>
    <definedName function="false" hidden="tru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true" name="hod" vbProcedure="false">{#N/A,#N/A,FALSE,"TS";#N/A,#N/A,FALSE,"Combo";#N/A,#N/A,FALSE,"FAIR";#N/A,#N/A,FALSE,"RBC";#N/A,#N/A,FALSE,"xxxx";#N/A,#N/A,FALSE,"A_D";#N/A,#N/A,FALSE,"WACC";#N/A,#N/A,FALSE,"DCF";#N/A,#N/A,FALSE,"LBO";#N/A,#N/A,FALSE,"AcqMults";#N/A,#N/A,FALSE,"CompMults"}</definedName>
    <definedName function="false" hidden="false" name="holidays" vbProcedure="false">#REF!</definedName>
    <definedName function="false" hidden="false" name="Holidays_2012" vbProcedure="false">#REF!</definedName>
    <definedName function="false" hidden="false" name="Home" vbProcedure="false">"Home"</definedName>
    <definedName function="false" hidden="true" name="Hospital_Profile_Home" vbProcedure="false">#REF!</definedName>
    <definedName function="false" hidden="true" name="Hospital_Profile_Medical_Range" vbProcedure="false">#REF!</definedName>
    <definedName function="false" hidden="true" name="Hospital_Profile_Medical_Range2" vbProcedure="false">#REF!</definedName>
    <definedName function="false" hidden="true" name="Hospital_Profile_Range" vbProcedure="false">#REF!</definedName>
    <definedName function="false" hidden="false" name="Hosting" vbProcedure="false">#REF!</definedName>
    <definedName function="false" hidden="true" name="houy" vbProcedure="false">{#N/A,#N/A,FALSE,"AD_Purchase";#N/A,#N/A,FALSE,"Credit";#N/A,#N/A,FALSE,"PF Acquisition";#N/A,#N/A,FALSE,"PF Offering"}</definedName>
    <definedName function="false" hidden="true" name="HPD_bob_prevalence_asthma_curr" vbProcedure="false">#REF!</definedName>
    <definedName function="false" hidden="true" name="HPD_bob_prevalence_asthma_prior" vbProcedure="false">#REF!</definedName>
    <definedName function="false" hidden="true" name="HPD_bob_prevalence_coronary_artery_disease_curr" vbProcedure="false">#REF!</definedName>
    <definedName function="false" hidden="true" name="HPD_bob_prevalence_coronary_artery_disease_prior" vbProcedure="false">#REF!</definedName>
    <definedName function="false" hidden="true" name="HPD_bob_prevalence_diabetes_curr" vbProcedure="false">#REF!</definedName>
    <definedName function="false" hidden="true" name="HPD_bob_prevalence_diabetes_prior" vbProcedure="false">#REF!</definedName>
    <definedName function="false" hidden="true" name="HPD_bob_prevalence_heart_failure_curr" vbProcedure="false">#REF!</definedName>
    <definedName function="false" hidden="true" name="HPD_bob_prevalence_heart_failure_prior" vbProcedure="false">#REF!</definedName>
    <definedName function="false" hidden="true" name="HPD_bob_prevalence_low_back_curr" vbProcedure="false">#REF!</definedName>
    <definedName function="false" hidden="true" name="HPD_bob_prevalence_low_back_prior" vbProcedure="false">#REF!</definedName>
    <definedName function="false" hidden="true" name="HPD_bob_prevalence_other_curr" vbProcedure="false">#REF!</definedName>
    <definedName function="false" hidden="true" name="HPD_bob_prevalence_other_prior" vbProcedure="false">#REF!</definedName>
    <definedName function="false" hidden="true" name="hpd_cr_delete_paid_columns" vbProcedure="false">#REF!</definedName>
    <definedName function="false" hidden="true" name="HPD_Delete_Range" vbProcedure="false">#REF!</definedName>
    <definedName function="false" hidden="true" name="hpd_hard_coded_bob" vbProcedure="false">#REF!</definedName>
    <definedName function="false" hidden="true" name="HPD_No_Obs_Found_Range" vbProcedure="false">#REF!</definedName>
    <definedName function="false" hidden="true" name="HPD_number_claimants_asthma_curr" vbProcedure="false">#REF!</definedName>
    <definedName function="false" hidden="true" name="HPD_number_claimants_asthma_prior" vbProcedure="false">#REF!</definedName>
    <definedName function="false" hidden="true" name="HPD_number_claimants_coronary_artery_disease_curr" vbProcedure="false">#REF!</definedName>
    <definedName function="false" hidden="true" name="HPD_number_claimants_coronary_artery_disease_prior" vbProcedure="false">#REF!</definedName>
    <definedName function="false" hidden="true" name="HPD_number_claimants_diabetes_curr" vbProcedure="false">#REF!</definedName>
    <definedName function="false" hidden="true" name="HPD_number_claimants_diabetes_prior" vbProcedure="false">#REF!</definedName>
    <definedName function="false" hidden="true" name="HPD_number_claimants_heart_failure_curr" vbProcedure="false">#REF!</definedName>
    <definedName function="false" hidden="true" name="HPD_number_claimants_heart_failure_prior" vbProcedure="false">#REF!</definedName>
    <definedName function="false" hidden="true" name="HPD_number_claimants_low_back_curr" vbProcedure="false">#REF!</definedName>
    <definedName function="false" hidden="true" name="HPD_number_claimants_low_back_prior" vbProcedure="false">#REF!</definedName>
    <definedName function="false" hidden="true" name="HPD_number_claimants_other_curr" vbProcedure="false">#REF!</definedName>
    <definedName function="false" hidden="true" name="HPD_number_claimants_other_prior" vbProcedure="false">#REF!</definedName>
    <definedName function="false" hidden="true" name="HPD_number_claimants_total_curr" vbProcedure="false">#REF!</definedName>
    <definedName function="false" hidden="true" name="HPD_number_claimants_total_prior" vbProcedure="false">#REF!</definedName>
    <definedName function="false" hidden="true" name="HPD_paid_amt_asthma_curr" vbProcedure="false">#REF!</definedName>
    <definedName function="false" hidden="true" name="HPD_paid_amt_asthma_prior" vbProcedure="false">#REF!</definedName>
    <definedName function="false" hidden="true" name="HPD_paid_amt_coronary_artery_disease_curr" vbProcedure="false">#REF!</definedName>
    <definedName function="false" hidden="true" name="HPD_paid_amt_coronary_artery_disease_prior" vbProcedure="false">#REF!</definedName>
    <definedName function="false" hidden="true" name="HPD_paid_amt_diabetes_curr" vbProcedure="false">#REF!</definedName>
    <definedName function="false" hidden="true" name="HPD_paid_amt_diabetes_prior" vbProcedure="false">#REF!</definedName>
    <definedName function="false" hidden="true" name="HPD_paid_amt_heart_failure_curr" vbProcedure="false">#REF!</definedName>
    <definedName function="false" hidden="true" name="HPD_paid_amt_heart_failure_prior" vbProcedure="false">#REF!</definedName>
    <definedName function="false" hidden="true" name="HPD_paid_amt_low_back_curr" vbProcedure="false">#REF!</definedName>
    <definedName function="false" hidden="true" name="HPD_paid_amt_low_back_prior" vbProcedure="false">#REF!</definedName>
    <definedName function="false" hidden="true" name="HPD_paid_amt_other_curr" vbProcedure="false">#REF!</definedName>
    <definedName function="false" hidden="true" name="HPD_paid_amt_other_prior" vbProcedure="false">#REF!</definedName>
    <definedName function="false" hidden="true" name="HPD_paid_amt_total_curr" vbProcedure="false">#REF!</definedName>
    <definedName function="false" hidden="true" name="HPD_paid_amt_total_prior" vbProcedure="false">#REF!</definedName>
    <definedName function="false" hidden="true" name="HPD_Rows_6_7" vbProcedure="false">#REF!</definedName>
    <definedName function="false" hidden="true" name="HPD_total_population_curr" vbProcedure="false">#REF!</definedName>
    <definedName function="false" hidden="true" name="HPD_total_population_prior" vbProcedure="false">#REF!</definedName>
    <definedName function="false" hidden="true" name="hppackage.xls" vbProcedure="false">{"LCCOST",#N/A,FALSE,"FC-3 "}</definedName>
    <definedName function="false" hidden="true" name="HQ" vbProcedure="false">{#N/A,#N/A,FALSE,"6405";#N/A,#N/A,FALSE,"6406";#N/A,#N/A,FALSE,"6409";#N/A,#N/A,FALSE,"6425";#N/A,#N/A,FALSE,"6426";#N/A,#N/A,FALSE,"6427";#N/A,#N/A,FALSE,"6440";#N/A,#N/A,FALSE,"6441";#N/A,#N/A,FALSE,"6442";#N/A,#N/A,FALSE,"6443"}</definedName>
    <definedName function="false" hidden="false" name="HRE_V1_sh10_0611203978547" vbProcedure="false">#REF!</definedName>
    <definedName function="false" hidden="false" name="HRE_V1_sh10_0611203979263" vbProcedure="false">#REF!</definedName>
    <definedName function="false" hidden="false" name="HRE_V1_sh10_0611203982119" vbProcedure="false">#REF!</definedName>
    <definedName function="false" hidden="false" name="HRE_V1_sh10_0611203984364" vbProcedure="false">#REF!</definedName>
    <definedName function="false" hidden="false" name="HRE_V1_sh10_0611204029586" vbProcedure="false">#REF!</definedName>
    <definedName function="false" hidden="false" name="HRE_V1_sh10_0611204030353" vbProcedure="false">#REF!</definedName>
    <definedName function="false" hidden="false" name="HRE_V1_sh10_0611204032290" vbProcedure="false">#REF!</definedName>
    <definedName function="false" hidden="false" name="HRE_V1_sh10_0611204033379" vbProcedure="false">#REF!</definedName>
    <definedName function="false" hidden="false" name="HRE_V1_sh16_06112134815221" vbProcedure="false">#REF!,#REF!,#REF!,#REF!,#REF!,#REF!,#REF!,#REF!,#REF!,#REF!,#REF!,#REF!,#REF!,#REF!,#REF!,#REF!,#REF!,#REF!,#REF!,#REF!,#REF!,#REF!,#REF!,#REF!,#REF!,#REF!,#REF!,#REF!,#REF!,#REF!</definedName>
    <definedName function="false" hidden="false" name="HRE_V1_sh16_06112135243431" vbProcedure="false">#REF!,#REF!,#REF!,#REF!,#REF!,#REF!,#REF!,#REF!,#REF!,#REF!,#REF!,#REF!,#REF!,#REF!,#REF!,#REF!,#REF!,#REF!,#REF!,#REF!,#REF!,#REF!,#REF!,#REF!,#REF!,#REF!,#REF!,#REF!,#REF!,#REF!</definedName>
    <definedName function="false" hidden="false" name="HRE_V1_sh16_06112135587563514" vbProcedure="false">#REF!,#REF!,#REF!,#REF!,#REF!,#REF!,#REF!,#REF!,#REF!,#REF!,#REF!,#REF!,#REF!,#REF!,#REF!,#REF!,#REF!,#REF!,#REF!,#REF!,#REF!,#REF!,#REF!,#REF!,#REF!,#REF!,#REF!,#REF!,#REF!,#REF!</definedName>
    <definedName function="false" hidden="false" name="HRE_V1_sh16_06112136054208940" vbProcedure="false">#REF!,#REF!,#REF!,#REF!,#REF!,#REF!,#REF!,#REF!,#REF!,#REF!,#REF!,#REF!,#REF!,#REF!,#REF!,#REF!,#REF!,#REF!,#REF!,#REF!,#REF!,#REF!,#REF!,#REF!,#REF!,#REF!,#REF!,#REF!,#REF!,#REF!</definedName>
    <definedName function="false" hidden="false" name="HRE_V1_sh16_06121863472613323" vbProcedure="false">#REF!,#REF!,#REF!,#REF!,#REF!,#REF!,#REF!,#REF!,#REF!,#REF!,#REF!,#REF!,#REF!,#REF!,#REF!,#REF!,#REF!,#REF!,#REF!,#REF!,#REF!,#REF!,#REF!,#REF!,#REF!,#REF!,#REF!,#REF!,#REF!,#REF!</definedName>
    <definedName function="false" hidden="false" name="HRE_V1_sh1_07032745615" vbProcedure="false">#REF!</definedName>
    <definedName function="false" hidden="false" name="HRE_V1_sh1_07032746086321" vbProcedure="false">#REF!</definedName>
    <definedName function="false" hidden="false" name="HRE_V1_sh1_07032746086322" vbProcedure="false">#REF!</definedName>
    <definedName function="false" hidden="false" name="HRE_V1_sh1_07032746086323" vbProcedure="false">#REF!</definedName>
    <definedName function="false" hidden="false" name="HRE_V1_sh1_07032746253116561" vbProcedure="false">#REF!</definedName>
    <definedName function="false" hidden="false" name="HRE_V1_sh1_07032746253252298" vbProcedure="false">#REF!</definedName>
    <definedName function="false" hidden="false" name="HRE_V1_sh1_07032746253257362" vbProcedure="false">#REF!</definedName>
    <definedName function="false" hidden="false" name="HRE_V1_sh1_07032746339386872" vbProcedure="false">#REF!</definedName>
    <definedName function="false" hidden="false" name="HRE_V1_sh1_07032746339461065" vbProcedure="false">#REF!</definedName>
    <definedName function="false" hidden="false" name="HRE_V1_sh1_07032746339489929" vbProcedure="false">#REF!</definedName>
    <definedName function="false" hidden="false" name="HRE_V1_sh1_07032746427417526" vbProcedure="false">#REF!</definedName>
    <definedName function="false" hidden="false" name="HRE_V1_sh1_07032746427556663" vbProcedure="false">#REF!</definedName>
    <definedName function="false" hidden="false" name="HRE_V1_sh1_07032746427791082" vbProcedure="false">#REF!</definedName>
    <definedName function="false" hidden="false" name="HRE_V1_sh1_07032746462982133" vbProcedure="false">#REF!</definedName>
    <definedName function="false" hidden="false" name="HRE_V1_sh1_07032746463045518" vbProcedure="false">#REF!</definedName>
    <definedName function="false" hidden="false" name="HRE_V1_sh1_07032746463048360" vbProcedure="false">#REF!</definedName>
    <definedName function="false" hidden="false" name="HRE_V1_sh1_07032746676045838" vbProcedure="false">#REF!</definedName>
    <definedName function="false" hidden="false" name="HRE_V1_sh1_07032746676096635" vbProcedure="false">#REF!</definedName>
    <definedName function="false" hidden="false" name="HRE_V1_sh1_07032746676132067" vbProcedure="false">#REF!</definedName>
    <definedName function="false" hidden="false" name="HRE_V1_sh1_07032746715399308" vbProcedure="false">#REF!</definedName>
    <definedName function="false" hidden="false" name="HRE_V1_sh1_07032746715507396" vbProcedure="false">#REF!</definedName>
    <definedName function="false" hidden="false" name="HRE_V1_sh1_07032746715566893" vbProcedure="false">#REF!</definedName>
    <definedName function="false" hidden="false" name="HRE_V1_sh1_07032746759142264" vbProcedure="false">#REF!</definedName>
    <definedName function="false" hidden="false" name="HRE_V1_sh1_07032746759217023" vbProcedure="false">#REF!</definedName>
    <definedName function="false" hidden="false" name="HRE_V1_sh1_07032746759269407" vbProcedure="false">#REF!</definedName>
    <definedName function="false" hidden="false" name="HRE_V1_sh1_07032746819461127" vbProcedure="false">#REF!</definedName>
    <definedName function="false" hidden="false" name="HRE_V1_sh1_0703274681949900" vbProcedure="false">#REF!</definedName>
    <definedName function="false" hidden="false" name="HRE_V1_sh1_07032746819525747" vbProcedure="false">#REF!</definedName>
    <definedName function="false" hidden="false" name="HRE_V1_sh1_07032746865604542" vbProcedure="false">#REF!</definedName>
    <definedName function="false" hidden="false" name="HRE_V1_sh1_0703274686568215" vbProcedure="false">#REF!</definedName>
    <definedName function="false" hidden="false" name="HRE_V1_sh1_07032746865687874" vbProcedure="false">#REF!</definedName>
    <definedName function="false" hidden="false" name="HRE_V1_sh1_07032747082986450" vbProcedure="false">#REF!</definedName>
    <definedName function="false" hidden="false" name="HRE_V1_sh1_07032747083018201" vbProcedure="false">#REF!</definedName>
    <definedName function="false" hidden="false" name="HRE_V1_sh1_07032747083041537" vbProcedure="false">#REF!</definedName>
    <definedName function="false" hidden="false" name="HRE_V1_sh1_07032747499209096" vbProcedure="false">#REF!</definedName>
    <definedName function="false" hidden="false" name="HRE_V1_sh1_07032747499277888" vbProcedure="false">#REF!</definedName>
    <definedName function="false" hidden="false" name="HRE_V1_sh1_07032747499338347" vbProcedure="false">#REF!</definedName>
    <definedName function="false" hidden="false" name="HRE_V1_sh1_07032747561675438" vbProcedure="false">#REF!</definedName>
    <definedName function="false" hidden="false" name="HRE_V1_sh1_07032747561723517" vbProcedure="false">#REF!</definedName>
    <definedName function="false" hidden="false" name="HRE_V1_sh1_07032747561784371" vbProcedure="false">#REF!</definedName>
    <definedName function="false" hidden="false" name="HRE_V1_sh2_07030562338411" vbProcedure="false">#REF!</definedName>
    <definedName function="false" hidden="false" name="HRE_V1_sh2_07030562338422" vbProcedure="false">#REF!</definedName>
    <definedName function="false" hidden="false" name="HRE_V1_sh2_07030562457031" vbProcedure="false">#REF!</definedName>
    <definedName function="false" hidden="false" name="HRE_V1_sh2_07030562457032" vbProcedure="false">#REF!</definedName>
    <definedName function="false" hidden="false" name="HRE_V1_sh2_07030563728891" vbProcedure="false">#REF!</definedName>
    <definedName function="false" hidden="false" name="HRE_V1_sh2_07030563728892" vbProcedure="false">#REF!</definedName>
    <definedName function="false" hidden="false" name="HRE_V1_sh2_07030563947221" vbProcedure="false">#REF!</definedName>
    <definedName function="false" hidden="false" name="HRE_V1_sh2_07030563947222" vbProcedure="false">#REF!</definedName>
    <definedName function="false" hidden="false" name="HRE_V1_sh4_07031241940781" vbProcedure="false">#REF!</definedName>
    <definedName function="false" hidden="false" name="HRE_V1_sh4_07031241940802" vbProcedure="false">#REF!</definedName>
    <definedName function="false" hidden="false" name="HRE_V1_sh4_07031242062651" vbProcedure="false">#REF!</definedName>
    <definedName function="false" hidden="false" name="HRE_V1_sh4_07031242062672" vbProcedure="false">#REF!</definedName>
    <definedName function="false" hidden="false" name="HRE_V1_sh4_07031246529761" vbProcedure="false">#REF!</definedName>
    <definedName function="false" hidden="false" name="HRE_V1_sh4_07031246529762" vbProcedure="false">#REF!</definedName>
    <definedName function="false" hidden="false" name="HRE_V1_sh4_07031246633691" vbProcedure="false">#REF!</definedName>
    <definedName function="false" hidden="false" name="HRE_V1_sh4_07031246633692" vbProcedure="false">#REF!</definedName>
    <definedName function="false" hidden="false" name="HRE_V1_sh4_07031252849271" vbProcedure="false">#REF!</definedName>
    <definedName function="false" hidden="false" name="HRE_V1_sh4_07031252849272" vbProcedure="false">#REF!</definedName>
    <definedName function="false" hidden="false" name="HRE_V1_sh4_07031252977791" vbProcedure="false">#REF!</definedName>
    <definedName function="false" hidden="false" name="HRE_V1_sh4_07031252977792" vbProcedure="false">#REF!</definedName>
    <definedName function="false" hidden="false" name="HRE_V1_sh4_07031253275125806" vbProcedure="false">#REF!</definedName>
    <definedName function="false" hidden="false" name="HRE_V1_sh4_0703125327520665" vbProcedure="false">#REF!</definedName>
    <definedName function="false" hidden="false" name="HRE_V1_sh4_0703125331090514" vbProcedure="false">#REF!</definedName>
    <definedName function="false" hidden="false" name="HRE_V1_sh4_07031253310938925" vbProcedure="false">#REF!</definedName>
    <definedName function="false" hidden="false" name="HRE_V1_sh4_07031253716035061" vbProcedure="false">#REF!</definedName>
    <definedName function="false" hidden="false" name="HRE_V1_sh4_07031253716119658" vbProcedure="false">#REF!</definedName>
    <definedName function="false" hidden="false" name="HRE_V1_sh4_07031253745833238" vbProcedure="false">#REF!</definedName>
    <definedName function="false" hidden="false" name="HRE_V1_sh4_07031253745944054" vbProcedure="false">#REF!</definedName>
    <definedName function="false" hidden="false" name="HRE_V1_sh4_07031253793425920" vbProcedure="false">#REF!</definedName>
    <definedName function="false" hidden="false" name="HRE_V1_sh4_07031253793497146" vbProcedure="false">#REF!</definedName>
    <definedName function="false" hidden="false" name="HRE_V1_sh4_07031253842024213" vbProcedure="false">#REF!</definedName>
    <definedName function="false" hidden="false" name="HRE_V1_sh4_0703125384208698" vbProcedure="false">#REF!</definedName>
    <definedName function="false" hidden="false" name="HRE_V1_sh4_07031253983668501" vbProcedure="false">#REF!</definedName>
    <definedName function="false" hidden="false" name="HRE_V1_sh4_07031253983692925" vbProcedure="false">#REF!</definedName>
    <definedName function="false" hidden="false" name="HRE_V1_sh4_07031254012324337" vbProcedure="false">#REF!</definedName>
    <definedName function="false" hidden="false" name="HRE_V1_sh4_07031254012418362" vbProcedure="false">#REF!</definedName>
    <definedName function="false" hidden="false" name="HRE_V1_sh4_07031254075461192" vbProcedure="false">#REF!</definedName>
    <definedName function="false" hidden="false" name="HRE_V1_sh4_07031254075653180" vbProcedure="false">#REF!</definedName>
    <definedName function="false" hidden="false" name="HRE_V1_sh4_07031254172292723" vbProcedure="false">#REF!</definedName>
    <definedName function="false" hidden="false" name="HRE_V1_sh4_07031254172359673" vbProcedure="false">#REF!</definedName>
    <definedName function="false" hidden="false" name="HRE_V1_sh4_07031254242209320" vbProcedure="false">#REF!</definedName>
    <definedName function="false" hidden="false" name="HRE_V1_sh4_07031254242306768" vbProcedure="false">#REF!</definedName>
    <definedName function="false" hidden="false" name="HRE_V1_sh4_0703125429040111" vbProcedure="false">#REF!</definedName>
    <definedName function="false" hidden="false" name="HRE_V1_sh4_07031254290494952" vbProcedure="false">#REF!</definedName>
    <definedName function="false" hidden="true" name="HTML10_12" vbProcedure="false">"Q:\DNSTREAM\COMMOPS\TRADING\PSOTCMTD.HTM"</definedName>
    <definedName function="false" hidden="true" name="HTML11_12" vbProcedure="false">"Q:\DNSTREAM\COMMOPS\TRADING\PSOTCMTD.HTM"</definedName>
    <definedName function="false" hidden="true" name="HTML12_12" vbProcedure="false">"Q:\DNSTREAM\COMMOPS\TRADING\PSOTCMTD.HTM"</definedName>
    <definedName function="false" hidden="true" name="HTML13_12" vbProcedure="false">"Q:\DNSTREAM\COMMOPS\TRADING\PSOTCMTD.HTM"</definedName>
    <definedName function="false" hidden="true" name="HTML14_12" vbProcedure="false">"Q:\DNSTREAM\COMMOPS\TRADING\PSOTCMTD.HTM"</definedName>
    <definedName function="false" hidden="true" name="HTML1_1" vbProcedure="false">"[TB9.XLS]St_tot_94_95!$A$1:$J$428"</definedName>
    <definedName function="false" hidden="true" name="HTML1_10" vbProcedure="false">""</definedName>
    <definedName function="false" hidden="true" name="HTML1_11" vbProcedure="false">1</definedName>
    <definedName function="false" hidden="true" name="HTML1_12" vbProcedure="false">"F:\USERS\ECON\Census95\Int\T9ST.htm"</definedName>
    <definedName function="false" hidden="true" name="HTML1_2" vbProcedure="false">1</definedName>
    <definedName function="false" hidden="true" name="HTML1_3" vbProcedure="false">""</definedName>
    <definedName function="false" hidden="true" name="HTML1_4" vbProcedure="false">""</definedName>
    <definedName function="false" hidden="true" name="HTML1_5" vbProcedure="false">""</definedName>
    <definedName function="false" hidden="true" name="HTML1_6" vbProcedure="false">-4146</definedName>
    <definedName function="false" hidden="true" name="HTML1_7" vbProcedure="false">-4146</definedName>
    <definedName function="false" hidden="true" name="HTML1_8" vbProcedure="false">"2/17/98"</definedName>
    <definedName function="false" hidden="true" name="HTML1_9" vbProcedure="false">"BPH"</definedName>
    <definedName function="false" hidden="true" name="HTML2_1" vbProcedure="false">"[TB9.XLS]St_tot_94_95!$A$1:$J$427"</definedName>
    <definedName function="false" hidden="true" name="HTML2_10" vbProcedure="false">""</definedName>
    <definedName function="false" hidden="true" name="HTML2_11" vbProcedure="false">1</definedName>
    <definedName function="false" hidden="true" name="HTML2_12" vbProcedure="false">"F:\USERS\ECON\Census95\Int\T9ST.htm"</definedName>
    <definedName function="false" hidden="true" name="HTML2_2" vbProcedure="false">1</definedName>
    <definedName function="false" hidden="true" name="HTML2_3" vbProcedure="false">""</definedName>
    <definedName function="false" hidden="true" name="HTML2_4" vbProcedure="false">""</definedName>
    <definedName function="false" hidden="true" name="HTML2_5" vbProcedure="false">""</definedName>
    <definedName function="false" hidden="true" name="HTML2_6" vbProcedure="false">-4146</definedName>
    <definedName function="false" hidden="true" name="HTML2_7" vbProcedure="false">-4146</definedName>
    <definedName function="false" hidden="true" name="HTML2_8" vbProcedure="false">"2/17/98"</definedName>
    <definedName function="false" hidden="true" name="HTML2_9" vbProcedure="false">"BPH"</definedName>
    <definedName function="false" hidden="true" name="HTML3_1" vbProcedure="false">"[TB9.XLS]St_tot_94_95!$A$1:$H$427"</definedName>
    <definedName function="false" hidden="true" name="HTML3_10" vbProcedure="false">""</definedName>
    <definedName function="false" hidden="true" name="HTML3_11" vbProcedure="false">1</definedName>
    <definedName function="false" hidden="true" name="HTML3_12" vbProcedure="false">"F:\USERS\ECON\Census95\Int\T9st.htm"</definedName>
    <definedName function="false" hidden="true" name="HTML3_2" vbProcedure="false">1</definedName>
    <definedName function="false" hidden="true" name="HTML3_3" vbProcedure="false">""</definedName>
    <definedName function="false" hidden="true" name="HTML3_4" vbProcedure="false">""</definedName>
    <definedName function="false" hidden="true" name="HTML3_5" vbProcedure="false">""</definedName>
    <definedName function="false" hidden="true" name="HTML3_6" vbProcedure="false">-4146</definedName>
    <definedName function="false" hidden="true" name="HTML3_7" vbProcedure="false">-4146</definedName>
    <definedName function="false" hidden="true" name="HTML3_8" vbProcedure="false">"2/17/98"</definedName>
    <definedName function="false" hidden="true" name="HTML3_9" vbProcedure="false">"BPH"</definedName>
    <definedName function="false" hidden="true" name="HTML4_1" vbProcedure="false">"[MONET84.XLS]ConditionMarginalCost!$A$1:$E$286"</definedName>
    <definedName function="false" hidden="true" name="HTML4_12" vbProcedure="false">"G:\MONET\WEB\FORECAST\mc84.htm"</definedName>
    <definedName function="false" hidden="true" name="HTML5_1" vbProcedure="false">"[MONET84.XLS]ConditionMarginalCost!$A$1:$E$177"</definedName>
    <definedName function="false" hidden="true" name="HTML5_12" vbProcedure="false">"G:\MONET\WEB\FORECAST\mc84.htm"</definedName>
    <definedName function="false" hidden="true" name="HTML6_12" vbProcedure="false">"Q:\DNSTREAM\COMMOPS\TRADING\PSOTCMTD.HTM"</definedName>
    <definedName function="false" hidden="true" name="HTML7_12" vbProcedure="false">"Q:\DNSTREAM\COMMOPS\TRADING\PSOTCMTD.HTM"</definedName>
    <definedName function="false" hidden="true" name="HTML8_12" vbProcedure="false">"Q:\DNSTREAM\COMMOPS\TRADING\PSOTCMTD.HTM"</definedName>
    <definedName function="false" hidden="true" name="HTML9_12" vbProcedure="false">"Q:\DNSTREAM\COMMOPS\TRADING\PSOTCMTD.HTM"</definedName>
    <definedName function="false" hidden="true" name="HTMLCount" vbProcedure="false">3</definedName>
    <definedName function="false" hidden="false" name="HTML_CodePage" vbProcedure="false">1252</definedName>
    <definedName function="false" hidden="false" name="HTML_Control" vbProcedure="false">{"'Sheet1'!$A$1:$L$21"}</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"3/29/99"</definedName>
    <definedName function="false" hidden="false" name="HTML_LineAfter" vbProcedure="false">FALSE()</definedName>
    <definedName function="false" hidden="false" name="HTML_LineBefore" vbProcedure="false">FALSE()</definedName>
    <definedName function="false" hidden="false" name="HTML_Name" vbProcedure="false">"Robert Dolan"</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"C:\My Documents\MyHTML.htm"</definedName>
    <definedName function="false" hidden="false" name="HTML_Title" vbProcedure="false">"Investor Spreadsheet032399"</definedName>
    <definedName function="false" hidden="true" name="htyuityuiotio" vbProcedure="false">{#N/A,#N/A,FALSE,"REPORT"}</definedName>
    <definedName function="false" hidden="true" name="hui" vbProcedure="false">{#N/A,#N/A,FALSE,"Assump2";#N/A,#N/A,FALSE,"Income2";#N/A,#N/A,FALSE,"Balance2";#N/A,#N/A,FALSE,"DCF Filter";#N/A,#N/A,FALSE,"Trans Assump2";#N/A,#N/A,FALSE,"Combined Income2";#N/A,#N/A,FALSE,"Combined Balance2"}</definedName>
    <definedName function="false" hidden="true" name="Hypertention" vbProcedure="false">{#N/A,#N/A,FALSE,"Pharm";#N/A,#N/A,FALSE,"WWCM"}</definedName>
    <definedName function="false" hidden="true" name="hypo" vbProcedure="false">{#N/A,#N/A,FALSE,"Pharm";#N/A,#N/A,FALSE,"WWCM"}</definedName>
    <definedName function="false" hidden="true" name="ick" vbProcedure="false">{"UM Visits",#N/A,FALSE,"Unmanaged";"UM Dollars per Hour",#N/A,FALSE,"Unmanaged";"UM Hours per Visit",#N/A,FALSE,"Unmanaged";"UM Dollars per Visit",#N/A,FALSE,"Unmanaged";"UM Total Visits",#N/A,FALSE,"Unmanaged";"UM PMPM",#N/A,FALSE,"Unmanaged"}</definedName>
    <definedName function="false" hidden="false" name="ICM_GROUP" vbProcedure="false">#REF!</definedName>
    <definedName function="false" hidden="true" name="IGIENE" vbProcedure="false">{"FY97Total var",#N/A,FALSE,"FY97 - Total";"FY98Total var",#N/A,FALSE,"FY98 - Total"}</definedName>
    <definedName function="false" hidden="false" name="iiiii" vbProcedure="false">{#N/A,#N/A,FALSE,"Calc";#N/A,#N/A,FALSE,"Sensitivity";#N/A,#N/A,FALSE,"LT Earn.Dil.";#N/A,#N/A,FALSE,"Dil. AVP"}</definedName>
    <definedName function="false" hidden="true" name="iioo" vbProcedure="false">{#N/A,#N/A,FALSE,"TSUM";#N/A,#N/A,FALSE,"shares";#N/A,#N/A,FALSE,"earnout";#N/A,#N/A,FALSE,"Heaty";#N/A,#N/A,FALSE,"self-tend";#N/A,#N/A,FALSE,"self-sum"}</definedName>
    <definedName function="false" hidden="false" name="Impact" vbProcedure="false">#REF!</definedName>
    <definedName function="false" hidden="true" name="impact_na_range1" vbProcedure="false">#REF!</definedName>
    <definedName function="false" hidden="true" name="Impact_of_Catastrophic_Medical_Range" vbProcedure="false">#REF!</definedName>
    <definedName function="false" hidden="true" name="ImportPlanList" vbProcedure="false">#REF!</definedName>
    <definedName function="false" hidden="false" name="Import_License" vbProcedure="false">#REF!</definedName>
    <definedName function="false" hidden="true" name="IncEndDateCurr" vbProcedure="false">#REF!</definedName>
    <definedName function="false" hidden="true" name="IncEndDatePrior" vbProcedure="false">#REF!</definedName>
    <definedName function="false" hidden="false" name="include" vbProcedure="false">#REF!</definedName>
    <definedName function="false" hidden="true" name="IncStartDateCurr" vbProcedure="false">#REF!</definedName>
    <definedName function="false" hidden="true" name="IncStartDatePrior" vbProcedure="false">#REF!</definedName>
    <definedName function="false" hidden="tru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nformation" vbProcedure="false">#REF!</definedName>
    <definedName function="false" hidden="false" name="input0912" vbProcedure="false">#REF!</definedName>
    <definedName function="false" hidden="false" name="input1012" vbProcedure="false">#REF!</definedName>
    <definedName function="false" hidden="false" name="input1104" vbProcedure="false">#REF!</definedName>
    <definedName function="false" hidden="false" name="Input_Month" vbProcedure="false">#REF!</definedName>
    <definedName function="false" hidden="false" name="InterestExpense" vbProcedure="false">#REF!</definedName>
    <definedName function="false" hidden="true" name="IntroPrintArea" vbProcedure="false">#REF!</definedName>
    <definedName function="false" hidden="true" name="inv" vbProcedure="false">{"Site",#N/A,FALSE,"Net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function="false" hidden="false" name="invcap" vbProcedure="false">#REF!</definedName>
    <definedName function="false" hidden="false" name="invcap2" vbProcedure="false">#REF!</definedName>
    <definedName function="false" hidden="false" name="Inventory" vbProcedure="false">#REF!</definedName>
    <definedName function="false" hidden="false" name="InvestmentDetails" vbProcedure="false">#REF!</definedName>
    <definedName function="false" hidden="true" name="IP" vbProcedure="false">{#N/A,#N/A,FALSE,"Pharm";#N/A,#N/A,FALSE,"WWCM"}</definedName>
    <definedName function="false" hidden="true" name="IPO" vbProcedure="false">"c89"</definedName>
    <definedName function="false" hidden="true" name="IP_MDC_Analysis_Medical_Range" vbProcedure="false">#REF!</definedName>
    <definedName function="false" hidden="true" name="ip_mdc_na_bob_column1" vbProcedure="false">#REF!</definedName>
    <definedName function="false" hidden="true" name="IQB_BOOKMARK_LOCATION_0" vbProcedure="false">#REF!</definedName>
    <definedName function="false" hidden="true" name="IQB_BOOKMARK_LOCATION_1" vbProcedure="false">#REF!</definedName>
    <definedName function="false" hidden="false" name="IQNAMESREVISIONDATE3xMerge" vbProcedure="false">40814.8169212962</definedName>
    <definedName function="false" hidden="false" name="IQNamesRevisionDateEP" vbProcedure="false">40814.8169212962</definedName>
    <definedName function="false" hidden="true" name="IQRA10" vbProcedure="false">"$A$11:$A$262"</definedName>
    <definedName function="false" hidden="true" name="IQRA12" vbProcedure="false">"$A$13:$A$265"</definedName>
    <definedName function="false" hidden="true" name="IQRA134" vbProcedure="false">"$A$135:$A$385"</definedName>
    <definedName function="false" hidden="true" name="IQRA8" vbProcedure="false">"$A$9:$A$260"</definedName>
    <definedName function="false" hidden="true" name="IQRAA12" vbProcedure="false">"$AA$13"</definedName>
    <definedName function="false" hidden="true" name="IQRAA13" vbProcedure="false">"$AA$14"</definedName>
    <definedName function="false" hidden="true" name="IQRAB12" vbProcedure="false">"$AB$13"</definedName>
    <definedName function="false" hidden="true" name="IQRAF17" vbProcedure="false">"$AF$18:$AF$271"</definedName>
    <definedName function="false" hidden="true" name="IQRAM13" vbProcedure="false">"$AM$14:$AM$18"</definedName>
    <definedName function="false" hidden="true" name="IQRAN114" vbProcedure="false">"$AN$115:$AN$134"</definedName>
    <definedName function="false" hidden="true" name="IQRAQ5" vbProcedure="false">"$AQ$6"</definedName>
    <definedName function="false" hidden="true" name="IQRAR6" vbProcedure="false">"$AR$7:$AR$24"</definedName>
    <definedName function="false" hidden="true" name="IQRAR7" vbProcedure="false">"$AR$8:$AR$16"</definedName>
    <definedName function="false" hidden="true" name="IQRAR8" vbProcedure="false">"$AR$9:$AR$15"</definedName>
    <definedName function="false" hidden="true" name="IQRAR9" vbProcedure="false">"$AR$10:$AR$23"</definedName>
    <definedName function="false" hidden="true" name="IQRAV7" vbProcedure="false">"$AV$8"</definedName>
    <definedName function="false" hidden="true" name="IQRAW7" vbProcedure="false">"$AW$8"</definedName>
    <definedName function="false" hidden="true" name="IQRAX7" vbProcedure="false">"$AX$8"</definedName>
    <definedName function="false" hidden="true" name="IQRAY7" vbProcedure="false">"$AY$8"</definedName>
    <definedName function="false" hidden="true" name="IQRAZ7" vbProcedure="false">"$AZ$8"</definedName>
    <definedName function="false" hidden="true" name="IQRB11" vbProcedure="false">"$B$12:$B$16"</definedName>
    <definedName function="false" hidden="true" name="IQRB13" vbProcedure="false">"$B$14"</definedName>
    <definedName function="false" hidden="true" name="IQRB15" vbProcedure="false">"$B$16:$B$17"</definedName>
    <definedName function="false" hidden="true" name="IQRB17" vbProcedure="false">"$B$18:$B$22"</definedName>
    <definedName function="false" hidden="true" name="IQRB18" vbProcedure="false">"$B$19:$B$23"</definedName>
    <definedName function="false" hidden="true" name="IQRB19" vbProcedure="false">"$B$20:$B$24"</definedName>
    <definedName function="false" hidden="false" name="IQRB2" vbProcedure="false">"$B$3:$B$4327"</definedName>
    <definedName function="false" hidden="true" name="IQRB20" vbProcedure="false">"$B$21:$B$25"</definedName>
    <definedName function="false" hidden="true" name="IQRB21" vbProcedure="false">"$B$22:$B$26"</definedName>
    <definedName function="false" hidden="true" name="IQRB22" vbProcedure="false">"$B$23:$B$27"</definedName>
    <definedName function="false" hidden="true" name="IQRB23" vbProcedure="false">"$B$24:$B$28"</definedName>
    <definedName function="false" hidden="true" name="IQRB24" vbProcedure="false">"$B$25:$B$29"</definedName>
    <definedName function="false" hidden="true" name="IQRB32" vbProcedure="false">"$B$33:$B$37"</definedName>
    <definedName function="false" hidden="true" name="IQRB33" vbProcedure="false">"$B$34:$B$38"</definedName>
    <definedName function="false" hidden="true" name="IQRB34" vbProcedure="false">"$B$35:$B$39"</definedName>
    <definedName function="false" hidden="true" name="IQRB7" vbProcedure="false">"$B$8:$B$261"</definedName>
    <definedName function="false" hidden="true" name="IQRBA7" vbProcedure="false">"$BA$8"</definedName>
    <definedName function="false" hidden="true" name="IQRBB7" vbProcedure="false">"$BB$8"</definedName>
    <definedName function="false" hidden="true" name="IQRBC7" vbProcedure="false">"$BC$8"</definedName>
    <definedName function="false" hidden="true" name="IQRC13" vbProcedure="false">"$C$14"</definedName>
    <definedName function="false" hidden="true" name="IQRC15" vbProcedure="false">"$C$16:$C$20"</definedName>
    <definedName function="false" hidden="true" name="IQRC24" vbProcedure="false">"$C$25:$C$29"</definedName>
    <definedName function="false" hidden="true" name="IQRC36" vbProcedure="false">"$C$37:$C$63"</definedName>
    <definedName function="false" hidden="false" name="IQRC4" vbProcedure="false">"$C$5:$C$175"</definedName>
    <definedName function="false" hidden="true" name="IQRCompaniesF4" vbProcedure="false">#REF!</definedName>
    <definedName function="false" hidden="true" name="IQRCompaniesH100" vbProcedure="false">#REF!</definedName>
    <definedName function="false" hidden="true" name="IQRCompaniesH102" vbProcedure="false">#REF!</definedName>
    <definedName function="false" hidden="true" name="IQRCompaniesH103" vbProcedure="false">#REF!</definedName>
    <definedName function="false" hidden="true" name="IQRCompaniesH104" vbProcedure="false">#REF!</definedName>
    <definedName function="false" hidden="true" name="IQRCompaniesH106" vbProcedure="false">#REF!</definedName>
    <definedName function="false" hidden="true" name="IQRCompaniesH107" vbProcedure="false">#REF!</definedName>
    <definedName function="false" hidden="true" name="IQRCompaniesH108" vbProcedure="false">#REF!</definedName>
    <definedName function="false" hidden="true" name="IQRCompaniesH109" vbProcedure="false">#REF!</definedName>
    <definedName function="false" hidden="true" name="IQRCompaniesH110" vbProcedure="false">#REF!</definedName>
    <definedName function="false" hidden="true" name="IQRCompaniesH111" vbProcedure="false">#REF!</definedName>
    <definedName function="false" hidden="true" name="IQRCompaniesH112" vbProcedure="false">#REF!</definedName>
    <definedName function="false" hidden="true" name="IQRCompaniesH113" vbProcedure="false">#REF!</definedName>
    <definedName function="false" hidden="true" name="IQRCompaniesH114" vbProcedure="false">#REF!</definedName>
    <definedName function="false" hidden="true" name="IQRCompaniesH115" vbProcedure="false">#REF!</definedName>
    <definedName function="false" hidden="true" name="IQRCompaniesH117" vbProcedure="false">#REF!</definedName>
    <definedName function="false" hidden="true" name="IQRCompaniesH118" vbProcedure="false">#REF!</definedName>
    <definedName function="false" hidden="true" name="IQRCompaniesH119" vbProcedure="false">#REF!</definedName>
    <definedName function="false" hidden="true" name="IQRCompaniesH12" vbProcedure="false">#REF!</definedName>
    <definedName function="false" hidden="true" name="IQRCompaniesH120" vbProcedure="false">#REF!</definedName>
    <definedName function="false" hidden="true" name="IQRCompaniesH121" vbProcedure="false">#REF!</definedName>
    <definedName function="false" hidden="true" name="IQRCompaniesH122" vbProcedure="false">#REF!</definedName>
    <definedName function="false" hidden="true" name="IQRCompaniesH123" vbProcedure="false">#REF!</definedName>
    <definedName function="false" hidden="true" name="IQRCompaniesH124" vbProcedure="false">#REF!</definedName>
    <definedName function="false" hidden="true" name="IQRCompaniesH125" vbProcedure="false">#REF!</definedName>
    <definedName function="false" hidden="true" name="IQRCompaniesH126" vbProcedure="false">#REF!</definedName>
    <definedName function="false" hidden="true" name="IQRCompaniesH127" vbProcedure="false">#REF!</definedName>
    <definedName function="false" hidden="true" name="IQRCompaniesH128" vbProcedure="false">#REF!</definedName>
    <definedName function="false" hidden="true" name="IQRCompaniesH129" vbProcedure="false">#REF!</definedName>
    <definedName function="false" hidden="true" name="IQRCompaniesH13" vbProcedure="false">#REF!</definedName>
    <definedName function="false" hidden="true" name="IQRCompaniesH130" vbProcedure="false">#REF!</definedName>
    <definedName function="false" hidden="true" name="IQRCompaniesH131" vbProcedure="false">#REF!</definedName>
    <definedName function="false" hidden="true" name="IQRCompaniesH132" vbProcedure="false">#REF!</definedName>
    <definedName function="false" hidden="true" name="IQRCompaniesH133" vbProcedure="false">#REF!</definedName>
    <definedName function="false" hidden="true" name="IQRCompaniesH134" vbProcedure="false">#REF!</definedName>
    <definedName function="false" hidden="true" name="IQRCompaniesH135" vbProcedure="false">#REF!</definedName>
    <definedName function="false" hidden="true" name="IQRCompaniesH136" vbProcedure="false">#REF!</definedName>
    <definedName function="false" hidden="true" name="IQRCompaniesH137" vbProcedure="false">#REF!</definedName>
    <definedName function="false" hidden="true" name="IQRCompaniesH138" vbProcedure="false">#REF!</definedName>
    <definedName function="false" hidden="true" name="IQRCompaniesH139" vbProcedure="false">#REF!</definedName>
    <definedName function="false" hidden="true" name="IQRCompaniesH14" vbProcedure="false">#REF!</definedName>
    <definedName function="false" hidden="true" name="IQRCompaniesH140" vbProcedure="false">#REF!</definedName>
    <definedName function="false" hidden="true" name="IQRCompaniesH141" vbProcedure="false">#REF!</definedName>
    <definedName function="false" hidden="true" name="IQRCompaniesH142" vbProcedure="false">#REF!</definedName>
    <definedName function="false" hidden="true" name="IQRCompaniesH143" vbProcedure="false">#REF!</definedName>
    <definedName function="false" hidden="true" name="IQRCompaniesH144" vbProcedure="false">#REF!</definedName>
    <definedName function="false" hidden="true" name="IQRCompaniesH145" vbProcedure="false">#REF!</definedName>
    <definedName function="false" hidden="true" name="IQRCompaniesH146" vbProcedure="false">#REF!</definedName>
    <definedName function="false" hidden="true" name="IQRCompaniesH147" vbProcedure="false">#REF!</definedName>
    <definedName function="false" hidden="true" name="IQRCompaniesH148" vbProcedure="false">#REF!</definedName>
    <definedName function="false" hidden="true" name="IQRCompaniesH149" vbProcedure="false">#REF!</definedName>
    <definedName function="false" hidden="true" name="IQRCompaniesH15" vbProcedure="false">#REF!</definedName>
    <definedName function="false" hidden="true" name="IQRCompaniesH150" vbProcedure="false">#REF!</definedName>
    <definedName function="false" hidden="true" name="IQRCompaniesH151" vbProcedure="false">#REF!</definedName>
    <definedName function="false" hidden="true" name="IQRCompaniesH152" vbProcedure="false">#REF!</definedName>
    <definedName function="false" hidden="true" name="IQRCompaniesH153" vbProcedure="false">#REF!</definedName>
    <definedName function="false" hidden="true" name="IQRCompaniesH154" vbProcedure="false">#REF!</definedName>
    <definedName function="false" hidden="true" name="IQRCompaniesH155" vbProcedure="false">#REF!</definedName>
    <definedName function="false" hidden="true" name="IQRCompaniesH156" vbProcedure="false">#REF!</definedName>
    <definedName function="false" hidden="true" name="IQRCompaniesH157" vbProcedure="false">#REF!</definedName>
    <definedName function="false" hidden="true" name="IQRCompaniesH158" vbProcedure="false">#REF!</definedName>
    <definedName function="false" hidden="true" name="IQRCompaniesH159" vbProcedure="false">#REF!</definedName>
    <definedName function="false" hidden="true" name="IQRCompaniesH16" vbProcedure="false">#REF!</definedName>
    <definedName function="false" hidden="true" name="IQRCompaniesH160" vbProcedure="false">#REF!</definedName>
    <definedName function="false" hidden="true" name="IQRCompaniesH161" vbProcedure="false">#REF!</definedName>
    <definedName function="false" hidden="true" name="IQRCompaniesH162" vbProcedure="false">#REF!</definedName>
    <definedName function="false" hidden="true" name="IQRCompaniesH163" vbProcedure="false">#REF!</definedName>
    <definedName function="false" hidden="true" name="IQRCompaniesH165" vbProcedure="false">#REF!</definedName>
    <definedName function="false" hidden="true" name="IQRCompaniesH166" vbProcedure="false">#REF!</definedName>
    <definedName function="false" hidden="true" name="IQRCompaniesH167" vbProcedure="false">#REF!</definedName>
    <definedName function="false" hidden="true" name="IQRCompaniesH168" vbProcedure="false">#REF!</definedName>
    <definedName function="false" hidden="true" name="IQRCompaniesH169" vbProcedure="false">#REF!</definedName>
    <definedName function="false" hidden="true" name="IQRCompaniesH17" vbProcedure="false">#REF!</definedName>
    <definedName function="false" hidden="true" name="IQRCompaniesH171" vbProcedure="false">#REF!</definedName>
    <definedName function="false" hidden="true" name="IQRCompaniesH172" vbProcedure="false">#REF!</definedName>
    <definedName function="false" hidden="true" name="IQRCompaniesH173" vbProcedure="false">#REF!</definedName>
    <definedName function="false" hidden="true" name="IQRCompaniesH174" vbProcedure="false">#REF!</definedName>
    <definedName function="false" hidden="true" name="IQRCompaniesH175" vbProcedure="false">#REF!</definedName>
    <definedName function="false" hidden="true" name="IQRCompaniesH176" vbProcedure="false">#REF!</definedName>
    <definedName function="false" hidden="true" name="IQRCompaniesH177" vbProcedure="false">#REF!</definedName>
    <definedName function="false" hidden="true" name="IQRCompaniesH178" vbProcedure="false">#REF!</definedName>
    <definedName function="false" hidden="true" name="IQRCompaniesH179" vbProcedure="false">#REF!</definedName>
    <definedName function="false" hidden="true" name="IQRCompaniesH18" vbProcedure="false">#REF!</definedName>
    <definedName function="false" hidden="true" name="IQRCompaniesH180" vbProcedure="false">#REF!</definedName>
    <definedName function="false" hidden="true" name="IQRCompaniesH181" vbProcedure="false">#REF!</definedName>
    <definedName function="false" hidden="true" name="IQRCompaniesH183" vbProcedure="false">#REF!</definedName>
    <definedName function="false" hidden="true" name="IQRCompaniesH184" vbProcedure="false">#REF!</definedName>
    <definedName function="false" hidden="true" name="IQRCompaniesH185" vbProcedure="false">#REF!</definedName>
    <definedName function="false" hidden="true" name="IQRCompaniesH188" vbProcedure="false">#REF!</definedName>
    <definedName function="false" hidden="true" name="IQRCompaniesH189" vbProcedure="false">#REF!</definedName>
    <definedName function="false" hidden="true" name="IQRCompaniesH19" vbProcedure="false">#REF!</definedName>
    <definedName function="false" hidden="true" name="IQRCompaniesH190" vbProcedure="false">#REF!</definedName>
    <definedName function="false" hidden="true" name="IQRCompaniesH192" vbProcedure="false">#REF!</definedName>
    <definedName function="false" hidden="true" name="IQRCompaniesH193" vbProcedure="false">#REF!</definedName>
    <definedName function="false" hidden="true" name="IQRCompaniesH194" vbProcedure="false">#REF!</definedName>
    <definedName function="false" hidden="true" name="IQRCompaniesH195" vbProcedure="false">#REF!</definedName>
    <definedName function="false" hidden="true" name="IQRCompaniesH196" vbProcedure="false">#REF!</definedName>
    <definedName function="false" hidden="true" name="IQRCompaniesH197" vbProcedure="false">#REF!</definedName>
    <definedName function="false" hidden="true" name="IQRCompaniesH198" vbProcedure="false">#REF!</definedName>
    <definedName function="false" hidden="true" name="IQRCompaniesH199" vbProcedure="false">#REF!</definedName>
    <definedName function="false" hidden="true" name="IQRCompaniesH20" vbProcedure="false">#REF!</definedName>
    <definedName function="false" hidden="true" name="IQRCompaniesH200" vbProcedure="false">#REF!</definedName>
    <definedName function="false" hidden="true" name="IQRCompaniesH201" vbProcedure="false">#REF!</definedName>
    <definedName function="false" hidden="true" name="IQRCompaniesH202" vbProcedure="false">#REF!</definedName>
    <definedName function="false" hidden="true" name="IQRCompaniesH203" vbProcedure="false">#REF!</definedName>
    <definedName function="false" hidden="true" name="IQRCompaniesH204" vbProcedure="false">#REF!</definedName>
    <definedName function="false" hidden="true" name="IQRCompaniesH205" vbProcedure="false">#REF!</definedName>
    <definedName function="false" hidden="true" name="IQRCompaniesH206" vbProcedure="false">#REF!</definedName>
    <definedName function="false" hidden="true" name="IQRCompaniesH207" vbProcedure="false">#REF!</definedName>
    <definedName function="false" hidden="true" name="IQRCompaniesH208" vbProcedure="false">#REF!</definedName>
    <definedName function="false" hidden="true" name="IQRCompaniesH209" vbProcedure="false">#REF!</definedName>
    <definedName function="false" hidden="true" name="IQRCompaniesH21" vbProcedure="false">#REF!</definedName>
    <definedName function="false" hidden="true" name="IQRCompaniesH210" vbProcedure="false">#REF!</definedName>
    <definedName function="false" hidden="true" name="IQRCompaniesH212" vbProcedure="false">#REF!</definedName>
    <definedName function="false" hidden="true" name="IQRCompaniesH213" vbProcedure="false">#REF!</definedName>
    <definedName function="false" hidden="true" name="IQRCompaniesH214" vbProcedure="false">#REF!</definedName>
    <definedName function="false" hidden="true" name="IQRCompaniesH215" vbProcedure="false">#REF!</definedName>
    <definedName function="false" hidden="true" name="IQRCompaniesH216" vbProcedure="false">#REF!</definedName>
    <definedName function="false" hidden="true" name="IQRCompaniesH217" vbProcedure="false">#REF!</definedName>
    <definedName function="false" hidden="true" name="IQRCompaniesH218" vbProcedure="false">#REF!</definedName>
    <definedName function="false" hidden="true" name="IQRCompaniesH219" vbProcedure="false">#REF!</definedName>
    <definedName function="false" hidden="true" name="IQRCompaniesH22" vbProcedure="false">#REF!</definedName>
    <definedName function="false" hidden="true" name="IQRCompaniesH220" vbProcedure="false">#REF!</definedName>
    <definedName function="false" hidden="true" name="IQRCompaniesH222" vbProcedure="false">#REF!</definedName>
    <definedName function="false" hidden="true" name="IQRCompaniesH223" vbProcedure="false">#REF!</definedName>
    <definedName function="false" hidden="true" name="IQRCompaniesH224" vbProcedure="false">#REF!</definedName>
    <definedName function="false" hidden="true" name="IQRCompaniesH225" vbProcedure="false">#REF!</definedName>
    <definedName function="false" hidden="true" name="IQRCompaniesH227" vbProcedure="false">#REF!</definedName>
    <definedName function="false" hidden="true" name="IQRCompaniesH228" vbProcedure="false">#REF!</definedName>
    <definedName function="false" hidden="true" name="IQRCompaniesH229" vbProcedure="false">#REF!</definedName>
    <definedName function="false" hidden="true" name="IQRCompaniesH23" vbProcedure="false">#REF!</definedName>
    <definedName function="false" hidden="true" name="IQRCompaniesH230" vbProcedure="false">#REF!</definedName>
    <definedName function="false" hidden="true" name="IQRCompaniesH231" vbProcedure="false">#REF!</definedName>
    <definedName function="false" hidden="true" name="IQRCompaniesH232" vbProcedure="false">#REF!</definedName>
    <definedName function="false" hidden="true" name="IQRCompaniesH233" vbProcedure="false">#REF!</definedName>
    <definedName function="false" hidden="true" name="IQRCompaniesH234" vbProcedure="false">#REF!</definedName>
    <definedName function="false" hidden="true" name="IQRCompaniesH235" vbProcedure="false">#REF!</definedName>
    <definedName function="false" hidden="true" name="IQRCompaniesH236" vbProcedure="false">#REF!</definedName>
    <definedName function="false" hidden="true" name="IQRCompaniesH237" vbProcedure="false">#REF!</definedName>
    <definedName function="false" hidden="true" name="IQRCompaniesH238" vbProcedure="false">#REF!</definedName>
    <definedName function="false" hidden="true" name="IQRCompaniesH239" vbProcedure="false">#REF!</definedName>
    <definedName function="false" hidden="true" name="IQRCompaniesH24" vbProcedure="false">#REF!</definedName>
    <definedName function="false" hidden="true" name="IQRCompaniesH240" vbProcedure="false">#REF!</definedName>
    <definedName function="false" hidden="true" name="IQRCompaniesH241" vbProcedure="false">#REF!</definedName>
    <definedName function="false" hidden="true" name="IQRCompaniesH242" vbProcedure="false">#REF!</definedName>
    <definedName function="false" hidden="true" name="IQRCompaniesH243" vbProcedure="false">#REF!</definedName>
    <definedName function="false" hidden="true" name="IQRCompaniesH244" vbProcedure="false">#REF!</definedName>
    <definedName function="false" hidden="true" name="IQRCompaniesH245" vbProcedure="false">#REF!</definedName>
    <definedName function="false" hidden="true" name="IQRCompaniesH246" vbProcedure="false">#REF!</definedName>
    <definedName function="false" hidden="true" name="IQRCompaniesH247" vbProcedure="false">#REF!</definedName>
    <definedName function="false" hidden="true" name="IQRCompaniesH248" vbProcedure="false">#REF!</definedName>
    <definedName function="false" hidden="true" name="IQRCompaniesH249" vbProcedure="false">#REF!</definedName>
    <definedName function="false" hidden="true" name="IQRCompaniesH25" vbProcedure="false">#REF!</definedName>
    <definedName function="false" hidden="true" name="IQRCompaniesH250" vbProcedure="false">#REF!</definedName>
    <definedName function="false" hidden="true" name="IQRCompaniesH251" vbProcedure="false">#REF!</definedName>
    <definedName function="false" hidden="true" name="IQRCompaniesH252" vbProcedure="false">#REF!</definedName>
    <definedName function="false" hidden="true" name="IQRCompaniesH253" vbProcedure="false">#REF!</definedName>
    <definedName function="false" hidden="true" name="IQRCompaniesH254" vbProcedure="false">#REF!</definedName>
    <definedName function="false" hidden="true" name="IQRCompaniesH255" vbProcedure="false">#REF!</definedName>
    <definedName function="false" hidden="true" name="IQRCompaniesH256" vbProcedure="false">#REF!</definedName>
    <definedName function="false" hidden="true" name="IQRCompaniesH257" vbProcedure="false">#REF!</definedName>
    <definedName function="false" hidden="true" name="IQRCompaniesH258" vbProcedure="false">#REF!</definedName>
    <definedName function="false" hidden="true" name="IQRCompaniesH259" vbProcedure="false">#REF!</definedName>
    <definedName function="false" hidden="true" name="IQRCompaniesH260" vbProcedure="false">#REF!</definedName>
    <definedName function="false" hidden="true" name="IQRCompaniesH261" vbProcedure="false">#REF!</definedName>
    <definedName function="false" hidden="true" name="IQRCompaniesH262" vbProcedure="false">#REF!</definedName>
    <definedName function="false" hidden="true" name="IQRCompaniesH263" vbProcedure="false">#REF!</definedName>
    <definedName function="false" hidden="true" name="IQRCompaniesH265" vbProcedure="false">#REF!</definedName>
    <definedName function="false" hidden="true" name="IQRCompaniesH266" vbProcedure="false">#REF!</definedName>
    <definedName function="false" hidden="true" name="IQRCompaniesH267" vbProcedure="false">#REF!</definedName>
    <definedName function="false" hidden="true" name="IQRCompaniesH269" vbProcedure="false">#REF!</definedName>
    <definedName function="false" hidden="true" name="IQRCompaniesH27" vbProcedure="false">#REF!</definedName>
    <definedName function="false" hidden="true" name="IQRCompaniesH270" vbProcedure="false">#REF!</definedName>
    <definedName function="false" hidden="true" name="IQRCompaniesH271" vbProcedure="false">#REF!</definedName>
    <definedName function="false" hidden="true" name="IQRCompaniesH272" vbProcedure="false">#REF!</definedName>
    <definedName function="false" hidden="true" name="IQRCompaniesH274" vbProcedure="false">#REF!</definedName>
    <definedName function="false" hidden="true" name="IQRCompaniesH275" vbProcedure="false">#REF!</definedName>
    <definedName function="false" hidden="true" name="IQRCompaniesH276" vbProcedure="false">#REF!</definedName>
    <definedName function="false" hidden="true" name="IQRCompaniesH277" vbProcedure="false">#REF!</definedName>
    <definedName function="false" hidden="true" name="IQRCompaniesH278" vbProcedure="false">#REF!</definedName>
    <definedName function="false" hidden="true" name="IQRCompaniesH279" vbProcedure="false">#REF!</definedName>
    <definedName function="false" hidden="true" name="IQRCompaniesH28" vbProcedure="false">#REF!</definedName>
    <definedName function="false" hidden="true" name="IQRCompaniesH280" vbProcedure="false">#REF!</definedName>
    <definedName function="false" hidden="true" name="IQRCompaniesH281" vbProcedure="false">#REF!</definedName>
    <definedName function="false" hidden="true" name="IQRCompaniesH282" vbProcedure="false">#REF!</definedName>
    <definedName function="false" hidden="true" name="IQRCompaniesH29" vbProcedure="false">#REF!</definedName>
    <definedName function="false" hidden="true" name="IQRCompaniesH30" vbProcedure="false">#REF!</definedName>
    <definedName function="false" hidden="true" name="IQRCompaniesH31" vbProcedure="false">#REF!</definedName>
    <definedName function="false" hidden="true" name="IQRCompaniesH32" vbProcedure="false">#REF!</definedName>
    <definedName function="false" hidden="true" name="IQRCompaniesH33" vbProcedure="false">#REF!</definedName>
    <definedName function="false" hidden="true" name="IQRCompaniesH34" vbProcedure="false">#REF!</definedName>
    <definedName function="false" hidden="true" name="IQRCompaniesH35" vbProcedure="false">#REF!</definedName>
    <definedName function="false" hidden="true" name="IQRCompaniesH36" vbProcedure="false">#REF!</definedName>
    <definedName function="false" hidden="true" name="IQRCompaniesH37" vbProcedure="false">#REF!</definedName>
    <definedName function="false" hidden="true" name="IQRCompaniesH38" vbProcedure="false">#REF!</definedName>
    <definedName function="false" hidden="true" name="IQRCompaniesH39" vbProcedure="false">#REF!</definedName>
    <definedName function="false" hidden="true" name="IQRCompaniesH40" vbProcedure="false">#REF!</definedName>
    <definedName function="false" hidden="true" name="IQRCompaniesH41" vbProcedure="false">#REF!</definedName>
    <definedName function="false" hidden="true" name="IQRCompaniesH42" vbProcedure="false">#REF!</definedName>
    <definedName function="false" hidden="true" name="IQRCompaniesH43" vbProcedure="false">#REF!</definedName>
    <definedName function="false" hidden="true" name="IQRCompaniesH45" vbProcedure="false">#REF!</definedName>
    <definedName function="false" hidden="true" name="IQRCompaniesH46" vbProcedure="false">#REF!</definedName>
    <definedName function="false" hidden="true" name="IQRCompaniesH47" vbProcedure="false">#REF!</definedName>
    <definedName function="false" hidden="true" name="IQRCompaniesH48" vbProcedure="false">#REF!</definedName>
    <definedName function="false" hidden="true" name="IQRCompaniesH50" vbProcedure="false">#REF!</definedName>
    <definedName function="false" hidden="true" name="IQRCompaniesH51" vbProcedure="false">#REF!</definedName>
    <definedName function="false" hidden="true" name="IQRCompaniesH52" vbProcedure="false">#REF!</definedName>
    <definedName function="false" hidden="true" name="IQRCompaniesH53" vbProcedure="false">#REF!</definedName>
    <definedName function="false" hidden="true" name="IQRCompaniesH54" vbProcedure="false">#REF!</definedName>
    <definedName function="false" hidden="true" name="IQRCompaniesH55" vbProcedure="false">#REF!</definedName>
    <definedName function="false" hidden="true" name="IQRCompaniesH56" vbProcedure="false">#REF!</definedName>
    <definedName function="false" hidden="true" name="IQRCompaniesH57" vbProcedure="false">#REF!</definedName>
    <definedName function="false" hidden="true" name="IQRCompaniesH58" vbProcedure="false">#REF!</definedName>
    <definedName function="false" hidden="true" name="IQRCompaniesH59" vbProcedure="false">#REF!</definedName>
    <definedName function="false" hidden="true" name="IQRCompaniesH60" vbProcedure="false">#REF!</definedName>
    <definedName function="false" hidden="true" name="IQRCompaniesH61" vbProcedure="false">#REF!</definedName>
    <definedName function="false" hidden="true" name="IQRCompaniesH62" vbProcedure="false">#REF!</definedName>
    <definedName function="false" hidden="true" name="IQRCompaniesH63" vbProcedure="false">#REF!</definedName>
    <definedName function="false" hidden="true" name="IQRCompaniesH64" vbProcedure="false">#REF!</definedName>
    <definedName function="false" hidden="true" name="IQRCompaniesH65" vbProcedure="false">#REF!</definedName>
    <definedName function="false" hidden="true" name="IQRCompaniesH66" vbProcedure="false">#REF!</definedName>
    <definedName function="false" hidden="true" name="IQRCompaniesH67" vbProcedure="false">#REF!</definedName>
    <definedName function="false" hidden="true" name="IQRCompaniesH68" vbProcedure="false">#REF!</definedName>
    <definedName function="false" hidden="true" name="IQRCompaniesH69" vbProcedure="false">#REF!</definedName>
    <definedName function="false" hidden="true" name="IQRCompaniesH70" vbProcedure="false">#REF!</definedName>
    <definedName function="false" hidden="true" name="IQRCompaniesH71" vbProcedure="false">#REF!</definedName>
    <definedName function="false" hidden="true" name="IQRCompaniesH72" vbProcedure="false">#REF!</definedName>
    <definedName function="false" hidden="true" name="IQRCompaniesH73" vbProcedure="false">#REF!</definedName>
    <definedName function="false" hidden="true" name="IQRCompaniesH74" vbProcedure="false">#REF!</definedName>
    <definedName function="false" hidden="true" name="IQRCompaniesH75" vbProcedure="false">#REF!</definedName>
    <definedName function="false" hidden="true" name="IQRCompaniesH76" vbProcedure="false">#REF!</definedName>
    <definedName function="false" hidden="true" name="IQRCompaniesH77" vbProcedure="false">#REF!</definedName>
    <definedName function="false" hidden="true" name="IQRCompaniesH78" vbProcedure="false">#REF!</definedName>
    <definedName function="false" hidden="true" name="IQRCompaniesH79" vbProcedure="false">#REF!</definedName>
    <definedName function="false" hidden="true" name="IQRCompaniesH81" vbProcedure="false">#REF!</definedName>
    <definedName function="false" hidden="true" name="IQRCompaniesH82" vbProcedure="false">#REF!</definedName>
    <definedName function="false" hidden="true" name="IQRCompaniesH83" vbProcedure="false">#REF!</definedName>
    <definedName function="false" hidden="true" name="IQRCompaniesH84" vbProcedure="false">#REF!</definedName>
    <definedName function="false" hidden="true" name="IQRCompaniesH86" vbProcedure="false">#REF!</definedName>
    <definedName function="false" hidden="true" name="IQRCompaniesH87" vbProcedure="false">#REF!</definedName>
    <definedName function="false" hidden="true" name="IQRCompaniesH89" vbProcedure="false">#REF!</definedName>
    <definedName function="false" hidden="true" name="IQRCompaniesH90" vbProcedure="false">#REF!</definedName>
    <definedName function="false" hidden="true" name="IQRCompaniesH91" vbProcedure="false">#REF!</definedName>
    <definedName function="false" hidden="true" name="IQRCompaniesH92" vbProcedure="false">#REF!</definedName>
    <definedName function="false" hidden="true" name="IQRCompaniesH93" vbProcedure="false">#REF!</definedName>
    <definedName function="false" hidden="true" name="IQRCompaniesH94" vbProcedure="false">#REF!</definedName>
    <definedName function="false" hidden="true" name="IQRCompaniesH95" vbProcedure="false">#REF!</definedName>
    <definedName function="false" hidden="true" name="IQRCompaniesH96" vbProcedure="false">#REF!</definedName>
    <definedName function="false" hidden="true" name="IQRCompaniesH97" vbProcedure="false">#REF!</definedName>
    <definedName function="false" hidden="true" name="IQRCompaniesH98" vbProcedure="false">#REF!</definedName>
    <definedName function="false" hidden="true" name="IQRCompaniesH99" vbProcedure="false">#REF!</definedName>
    <definedName function="false" hidden="true" name="IQRCompaniesN100" vbProcedure="false">#REF!</definedName>
    <definedName function="false" hidden="true" name="IQRCompaniesN102" vbProcedure="false">#REF!</definedName>
    <definedName function="false" hidden="true" name="IQRCompaniesN103" vbProcedure="false">#REF!</definedName>
    <definedName function="false" hidden="true" name="IQRCompaniesN104" vbProcedure="false">#REF!</definedName>
    <definedName function="false" hidden="true" name="IQRCompaniesN106" vbProcedure="false">#REF!</definedName>
    <definedName function="false" hidden="true" name="IQRCompaniesN107" vbProcedure="false">#REF!</definedName>
    <definedName function="false" hidden="true" name="IQRCompaniesN108" vbProcedure="false">#REF!</definedName>
    <definedName function="false" hidden="true" name="IQRCompaniesN109" vbProcedure="false">#REF!</definedName>
    <definedName function="false" hidden="true" name="IQRCompaniesN110" vbProcedure="false">#REF!</definedName>
    <definedName function="false" hidden="true" name="IQRCompaniesN111" vbProcedure="false">#REF!</definedName>
    <definedName function="false" hidden="true" name="IQRCompaniesN112" vbProcedure="false">#REF!</definedName>
    <definedName function="false" hidden="true" name="IQRCompaniesN113" vbProcedure="false">#REF!</definedName>
    <definedName function="false" hidden="true" name="IQRCompaniesN114" vbProcedure="false">#REF!</definedName>
    <definedName function="false" hidden="true" name="IQRCompaniesN115" vbProcedure="false">#REF!</definedName>
    <definedName function="false" hidden="true" name="IQRCompaniesN117" vbProcedure="false">#REF!</definedName>
    <definedName function="false" hidden="true" name="IQRCompaniesN118" vbProcedure="false">#REF!</definedName>
    <definedName function="false" hidden="true" name="IQRCompaniesN119" vbProcedure="false">#REF!</definedName>
    <definedName function="false" hidden="true" name="IQRCompaniesN12" vbProcedure="false">#REF!</definedName>
    <definedName function="false" hidden="true" name="IQRCompaniesN120" vbProcedure="false">#REF!</definedName>
    <definedName function="false" hidden="true" name="IQRCompaniesN121" vbProcedure="false">#REF!</definedName>
    <definedName function="false" hidden="true" name="IQRCompaniesN122" vbProcedure="false">#REF!</definedName>
    <definedName function="false" hidden="true" name="IQRCompaniesN123" vbProcedure="false">#REF!</definedName>
    <definedName function="false" hidden="true" name="IQRCompaniesN124" vbProcedure="false">#REF!</definedName>
    <definedName function="false" hidden="true" name="IQRCompaniesN125" vbProcedure="false">#REF!</definedName>
    <definedName function="false" hidden="true" name="IQRCompaniesN126" vbProcedure="false">#REF!</definedName>
    <definedName function="false" hidden="true" name="IQRCompaniesN127" vbProcedure="false">#REF!</definedName>
    <definedName function="false" hidden="true" name="IQRCompaniesN128" vbProcedure="false">#REF!</definedName>
    <definedName function="false" hidden="true" name="IQRCompaniesN129" vbProcedure="false">#REF!</definedName>
    <definedName function="false" hidden="true" name="IQRCompaniesN13" vbProcedure="false">#REF!</definedName>
    <definedName function="false" hidden="true" name="IQRCompaniesN130" vbProcedure="false">#REF!</definedName>
    <definedName function="false" hidden="true" name="IQRCompaniesN131" vbProcedure="false">#REF!</definedName>
    <definedName function="false" hidden="true" name="IQRCompaniesN132" vbProcedure="false">#REF!</definedName>
    <definedName function="false" hidden="true" name="IQRCompaniesN133" vbProcedure="false">#REF!</definedName>
    <definedName function="false" hidden="true" name="IQRCompaniesN134" vbProcedure="false">#REF!</definedName>
    <definedName function="false" hidden="true" name="IQRCompaniesN135" vbProcedure="false">#REF!</definedName>
    <definedName function="false" hidden="true" name="IQRCompaniesN136" vbProcedure="false">#REF!</definedName>
    <definedName function="false" hidden="true" name="IQRCompaniesN137" vbProcedure="false">#REF!</definedName>
    <definedName function="false" hidden="true" name="IQRCompaniesN138" vbProcedure="false">#REF!</definedName>
    <definedName function="false" hidden="true" name="IQRCompaniesN139" vbProcedure="false">#REF!</definedName>
    <definedName function="false" hidden="true" name="IQRCompaniesN14" vbProcedure="false">#REF!</definedName>
    <definedName function="false" hidden="true" name="IQRCompaniesN140" vbProcedure="false">#REF!</definedName>
    <definedName function="false" hidden="true" name="IQRCompaniesN141" vbProcedure="false">#REF!</definedName>
    <definedName function="false" hidden="true" name="IQRCompaniesN142" vbProcedure="false">#REF!</definedName>
    <definedName function="false" hidden="true" name="IQRCompaniesN143" vbProcedure="false">#REF!</definedName>
    <definedName function="false" hidden="true" name="IQRCompaniesN144" vbProcedure="false">#REF!</definedName>
    <definedName function="false" hidden="true" name="IQRCompaniesN145" vbProcedure="false">#REF!</definedName>
    <definedName function="false" hidden="true" name="IQRCompaniesN146" vbProcedure="false">#REF!</definedName>
    <definedName function="false" hidden="true" name="IQRCompaniesN147" vbProcedure="false">#REF!</definedName>
    <definedName function="false" hidden="true" name="IQRCompaniesN148" vbProcedure="false">#REF!</definedName>
    <definedName function="false" hidden="true" name="IQRCompaniesN149" vbProcedure="false">#REF!</definedName>
    <definedName function="false" hidden="true" name="IQRCompaniesN15" vbProcedure="false">#REF!</definedName>
    <definedName function="false" hidden="true" name="IQRCompaniesN150" vbProcedure="false">#REF!</definedName>
    <definedName function="false" hidden="true" name="IQRCompaniesN151" vbProcedure="false">#REF!</definedName>
    <definedName function="false" hidden="true" name="IQRCompaniesN152" vbProcedure="false">#REF!</definedName>
    <definedName function="false" hidden="true" name="IQRCompaniesN153" vbProcedure="false">#REF!</definedName>
    <definedName function="false" hidden="true" name="IQRCompaniesN154" vbProcedure="false">#REF!</definedName>
    <definedName function="false" hidden="true" name="IQRCompaniesN155" vbProcedure="false">#REF!</definedName>
    <definedName function="false" hidden="true" name="IQRCompaniesN156" vbProcedure="false">#REF!</definedName>
    <definedName function="false" hidden="true" name="IQRCompaniesN157" vbProcedure="false">#REF!</definedName>
    <definedName function="false" hidden="true" name="IQRCompaniesN158" vbProcedure="false">#REF!</definedName>
    <definedName function="false" hidden="true" name="IQRCompaniesN159" vbProcedure="false">#REF!</definedName>
    <definedName function="false" hidden="true" name="IQRCompaniesN16" vbProcedure="false">#REF!</definedName>
    <definedName function="false" hidden="true" name="IQRCompaniesN160" vbProcedure="false">#REF!</definedName>
    <definedName function="false" hidden="true" name="IQRCompaniesN161" vbProcedure="false">#REF!</definedName>
    <definedName function="false" hidden="true" name="IQRCompaniesN162" vbProcedure="false">#REF!</definedName>
    <definedName function="false" hidden="true" name="IQRCompaniesN163" vbProcedure="false">#REF!</definedName>
    <definedName function="false" hidden="true" name="IQRCompaniesN165" vbProcedure="false">#REF!</definedName>
    <definedName function="false" hidden="true" name="IQRCompaniesN166" vbProcedure="false">#REF!</definedName>
    <definedName function="false" hidden="true" name="IQRCompaniesN167" vbProcedure="false">#REF!</definedName>
    <definedName function="false" hidden="true" name="IQRCompaniesN168" vbProcedure="false">#REF!</definedName>
    <definedName function="false" hidden="true" name="IQRCompaniesN169" vbProcedure="false">#REF!</definedName>
    <definedName function="false" hidden="true" name="IQRCompaniesN17" vbProcedure="false">#REF!</definedName>
    <definedName function="false" hidden="true" name="IQRCompaniesN171" vbProcedure="false">#REF!</definedName>
    <definedName function="false" hidden="true" name="IQRCompaniesN172" vbProcedure="false">#REF!</definedName>
    <definedName function="false" hidden="true" name="IQRCompaniesN173" vbProcedure="false">#REF!</definedName>
    <definedName function="false" hidden="true" name="IQRCompaniesN174" vbProcedure="false">#REF!</definedName>
    <definedName function="false" hidden="true" name="IQRCompaniesN175" vbProcedure="false">#REF!</definedName>
    <definedName function="false" hidden="true" name="IQRCompaniesN176" vbProcedure="false">#REF!</definedName>
    <definedName function="false" hidden="true" name="IQRCompaniesN177" vbProcedure="false">#REF!</definedName>
    <definedName function="false" hidden="true" name="IQRCompaniesN178" vbProcedure="false">#REF!</definedName>
    <definedName function="false" hidden="true" name="IQRCompaniesN179" vbProcedure="false">#REF!</definedName>
    <definedName function="false" hidden="true" name="IQRCompaniesN18" vbProcedure="false">#REF!</definedName>
    <definedName function="false" hidden="true" name="IQRCompaniesN180" vbProcedure="false">#REF!</definedName>
    <definedName function="false" hidden="true" name="IQRCompaniesN181" vbProcedure="false">#REF!</definedName>
    <definedName function="false" hidden="true" name="IQRCompaniesN183" vbProcedure="false">#REF!</definedName>
    <definedName function="false" hidden="true" name="IQRCompaniesN184" vbProcedure="false">#REF!</definedName>
    <definedName function="false" hidden="true" name="IQRCompaniesN185" vbProcedure="false">#REF!</definedName>
    <definedName function="false" hidden="true" name="IQRCompaniesN188" vbProcedure="false">#REF!</definedName>
    <definedName function="false" hidden="true" name="IQRCompaniesN189" vbProcedure="false">#REF!</definedName>
    <definedName function="false" hidden="true" name="IQRCompaniesN19" vbProcedure="false">#REF!</definedName>
    <definedName function="false" hidden="true" name="IQRCompaniesN190" vbProcedure="false">#REF!</definedName>
    <definedName function="false" hidden="true" name="IQRCompaniesN192" vbProcedure="false">#REF!</definedName>
    <definedName function="false" hidden="true" name="IQRCompaniesN193" vbProcedure="false">#REF!</definedName>
    <definedName function="false" hidden="true" name="IQRCompaniesN194" vbProcedure="false">#REF!</definedName>
    <definedName function="false" hidden="true" name="IQRCompaniesN195" vbProcedure="false">#REF!</definedName>
    <definedName function="false" hidden="true" name="IQRCompaniesN196" vbProcedure="false">#REF!</definedName>
    <definedName function="false" hidden="true" name="IQRCompaniesN197" vbProcedure="false">#REF!</definedName>
    <definedName function="false" hidden="true" name="IQRCompaniesN198" vbProcedure="false">#REF!</definedName>
    <definedName function="false" hidden="true" name="IQRCompaniesN199" vbProcedure="false">#REF!</definedName>
    <definedName function="false" hidden="true" name="IQRCompaniesN20" vbProcedure="false">#REF!</definedName>
    <definedName function="false" hidden="true" name="IQRCompaniesN200" vbProcedure="false">#REF!</definedName>
    <definedName function="false" hidden="true" name="IQRCompaniesN201" vbProcedure="false">#REF!</definedName>
    <definedName function="false" hidden="true" name="IQRCompaniesN202" vbProcedure="false">#REF!</definedName>
    <definedName function="false" hidden="true" name="IQRCompaniesN203" vbProcedure="false">#REF!</definedName>
    <definedName function="false" hidden="true" name="IQRCompaniesN204" vbProcedure="false">#REF!</definedName>
    <definedName function="false" hidden="true" name="IQRCompaniesN205" vbProcedure="false">#REF!</definedName>
    <definedName function="false" hidden="true" name="IQRCompaniesN206" vbProcedure="false">#REF!</definedName>
    <definedName function="false" hidden="true" name="IQRCompaniesN207" vbProcedure="false">#REF!</definedName>
    <definedName function="false" hidden="true" name="IQRCompaniesN208" vbProcedure="false">#REF!</definedName>
    <definedName function="false" hidden="true" name="IQRCompaniesN209" vbProcedure="false">#REF!</definedName>
    <definedName function="false" hidden="true" name="IQRCompaniesN21" vbProcedure="false">#REF!</definedName>
    <definedName function="false" hidden="true" name="IQRCompaniesN210" vbProcedure="false">#REF!</definedName>
    <definedName function="false" hidden="true" name="IQRCompaniesN212" vbProcedure="false">#REF!</definedName>
    <definedName function="false" hidden="true" name="IQRCompaniesN213" vbProcedure="false">#REF!</definedName>
    <definedName function="false" hidden="true" name="IQRCompaniesN214" vbProcedure="false">#REF!</definedName>
    <definedName function="false" hidden="true" name="IQRCompaniesN215" vbProcedure="false">#REF!</definedName>
    <definedName function="false" hidden="true" name="IQRCompaniesN216" vbProcedure="false">#REF!</definedName>
    <definedName function="false" hidden="true" name="IQRCompaniesN217" vbProcedure="false">#REF!</definedName>
    <definedName function="false" hidden="true" name="IQRCompaniesN218" vbProcedure="false">#REF!</definedName>
    <definedName function="false" hidden="true" name="IQRCompaniesN219" vbProcedure="false">#REF!</definedName>
    <definedName function="false" hidden="true" name="IQRCompaniesN22" vbProcedure="false">#REF!</definedName>
    <definedName function="false" hidden="true" name="IQRCompaniesN220" vbProcedure="false">#REF!</definedName>
    <definedName function="false" hidden="true" name="IQRCompaniesN222" vbProcedure="false">#REF!</definedName>
    <definedName function="false" hidden="true" name="IQRCompaniesN223" vbProcedure="false">#REF!</definedName>
    <definedName function="false" hidden="true" name="IQRCompaniesN224" vbProcedure="false">#REF!</definedName>
    <definedName function="false" hidden="true" name="IQRCompaniesN225" vbProcedure="false">#REF!</definedName>
    <definedName function="false" hidden="true" name="IQRCompaniesN227" vbProcedure="false">#REF!</definedName>
    <definedName function="false" hidden="true" name="IQRCompaniesN228" vbProcedure="false">#REF!</definedName>
    <definedName function="false" hidden="true" name="IQRCompaniesN229" vbProcedure="false">#REF!</definedName>
    <definedName function="false" hidden="true" name="IQRCompaniesN23" vbProcedure="false">#REF!</definedName>
    <definedName function="false" hidden="true" name="IQRCompaniesN230" vbProcedure="false">#REF!</definedName>
    <definedName function="false" hidden="true" name="IQRCompaniesN231" vbProcedure="false">#REF!</definedName>
    <definedName function="false" hidden="true" name="IQRCompaniesN232" vbProcedure="false">#REF!</definedName>
    <definedName function="false" hidden="true" name="IQRCompaniesN233" vbProcedure="false">#REF!</definedName>
    <definedName function="false" hidden="true" name="IQRCompaniesN234" vbProcedure="false">#REF!</definedName>
    <definedName function="false" hidden="true" name="IQRCompaniesN235" vbProcedure="false">#REF!</definedName>
    <definedName function="false" hidden="true" name="IQRCompaniesN236" vbProcedure="false">#REF!</definedName>
    <definedName function="false" hidden="true" name="IQRCompaniesN237" vbProcedure="false">#REF!</definedName>
    <definedName function="false" hidden="true" name="IQRCompaniesN238" vbProcedure="false">#REF!</definedName>
    <definedName function="false" hidden="true" name="IQRCompaniesN239" vbProcedure="false">#REF!</definedName>
    <definedName function="false" hidden="true" name="IQRCompaniesN24" vbProcedure="false">#REF!</definedName>
    <definedName function="false" hidden="true" name="IQRCompaniesN240" vbProcedure="false">#REF!</definedName>
    <definedName function="false" hidden="true" name="IQRCompaniesN241" vbProcedure="false">#REF!</definedName>
    <definedName function="false" hidden="true" name="IQRCompaniesN242" vbProcedure="false">#REF!</definedName>
    <definedName function="false" hidden="true" name="IQRCompaniesN243" vbProcedure="false">#REF!</definedName>
    <definedName function="false" hidden="true" name="IQRCompaniesN244" vbProcedure="false">#REF!</definedName>
    <definedName function="false" hidden="true" name="IQRCompaniesN245" vbProcedure="false">#REF!</definedName>
    <definedName function="false" hidden="true" name="IQRCompaniesN246" vbProcedure="false">#REF!</definedName>
    <definedName function="false" hidden="true" name="IQRCompaniesN247" vbProcedure="false">#REF!</definedName>
    <definedName function="false" hidden="true" name="IQRCompaniesN248" vbProcedure="false">#REF!</definedName>
    <definedName function="false" hidden="true" name="IQRCompaniesN249" vbProcedure="false">#REF!</definedName>
    <definedName function="false" hidden="true" name="IQRCompaniesN25" vbProcedure="false">#REF!</definedName>
    <definedName function="false" hidden="true" name="IQRCompaniesN250" vbProcedure="false">#REF!</definedName>
    <definedName function="false" hidden="true" name="IQRCompaniesN251" vbProcedure="false">#REF!</definedName>
    <definedName function="false" hidden="true" name="IQRCompaniesN252" vbProcedure="false">#REF!</definedName>
    <definedName function="false" hidden="true" name="IQRCompaniesN253" vbProcedure="false">#REF!</definedName>
    <definedName function="false" hidden="true" name="IQRCompaniesN254" vbProcedure="false">#REF!</definedName>
    <definedName function="false" hidden="true" name="IQRCompaniesN255" vbProcedure="false">#REF!</definedName>
    <definedName function="false" hidden="true" name="IQRCompaniesN256" vbProcedure="false">#REF!</definedName>
    <definedName function="false" hidden="true" name="IQRCompaniesN257" vbProcedure="false">#REF!</definedName>
    <definedName function="false" hidden="true" name="IQRCompaniesN258" vbProcedure="false">#REF!</definedName>
    <definedName function="false" hidden="true" name="IQRCompaniesN259" vbProcedure="false">#REF!</definedName>
    <definedName function="false" hidden="true" name="IQRCompaniesN260" vbProcedure="false">#REF!</definedName>
    <definedName function="false" hidden="true" name="IQRCompaniesN261" vbProcedure="false">#REF!</definedName>
    <definedName function="false" hidden="true" name="IQRCompaniesN262" vbProcedure="false">#REF!</definedName>
    <definedName function="false" hidden="true" name="IQRCompaniesN263" vbProcedure="false">#REF!</definedName>
    <definedName function="false" hidden="true" name="IQRCompaniesN265" vbProcedure="false">#REF!</definedName>
    <definedName function="false" hidden="true" name="IQRCompaniesN266" vbProcedure="false">#REF!</definedName>
    <definedName function="false" hidden="true" name="IQRCompaniesN267" vbProcedure="false">#REF!</definedName>
    <definedName function="false" hidden="true" name="IQRCompaniesN269" vbProcedure="false">#REF!</definedName>
    <definedName function="false" hidden="true" name="IQRCompaniesN27" vbProcedure="false">#REF!</definedName>
    <definedName function="false" hidden="true" name="IQRCompaniesN270" vbProcedure="false">#REF!</definedName>
    <definedName function="false" hidden="true" name="IQRCompaniesN271" vbProcedure="false">#REF!</definedName>
    <definedName function="false" hidden="true" name="IQRCompaniesN272" vbProcedure="false">#REF!</definedName>
    <definedName function="false" hidden="true" name="IQRCompaniesN274" vbProcedure="false">#REF!</definedName>
    <definedName function="false" hidden="true" name="IQRCompaniesN275" vbProcedure="false">#REF!</definedName>
    <definedName function="false" hidden="true" name="IQRCompaniesN276" vbProcedure="false">#REF!</definedName>
    <definedName function="false" hidden="true" name="IQRCompaniesN277" vbProcedure="false">#REF!</definedName>
    <definedName function="false" hidden="true" name="IQRCompaniesN278" vbProcedure="false">#REF!</definedName>
    <definedName function="false" hidden="true" name="IQRCompaniesN279" vbProcedure="false">#REF!</definedName>
    <definedName function="false" hidden="true" name="IQRCompaniesN28" vbProcedure="false">#REF!</definedName>
    <definedName function="false" hidden="true" name="IQRCompaniesN280" vbProcedure="false">#REF!</definedName>
    <definedName function="false" hidden="true" name="IQRCompaniesN281" vbProcedure="false">#REF!</definedName>
    <definedName function="false" hidden="true" name="IQRCompaniesN282" vbProcedure="false">#REF!</definedName>
    <definedName function="false" hidden="true" name="IQRCompaniesN29" vbProcedure="false">#REF!</definedName>
    <definedName function="false" hidden="true" name="IQRCompaniesN30" vbProcedure="false">#REF!</definedName>
    <definedName function="false" hidden="true" name="IQRCompaniesN31" vbProcedure="false">#REF!</definedName>
    <definedName function="false" hidden="true" name="IQRCompaniesN32" vbProcedure="false">#REF!</definedName>
    <definedName function="false" hidden="true" name="IQRCompaniesN33" vbProcedure="false">#REF!</definedName>
    <definedName function="false" hidden="true" name="IQRCompaniesN34" vbProcedure="false">#REF!</definedName>
    <definedName function="false" hidden="true" name="IQRCompaniesN35" vbProcedure="false">#REF!</definedName>
    <definedName function="false" hidden="true" name="IQRCompaniesN36" vbProcedure="false">#REF!</definedName>
    <definedName function="false" hidden="true" name="IQRCompaniesN37" vbProcedure="false">#REF!</definedName>
    <definedName function="false" hidden="true" name="IQRCompaniesN38" vbProcedure="false">#REF!</definedName>
    <definedName function="false" hidden="true" name="IQRCompaniesN39" vbProcedure="false">#REF!</definedName>
    <definedName function="false" hidden="true" name="IQRCompaniesN40" vbProcedure="false">#REF!</definedName>
    <definedName function="false" hidden="true" name="IQRCompaniesN41" vbProcedure="false">#REF!</definedName>
    <definedName function="false" hidden="true" name="IQRCompaniesN42" vbProcedure="false">#REF!</definedName>
    <definedName function="false" hidden="true" name="IQRCompaniesN43" vbProcedure="false">#REF!</definedName>
    <definedName function="false" hidden="true" name="IQRCompaniesN45" vbProcedure="false">#REF!</definedName>
    <definedName function="false" hidden="true" name="IQRCompaniesN46" vbProcedure="false">#REF!</definedName>
    <definedName function="false" hidden="true" name="IQRCompaniesN47" vbProcedure="false">#REF!</definedName>
    <definedName function="false" hidden="true" name="IQRCompaniesN48" vbProcedure="false">#REF!</definedName>
    <definedName function="false" hidden="true" name="IQRCompaniesN50" vbProcedure="false">#REF!</definedName>
    <definedName function="false" hidden="true" name="IQRCompaniesN51" vbProcedure="false">#REF!</definedName>
    <definedName function="false" hidden="true" name="IQRCompaniesN52" vbProcedure="false">#REF!</definedName>
    <definedName function="false" hidden="true" name="IQRCompaniesN53" vbProcedure="false">#REF!</definedName>
    <definedName function="false" hidden="true" name="IQRCompaniesN54" vbProcedure="false">#REF!</definedName>
    <definedName function="false" hidden="true" name="IQRCompaniesN55" vbProcedure="false">#REF!</definedName>
    <definedName function="false" hidden="true" name="IQRCompaniesN56" vbProcedure="false">#REF!</definedName>
    <definedName function="false" hidden="true" name="IQRCompaniesN57" vbProcedure="false">#REF!</definedName>
    <definedName function="false" hidden="true" name="IQRCompaniesN58" vbProcedure="false">#REF!</definedName>
    <definedName function="false" hidden="true" name="IQRCompaniesN59" vbProcedure="false">#REF!</definedName>
    <definedName function="false" hidden="true" name="IQRCompaniesN60" vbProcedure="false">#REF!</definedName>
    <definedName function="false" hidden="true" name="IQRCompaniesN61" vbProcedure="false">#REF!</definedName>
    <definedName function="false" hidden="true" name="IQRCompaniesN62" vbProcedure="false">#REF!</definedName>
    <definedName function="false" hidden="true" name="IQRCompaniesN63" vbProcedure="false">#REF!</definedName>
    <definedName function="false" hidden="true" name="IQRCompaniesN64" vbProcedure="false">#REF!</definedName>
    <definedName function="false" hidden="true" name="IQRCompaniesN65" vbProcedure="false">#REF!</definedName>
    <definedName function="false" hidden="true" name="IQRCompaniesN66" vbProcedure="false">#REF!</definedName>
    <definedName function="false" hidden="true" name="IQRCompaniesN67" vbProcedure="false">#REF!</definedName>
    <definedName function="false" hidden="true" name="IQRCompaniesN68" vbProcedure="false">#REF!</definedName>
    <definedName function="false" hidden="true" name="IQRCompaniesN69" vbProcedure="false">#REF!</definedName>
    <definedName function="false" hidden="true" name="IQRCompaniesN70" vbProcedure="false">#REF!</definedName>
    <definedName function="false" hidden="true" name="IQRCompaniesN71" vbProcedure="false">#REF!</definedName>
    <definedName function="false" hidden="true" name="IQRCompaniesN72" vbProcedure="false">#REF!</definedName>
    <definedName function="false" hidden="true" name="IQRCompaniesN73" vbProcedure="false">#REF!</definedName>
    <definedName function="false" hidden="true" name="IQRCompaniesN74" vbProcedure="false">#REF!</definedName>
    <definedName function="false" hidden="true" name="IQRCompaniesN75" vbProcedure="false">#REF!</definedName>
    <definedName function="false" hidden="true" name="IQRCompaniesN76" vbProcedure="false">#REF!</definedName>
    <definedName function="false" hidden="true" name="IQRCompaniesN77" vbProcedure="false">#REF!</definedName>
    <definedName function="false" hidden="true" name="IQRCompaniesN78" vbProcedure="false">#REF!</definedName>
    <definedName function="false" hidden="true" name="IQRCompaniesN79" vbProcedure="false">#REF!</definedName>
    <definedName function="false" hidden="true" name="IQRCompaniesN81" vbProcedure="false">#REF!</definedName>
    <definedName function="false" hidden="true" name="IQRCompaniesN82" vbProcedure="false">#REF!</definedName>
    <definedName function="false" hidden="true" name="IQRCompaniesN83" vbProcedure="false">#REF!</definedName>
    <definedName function="false" hidden="true" name="IQRCompaniesN84" vbProcedure="false">#REF!</definedName>
    <definedName function="false" hidden="true" name="IQRCompaniesN86" vbProcedure="false">#REF!</definedName>
    <definedName function="false" hidden="true" name="IQRCompaniesN87" vbProcedure="false">#REF!</definedName>
    <definedName function="false" hidden="true" name="IQRCompaniesN89" vbProcedure="false">#REF!</definedName>
    <definedName function="false" hidden="true" name="IQRCompaniesN90" vbProcedure="false">#REF!</definedName>
    <definedName function="false" hidden="true" name="IQRCompaniesN91" vbProcedure="false">#REF!</definedName>
    <definedName function="false" hidden="true" name="IQRCompaniesN92" vbProcedure="false">#REF!</definedName>
    <definedName function="false" hidden="true" name="IQRCompaniesN93" vbProcedure="false">#REF!</definedName>
    <definedName function="false" hidden="true" name="IQRCompaniesN94" vbProcedure="false">#REF!</definedName>
    <definedName function="false" hidden="true" name="IQRCompaniesN95" vbProcedure="false">#REF!</definedName>
    <definedName function="false" hidden="true" name="IQRCompaniesN96" vbProcedure="false">#REF!</definedName>
    <definedName function="false" hidden="true" name="IQRCompaniesN97" vbProcedure="false">#REF!</definedName>
    <definedName function="false" hidden="true" name="IQRCompaniesN98" vbProcedure="false">#REF!</definedName>
    <definedName function="false" hidden="true" name="IQRCompaniesN99" vbProcedure="false">#REF!</definedName>
    <definedName function="false" hidden="true" name="IQRD15" vbProcedure="false">"$D$16:$D$17"</definedName>
    <definedName function="false" hidden="true" name="IQRD17" vbProcedure="false">"$D$18"</definedName>
    <definedName function="false" hidden="true" name="IQRD19" vbProcedure="false">"$D$20:$D$24"</definedName>
    <definedName function="false" hidden="false" name="IQRD5" vbProcedure="false">"$D$6:$D$426"</definedName>
    <definedName function="false" hidden="true" name="IQRE13" vbProcedure="false">"$E$14"</definedName>
    <definedName function="false" hidden="true" name="IQRE34" vbProcedure="false">"$E$35:$E$60"</definedName>
    <definedName function="false" hidden="true" name="IQRE5" vbProcedure="false">"$E$6:$E$9"</definedName>
    <definedName function="false" hidden="true" name="IQRF12" vbProcedure="false">"$F$13"</definedName>
    <definedName function="false" hidden="true" name="IQRF13" vbProcedure="false">"$F$14"</definedName>
    <definedName function="false" hidden="true" name="IQRFUELTradingdataA2" vbProcedure="false">#REF!</definedName>
    <definedName function="false" hidden="true" name="IQRFUELTradingdataB2" vbProcedure="false">#REF!</definedName>
    <definedName function="false" hidden="true" name="IQRFUELTradingdataC2" vbProcedure="false">#REF!</definedName>
    <definedName function="false" hidden="true" name="IQRFXAdjustmentDetailBU3" vbProcedure="false">#REF!</definedName>
    <definedName function="false" hidden="true" name="IQRFXAdjustmentDetailBU56" vbProcedure="false">#REF!</definedName>
    <definedName function="false" hidden="true" name="IQRFXAdjustmentDetailBV3" vbProcedure="false">#REF!</definedName>
    <definedName function="false" hidden="true" name="IQRFXAdjustmentDetailBV56" vbProcedure="false">#REF!</definedName>
    <definedName function="false" hidden="true" name="IQRG12" vbProcedure="false">"$G$13"</definedName>
    <definedName function="false" hidden="true" name="IQRGF44" vbProcedure="false">"$GF$45:$GF$88"</definedName>
    <definedName function="false" hidden="true" name="IQRH12" vbProcedure="false">"$H$13"</definedName>
    <definedName function="false" hidden="true" name="IQRHistoricalSalesT2" vbProcedure="false">#REF!</definedName>
    <definedName function="false" hidden="true" name="IQRHistoricalSalesU2" vbProcedure="false">#REF!</definedName>
    <definedName function="false" hidden="true" name="IQRHistoricTradingMultiplesAA4" vbProcedure="false">#REF!</definedName>
    <definedName function="false" hidden="true" name="IQRHistoricTradingMultiplesAB4" vbProcedure="false">#REF!</definedName>
    <definedName function="false" hidden="true" name="IQRHistoricTradingMultiplesAC4" vbProcedure="false">#REF!</definedName>
    <definedName function="false" hidden="true" name="IQRHistoricTradingMultiplesAE4" vbProcedure="false">#REF!</definedName>
    <definedName function="false" hidden="true" name="IQRHistoricTradingMultiplesAF4" vbProcedure="false">#REF!</definedName>
    <definedName function="false" hidden="true" name="IQRHistoricTradingMultiplesAG4" vbProcedure="false">#REF!</definedName>
    <definedName function="false" hidden="true" name="IQRHistoricTradingMultiplesAI4" vbProcedure="false">#REF!</definedName>
    <definedName function="false" hidden="true" name="IQRHistoricTradingMultiplesAJ4" vbProcedure="false">#REF!</definedName>
    <definedName function="false" hidden="true" name="IQRHistoricTradingMultiplesAK4" vbProcedure="false">#REF!</definedName>
    <definedName function="false" hidden="true" name="IQRHistoricTradingMultiplesAM4" vbProcedure="false">#REF!</definedName>
    <definedName function="false" hidden="true" name="IQRHistoricTradingMultiplesAN4" vbProcedure="false">#REF!</definedName>
    <definedName function="false" hidden="true" name="IQRHistoricTradingMultiplesAO4" vbProcedure="false">#REF!</definedName>
    <definedName function="false" hidden="true" name="IQRHistoricTradingMultiplesAQ4" vbProcedure="false">#REF!</definedName>
    <definedName function="false" hidden="true" name="IQRHistoricTradingMultiplesAR4" vbProcedure="false">#REF!</definedName>
    <definedName function="false" hidden="true" name="IQRHistoricTradingMultiplesAS4" vbProcedure="false">#REF!</definedName>
    <definedName function="false" hidden="true" name="IQRHistoricTradingMultiplesB4" vbProcedure="false">#REF!</definedName>
    <definedName function="false" hidden="true" name="IQRHistoricTradingMultiplesC4" vbProcedure="false">#REF!</definedName>
    <definedName function="false" hidden="true" name="IQRHistoricTradingMultiplesD4" vbProcedure="false">#REF!</definedName>
    <definedName function="false" hidden="true" name="IQRHistoricTradingMultiplesE4" vbProcedure="false">#REF!</definedName>
    <definedName function="false" hidden="true" name="IQRHistoricTradingMultiplesO4" vbProcedure="false">#REF!</definedName>
    <definedName function="false" hidden="true" name="IQRHistoricTradingMultiplesP4" vbProcedure="false">#REF!</definedName>
    <definedName function="false" hidden="true" name="IQRHistoricTradingMultiplesQ4" vbProcedure="false">#REF!</definedName>
    <definedName function="false" hidden="true" name="IQRHistoricTradingMultiplesS4" vbProcedure="false">#REF!</definedName>
    <definedName function="false" hidden="true" name="IQRHistoricTradingMultiplesT4" vbProcedure="false">#REF!</definedName>
    <definedName function="false" hidden="true" name="IQRHistoricTradingMultiplesU4" vbProcedure="false">#REF!</definedName>
    <definedName function="false" hidden="true" name="IQRHistoricTradingMultiplesW4" vbProcedure="false">#REF!</definedName>
    <definedName function="false" hidden="true" name="IQRHistoricTradingMultiplesX4" vbProcedure="false">#REF!</definedName>
    <definedName function="false" hidden="true" name="IQRHistoricTradingMultiplesY4" vbProcedure="false">#REF!</definedName>
    <definedName function="false" hidden="true" name="IQRI12" vbProcedure="false">"$I$13"</definedName>
    <definedName function="false" hidden="true" name="IQRI13" vbProcedure="false">"$I$14"</definedName>
    <definedName function="false" hidden="true" name="IQRIBMA2" vbProcedure="false">#REF!</definedName>
    <definedName function="false" hidden="true" name="IQRIBMB2" vbProcedure="false">#REF!</definedName>
    <definedName function="false" hidden="true" name="IQRIBMC2" vbProcedure="false">#REF!</definedName>
    <definedName function="false" hidden="true" name="IQRImpliedvaluationD25" vbProcedure="false">#REF!</definedName>
    <definedName function="false" hidden="true" name="IQRImpliedvaluationT17" vbProcedure="false">#REF!</definedName>
    <definedName function="false" hidden="true" name="IQRImpliedvaluationV17" vbProcedure="false">#REF!</definedName>
    <definedName function="false" hidden="true" name="IQRINFATradingdata2A2" vbProcedure="false">#REF!</definedName>
    <definedName function="false" hidden="true" name="IQRINFATradingdata2B2" vbProcedure="false">#REF!</definedName>
    <definedName function="false" hidden="true" name="IQRINFATradingdata2C2" vbProcedure="false">#REF!</definedName>
    <definedName function="false" hidden="true" name="IQRINFATradingdataA2" vbProcedure="false">#REF!</definedName>
    <definedName function="false" hidden="true" name="IQRINFATradingdataB2" vbProcedure="false">#REF!</definedName>
    <definedName function="false" hidden="true" name="IQRINFATradingdataC2" vbProcedure="false">#REF!</definedName>
    <definedName function="false" hidden="true" name="IQRJ12" vbProcedure="false">"$J$13"</definedName>
    <definedName function="false" hidden="true" name="IQRK12" vbProcedure="false">"$K$13"</definedName>
    <definedName function="false" hidden="true" name="IQRK13" vbProcedure="false">"$K$14:$K$21"</definedName>
    <definedName function="false" hidden="true" name="IQRL12" vbProcedure="false">"$L$13"</definedName>
    <definedName function="false" hidden="true" name="IQRL13" vbProcedure="false">"$L$14:$L$21"</definedName>
    <definedName function="false" hidden="true" name="IQRLOGMTradingdataA2" vbProcedure="false">#REF!</definedName>
    <definedName function="false" hidden="true" name="IQRLOGMTradingdataB2" vbProcedure="false">#REF!</definedName>
    <definedName function="false" hidden="true" name="IQRLOGMTradingdataC2" vbProcedure="false">#REF!</definedName>
    <definedName function="false" hidden="true" name="IQRM12" vbProcedure="false">"$M$13"</definedName>
    <definedName function="false" hidden="true" name="IQRN12" vbProcedure="false">"$N$13"</definedName>
    <definedName function="false" hidden="true" name="IQRN13" vbProcedure="false">"$N$14"</definedName>
    <definedName function="false" hidden="true" name="IQRN6" vbProcedure="false">"$N$7"</definedName>
    <definedName function="false" hidden="true" name="IQRO12" vbProcedure="false">"$O$13"</definedName>
    <definedName function="false" hidden="true" name="IQRO13" vbProcedure="false">"$O$14"</definedName>
    <definedName function="false" hidden="true" name="IQRP12" vbProcedure="false">"$P$13"</definedName>
    <definedName function="false" hidden="true" name="IQRPeopleH12" vbProcedure="false">#REF!</definedName>
    <definedName function="false" hidden="true" name="IQRPeopleH13" vbProcedure="false">#REF!</definedName>
    <definedName function="false" hidden="true" name="IQRPeopleH14" vbProcedure="false">#REF!</definedName>
    <definedName function="false" hidden="true" name="IQRPeopleH15" vbProcedure="false">#REF!</definedName>
    <definedName function="false" hidden="true" name="IQRPeopleN12" vbProcedure="false">#REF!</definedName>
    <definedName function="false" hidden="true" name="IQRPeopleN13" vbProcedure="false">#REF!</definedName>
    <definedName function="false" hidden="true" name="IQRPeopleN14" vbProcedure="false">#REF!</definedName>
    <definedName function="false" hidden="true" name="IQRPeopleN15" vbProcedure="false">#REF!</definedName>
    <definedName function="false" hidden="true" name="IQRPRGSTradingdataA2" vbProcedure="false">#REF!</definedName>
    <definedName function="false" hidden="true" name="IQRPRGSTradingdataB2" vbProcedure="false">#REF!</definedName>
    <definedName function="false" hidden="true" name="IQRPricePerformanceAA4" vbProcedure="false">#REF!</definedName>
    <definedName function="false" hidden="true" name="IQRPricePerformanceAD4" vbProcedure="false">#REF!</definedName>
    <definedName function="false" hidden="true" name="IQRPricePerformanceB4" vbProcedure="false">#REF!</definedName>
    <definedName function="false" hidden="true" name="IQRPricePerformanceC4" vbProcedure="false">#REF!</definedName>
    <definedName function="false" hidden="true" name="IQRPricePerformanceI4" vbProcedure="false">#REF!</definedName>
    <definedName function="false" hidden="true" name="IQRPricePerformanceL4" vbProcedure="false">#REF!</definedName>
    <definedName function="false" hidden="true" name="IQRPricePerformanceO4" vbProcedure="false">#REF!</definedName>
    <definedName function="false" hidden="true" name="IQRPricePerformanceR4" vbProcedure="false">#REF!</definedName>
    <definedName function="false" hidden="true" name="IQRPricePerformanceU4" vbProcedure="false">#REF!</definedName>
    <definedName function="false" hidden="true" name="IQRPricePerformanceX4" vbProcedure="false">#REF!</definedName>
    <definedName function="false" hidden="true" name="IQRQ12" vbProcedure="false">"$Q$13"</definedName>
    <definedName function="false" hidden="true" name="IQRQ13" vbProcedure="false">"$Q$14"</definedName>
    <definedName function="false" hidden="true" name="IQRqNASDAQB7" vbProcedure="false">#REF!</definedName>
    <definedName function="false" hidden="true" name="IQRqNASDAQC7" vbProcedure="false">#REF!</definedName>
    <definedName function="false" hidden="true" name="IQRR12" vbProcedure="false">"$R$13"</definedName>
    <definedName function="false" hidden="true" name="IQRR13" vbProcedure="false">"$R$14"</definedName>
    <definedName function="false" hidden="true" name="IQRS12" vbProcedure="false">"$S$13"</definedName>
    <definedName function="false" hidden="true" name="IQRS13" vbProcedure="false">"$S$14"</definedName>
    <definedName function="false" hidden="true" name="IQRT12" vbProcedure="false">"$T$13"</definedName>
    <definedName function="false" hidden="true" name="IQRT13" vbProcedure="false">"$T$14"</definedName>
    <definedName function="false" hidden="true" name="IQRTradingA2" vbProcedure="false">#REF!</definedName>
    <definedName function="false" hidden="true" name="IQRTradingB2" vbProcedure="false">#REF!</definedName>
    <definedName function="false" hidden="true" name="IQRTradingC2" vbProcedure="false">#REF!</definedName>
    <definedName function="false" hidden="true" name="IQRTradingdataA2" vbProcedure="false">#REF!</definedName>
    <definedName function="false" hidden="true" name="IQRTradingdataB2" vbProcedure="false">#REF!</definedName>
    <definedName function="false" hidden="true" name="IQRTradingdataC2" vbProcedure="false">#REF!</definedName>
    <definedName function="false" hidden="true" name="IQRU12" vbProcedure="false">"$U$13"</definedName>
    <definedName function="false" hidden="true" name="IQRU13" vbProcedure="false">"$U$14"</definedName>
    <definedName function="false" hidden="true" name="IQRU14" vbProcedure="false">"$U$15:$U$19"</definedName>
    <definedName function="false" hidden="true" name="IQRUSSalesY3" vbProcedure="false">#REF!</definedName>
    <definedName function="false" hidden="true" name="IQRUSSalesZ3" vbProcedure="false">#REF!</definedName>
    <definedName function="false" hidden="true" name="IQRV12" vbProcedure="false">"$V$13"</definedName>
    <definedName function="false" hidden="true" name="IQRV13" vbProcedure="false">"$V$14"</definedName>
    <definedName function="false" hidden="true" name="IQRW12" vbProcedure="false">"$W$13"</definedName>
    <definedName function="false" hidden="true" name="IQRW13" vbProcedure="false">"$W$14"</definedName>
    <definedName function="false" hidden="true" name="IQRWACCAnalysisBV10" vbProcedure="false">#REF!</definedName>
    <definedName function="false" hidden="true" name="IQRWACCAnalysisCD10" vbProcedure="false">#REF!</definedName>
    <definedName function="false" hidden="true" name="IQRX12" vbProcedure="false">"$X$13"</definedName>
    <definedName function="false" hidden="true" name="IQRX13" vbProcedure="false">"$X$14"</definedName>
    <definedName function="false" hidden="true" name="IQRY12" vbProcedure="false">"$Y$13"</definedName>
    <definedName function="false" hidden="true" name="IQRY13" vbProcedure="false">"$Y$14"</definedName>
    <definedName function="false" hidden="true" name="IQRZ12" vbProcedure="false">"$Z$13"</definedName>
    <definedName function="false" hidden="true" name="IQRZ13" vbProcedure="false">"$Z$14"</definedName>
    <definedName function="false" hidden="true" name="IQSFINListB13" vbProcedure="false">"$B$14:$B$1369"</definedName>
    <definedName function="false" hidden="true" name="IQSFINListB15" vbProcedure="false">"$B$16:$B$443"</definedName>
    <definedName function="false" hidden="true" name="iQShowHideColumns" vbProcedure="false">"iQShowAll"</definedName>
    <definedName function="false" hidden="true" name="IQSInputA1" vbProcedure="false">"$A$2:$A$501"</definedName>
    <definedName function="false" hidden="true" name="IQSInputsB8" vbProcedure="false">"$B$9:$B$135"</definedName>
    <definedName function="false" hidden="true" name="IQSInputsC51" vbProcedure="false">"$C$52:$C$140"</definedName>
    <definedName function="false" hidden="true" name="IQSListB262" vbProcedure="false">"$B$263:$B$350"</definedName>
    <definedName function="false" hidden="true" name="IQSListB85" vbProcedure="false">"$B$86:$B$308"</definedName>
    <definedName function="false" hidden="true" name="IQSListC329" vbProcedure="false">"$C$330:$C$384"</definedName>
    <definedName function="false" hidden="true" name="IQSSheet1A1" vbProcedure="false">#REF!</definedName>
    <definedName function="false" hidden="true" name="IQ_1_4_CONSTRUCTION_LOANS_DUE_90_FFIE塅" vbProcedure="false">#N/A</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true" name="IQ_1_4_FAMILY_RES_DOM_FFIEC" vbProcedure="false">"c15269"</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true" name="IQ_ACCEPTANCES_OTHER_FOREIGN_BANKS_LL_REC_FFIEC" vbProcedure="false">"c15293"</definedName>
    <definedName function="false" hidden="true" name="IQ_ACCEPTANCES_OTHER_US_BANKS_LL_REC_FFIEC" vbProcedure="false">"c15292"</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true" name="IQ_ADDITIONS_NON_ACCRUAL_ASSET_DURING_QTR_FFIEC" vbProcedure="false">"c15349"</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CM"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G_BANK_OVER_TOTAL" vbProcedure="false">"c24684"</definedName>
    <definedName function="false" hidden="false" name="IQ_AGG_BANK_SHARES" vbProcedure="false">"c24686"</definedName>
    <definedName function="false" hidden="false" name="IQ_AGG_BANK_VALUE" vbProcedure="false">"c24685"</definedName>
    <definedName function="false" hidden="false" name="IQ_AGG_COMPANY_FOUNDATION_OVER_TOTAL" vbProcedure="false">"c13769"</definedName>
    <definedName function="false" hidden="false" name="IQ_AGG_COMPANY_FOUNDATION_SHARES" vbProcedure="false">"c13783"</definedName>
    <definedName function="false" hidden="false" name="IQ_AGG_COMPANY_FOUNDATION_VALUE" vbProcedure="false">"c13776"</definedName>
    <definedName function="false" hidden="false" name="IQ_AGG_CORPORATE_OVER_TOTAL" vbProcedure="false">"c13767"</definedName>
    <definedName function="false" hidden="false" name="IQ_AGG_ENDOWMENT_OVER_TOTAL" vbProcedure="false">"c24678"</definedName>
    <definedName function="false" hidden="false" name="IQ_AGG_ENDOWMENT_SHARES" vbProcedure="false">"c24680"</definedName>
    <definedName function="false" hidden="false" name="IQ_AGG_ENDOWMENT_VALUE" vbProcedure="false">"c24679"</definedName>
    <definedName function="false" hidden="false" name="IQ_AGG_ESOP_OVER_TOTAL" vbProcedure="false">"c13768"</definedName>
    <definedName function="false" hidden="false" name="IQ_AGG_FAMILY_OVER_TOTAL" vbProcedure="false">"c24687"</definedName>
    <definedName function="false" hidden="false" name="IQ_AGG_FAMILY_SHARES" vbProcedure="false">"c24689"</definedName>
    <definedName function="false" hidden="false" name="IQ_AGG_FAMILY_VALUE" vbProcedure="false">"c24688"</definedName>
    <definedName function="false" hidden="false" name="IQ_AGG_HEDGEFUND_OVER_TOTAL" vbProcedure="false">"c13771"</definedName>
    <definedName function="false" hidden="false" name="IQ_AGG_INSIDER_OVER_TOTAL" vbProcedure="false">"c1581"</definedName>
    <definedName function="false" hidden="false" name="IQ_AGG_INSTITUTIONAL_OVER_TOTAL" vbProcedure="false">"c1580"</definedName>
    <definedName function="false" hidden="false" name="IQ_AGG_INSTITUTION_HEDGEFUND_OVER_TOTAL" vbProcedure="false">"c24711"</definedName>
    <definedName function="false" hidden="false" name="IQ_AGG_INSTITUTION_HEDGEFUND_SHARES" vbProcedure="false">"c24713"</definedName>
    <definedName function="false" hidden="false" name="IQ_AGG_INSTITUTION_HEDGEFUND_VALUE" vbProcedure="false">"c24712"</definedName>
    <definedName function="false" hidden="false" name="IQ_AGG_INSTITUTION_SOVEREIGN_OVER_TOTAL" vbProcedure="false">"c24717"</definedName>
    <definedName function="false" hidden="false" name="IQ_AGG_INSTITUTION_SOVEREIGN_SHARES" vbProcedure="false">"c24719"</definedName>
    <definedName function="false" hidden="false" name="IQ_AGG_INSTITUTION_SOVEREIGN_VALUE" vbProcedure="false">"c24718"</definedName>
    <definedName function="false" hidden="false" name="IQ_AGG_INSTITUTION_UNCLASSIFIED_OVER_TOTAL" vbProcedure="false">"c24696"</definedName>
    <definedName function="false" hidden="false" name="IQ_AGG_INSTITUTION_UNCLASSIFIED_SHARES" vbProcedure="false">"c24698"</definedName>
    <definedName function="false" hidden="false" name="IQ_AGG_INSTITUTION_UNCLASSIFIED_VALUE" vbProcedure="false">"c24697"</definedName>
    <definedName function="false" hidden="false" name="IQ_AGG_INSTITUTION_VC_PE_OVER_TOTAL" vbProcedure="false">"c24714"</definedName>
    <definedName function="false" hidden="false" name="IQ_AGG_INSTITUTION_VC_PE_SHARES" vbProcedure="false">"c24716"</definedName>
    <definedName function="false" hidden="false" name="IQ_AGG_INSTITUTION_VC_PE_VALUE" vbProcedure="false">"c24715"</definedName>
    <definedName function="false" hidden="false" name="IQ_AGG_INSURANCE_OVER_TOTAL" vbProcedure="false">"c24681"</definedName>
    <definedName function="false" hidden="false" name="IQ_AGG_INSURANCE_SHARES" vbProcedure="false">"c24683"</definedName>
    <definedName function="false" hidden="false" name="IQ_AGG_INSURANCE_VALUE" vbProcedure="false">"c24682"</definedName>
    <definedName function="false" hidden="false" name="IQ_AGG_MONEY_MANAGERS_OVER_TOTAL" vbProcedure="false">"c24669"</definedName>
    <definedName function="false" hidden="false" name="IQ_AGG_MONEY_MANAGERS_SHARES" vbProcedure="false">"c24671"</definedName>
    <definedName function="false" hidden="false" name="IQ_AGG_MONEY_MANAGERS_VALUE" vbProcedure="false">"c24670"</definedName>
    <definedName function="false" hidden="false" name="IQ_AGG_OTHER_OVER_TOTAL" vbProcedure="false">"c13770"</definedName>
    <definedName function="false" hidden="false" name="IQ_AGG_PENSION_OVER_TOTAL" vbProcedure="false">"c24675"</definedName>
    <definedName function="false" hidden="false" name="IQ_AGG_PENSION_SHARES" vbProcedure="false">"c24677"</definedName>
    <definedName function="false" hidden="false" name="IQ_AGG_PENSION_VALUE" vbProcedure="false">"c24676"</definedName>
    <definedName function="false" hidden="false" name="IQ_AGG_SOVEREIGN_OVER_TOTAL" vbProcedure="false">"c24690"</definedName>
    <definedName function="false" hidden="false" name="IQ_AGG_SOVEREIGN_SHARES" vbProcedure="false">"c24692"</definedName>
    <definedName function="false" hidden="false" name="IQ_AGG_SOVEREIGN_VALUE" vbProcedure="false">"c24691"</definedName>
    <definedName function="false" hidden="false" name="IQ_AGG_STATE_OVER_TOTAL" vbProcedure="false">"c24705"</definedName>
    <definedName function="false" hidden="false" name="IQ_AGG_STATE_SHARES" vbProcedure="false">"c24707"</definedName>
    <definedName function="false" hidden="false" name="IQ_AGG_STATE_VALUE" vbProcedure="false">"c24706"</definedName>
    <definedName function="false" hidden="false" name="IQ_AGG_STRATEGIC_CORP_PRIVATE_OVER_TOTAL" vbProcedure="false">"c24702"</definedName>
    <definedName function="false" hidden="false" name="IQ_AGG_STRATEGIC_CORP_PRIVATE_SHARES" vbProcedure="false">"c24704"</definedName>
    <definedName function="false" hidden="false" name="IQ_AGG_STRATEGIC_CORP_PRIVATE_VALUE" vbProcedure="false">"c24703"</definedName>
    <definedName function="false" hidden="false" name="IQ_AGG_STRATEGIC_CORP_PUBLIC_OVER_TOTAL" vbProcedure="false">"c24699"</definedName>
    <definedName function="false" hidden="false" name="IQ_AGG_STRATEGIC_CORP_PUBLIC_SHARES" vbProcedure="false">"c24701"</definedName>
    <definedName function="false" hidden="false" name="IQ_AGG_STRATEGIC_CORP_PUBLIC_VALUE" vbProcedure="false">"c24700"</definedName>
    <definedName function="false" hidden="false" name="IQ_AGG_STRATEGIC_HEDGEFUND_OVER_TOTAL" vbProcedure="false">"c24726"</definedName>
    <definedName function="false" hidden="false" name="IQ_AGG_STRATEGIC_HEDGEFUND_SHARES" vbProcedure="false">"c24728"</definedName>
    <definedName function="false" hidden="false" name="IQ_AGG_STRATEGIC_HEDGEFUND_VALUE" vbProcedure="false">"c24727"</definedName>
    <definedName function="false" hidden="false" name="IQ_AGG_STRATEGIC_OVER_TOTAL" vbProcedure="false">"c24708"</definedName>
    <definedName function="false" hidden="false" name="IQ_AGG_STRATEGIC_SHARES" vbProcedure="false">"c24710"</definedName>
    <definedName function="false" hidden="false" name="IQ_AGG_STRATEGIC_SWF_OVER_TOTAL" vbProcedure="false">"c24723"</definedName>
    <definedName function="false" hidden="false" name="IQ_AGG_STRATEGIC_SWF_SHARES" vbProcedure="false">"c24725"</definedName>
    <definedName function="false" hidden="false" name="IQ_AGG_STRATEGIC_SWF_VALUE" vbProcedure="false">"c24724"</definedName>
    <definedName function="false" hidden="false" name="IQ_AGG_STRATEGIC_VALUE" vbProcedure="false">"c24709"</definedName>
    <definedName function="false" hidden="false" name="IQ_AGG_STRATEGIC_VC_PE_OVER_TOTAL" vbProcedure="false">"c24720"</definedName>
    <definedName function="false" hidden="false" name="IQ_AGG_STRATEGIC_VC_PE_SHARES" vbProcedure="false">"c24722"</definedName>
    <definedName function="false" hidden="false" name="IQ_AGG_STRATEGIC_VC_PE_VALUE" vbProcedure="false">"c24721"</definedName>
    <definedName function="false" hidden="false" name="IQ_AGG_VC_PE_OVER_TOTAL" vbProcedure="false">"c24672"</definedName>
    <definedName function="false" hidden="false" name="IQ_AGG_VC_PE_SHARES" vbProcedure="false">"c24674"</definedName>
    <definedName function="false" hidden="false" name="IQ_AGG_VC_PE_VALUE" vbProcedure="false">"c24673"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true" name="IQ_AG_PROD_FARM_LOANS_DOM_QUARTERLY_AVG_FFIEC" vbProcedure="false">"c15477"</definedName>
    <definedName function="false" hidden="false" name="IQ_AH_EARNED" vbProcedure="false">"c2744"</definedName>
    <definedName function="false" hidden="false" name="IQ_AH_POLICY_BENEFITS_EXP" vbProcedure="false">"c2789"</definedName>
    <definedName function="false" hidden="false" name="IQ_AIRCRAFT_RENT" vbProcedure="false">"c17872"</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true" name="IQ_ALL_OTHER_DEPOSITS_FOREIGN_DEP_FFIEC" vbProcedure="false">"c15347"</definedName>
    <definedName function="false" hidden="true" name="IQ_ALL_OTHER_INVEST_UNCONSOL_SUBS_FFIEC" vbProcedure="false">"c15275"</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MT_OUT" vbProcedure="false">"c2145"</definedName>
    <definedName function="false" hidden="false" name="IQ_ANNUALIZED_DIVIDEND" vbProcedure="false">"c1579"</definedName>
    <definedName function="false" hidden="true" name="IQ_ANNUAL_DIVIDEND" vbProcedure="false">"c229"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CM"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CM"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CM"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CM" vbProcedure="false">"c50"</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true" name="IQ_AVAIL_FOR_SALE_FAIR_VALUE_TOT_FFIEC" vbProcedure="false">"c15399"</definedName>
    <definedName function="false" hidden="true" name="IQ_AVAIL_FOR_SALE_LEVEL_1_FFIEC" vbProcedure="false">"c15421"</definedName>
    <definedName function="false" hidden="true" name="IQ_AVAIL_FOR_SALE_LEVEL_2_FFIEC" vbProcedure="false">"c15434"</definedName>
    <definedName function="false" hidden="true" name="IQ_AVAIL_FOR_SALE_LEVEL_3_FFIEC" vbProcedure="false">"c15447"</definedName>
    <definedName function="false" hidden="false" name="IQ_AVERAGE_ASSETS_FDIC" vbProcedure="false">"c6362"</definedName>
    <definedName function="false" hidden="false" name="IQ_AVERAGE_ASSETS_QUART_FDIC" vbProcedure="false">"c6363"</definedName>
    <definedName function="false" hidden="true" name="IQ_AVERAGE_DEPOSITS" vbProcedure="false">"c15256"</definedName>
    <definedName function="false" hidden="false" name="IQ_AVERAGE_EARNING_ASSETS_FDIC" vbProcedure="false">"c6748"</definedName>
    <definedName function="false" hidden="false" name="IQ_AVERAGE_EQUITY_FDIC" vbProcedure="false">"c6749"</definedName>
    <definedName function="false" hidden="true" name="IQ_AVERAGE_INTEREST_BEARING_DEPOSITS" vbProcedure="false">"c15254"</definedName>
    <definedName function="false" hidden="false" name="IQ_AVERAGE_LOANS_FDIC" vbProcedure="false">"c6750"</definedName>
    <definedName function="false" hidden="true" name="IQ_AVERAGE_LOANS_HFI" vbProcedure="false">"c15251"</definedName>
    <definedName function="false" hidden="true" name="IQ_AVERAGE_LOANS_HFS" vbProcedure="false">"c15252"</definedName>
    <definedName function="false" hidden="true" name="IQ_AVERAGE_NON_INTEREST_BEARING_DEPOSITS" vbProcedure="false">"c15255"</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true" name="IQ_AVG_BROKER_REC_NO_REUT" vbProcedure="false">"c5315"</definedName>
    <definedName function="false" hidden="tru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true" name="IQ_BANKS_FOREIGN_COUNTRIES_NON_TRANS_ACCTS_FFIEC" vbProcedure="false">"c15326"</definedName>
    <definedName function="false" hidden="false" name="IQ_BANKS_FOREIGN_COUNTRIES_TOTAL_DEPOSITS_FDIC" vbProcedure="false">"c6475"</definedName>
    <definedName function="false" hidden="true" name="IQ_BANKS_FOREIGN_COUNTRIES_TRANS_ACCTS_FFIEC" vbProcedure="false">"c15318"</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NCHMARK_SECURITY" vbProcedure="false">"c2154"</definedName>
    <definedName function="false" hidden="false" name="IQ_BENCHMARK_SPRD" vbProcedure="false">"c2153"</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true" name="IQ_BIZ_SEG_ASSETS" vbProcedure="false">"c90"</definedName>
    <definedName function="false" hidden="true" name="IQ_BIZ_SEG_EBT" vbProcedure="false">"c91"</definedName>
    <definedName function="false" hidden="true" name="IQ_BIZ_SEG_GP" vbProcedure="false">"c92"</definedName>
    <definedName function="false" hidden="true" name="IQ_BIZ_SEG_NI" vbProcedure="false">"c93"</definedName>
    <definedName function="false" hidden="true" name="IQ_BIZ_SEG_OPER_INC" vbProcedure="false">"c94"</definedName>
    <definedName function="false" hidden="true" name="IQ_BIZ_SEG_REV" vbProcedure="false">"c95"</definedName>
    <definedName function="false" hidden="false" name="IQ_BOARD_MEMBER" vbProcedure="false">"c96"</definedName>
    <definedName function="false" hidden="true" name="IQ_BOARD_MEMBER_ASSISTANT_EMAIL" vbProcedure="false">"c15179"</definedName>
    <definedName function="false" hidden="true" name="IQ_BOARD_MEMBER_ASSISTANT_FAX" vbProcedure="false">"c15181"</definedName>
    <definedName function="false" hidden="true" name="IQ_BOARD_MEMBER_ASSISTANT_NAME" vbProcedure="false">"c15178"</definedName>
    <definedName function="false" hidden="true" name="IQ_BOARD_MEMBER_ASSISTANT_PHONE" vbProcedure="false">"c15180"</definedName>
    <definedName function="false" hidden="false" name="IQ_BOARD_MEMBER_BACKGROUND" vbProcedure="false">"c2101"</definedName>
    <definedName function="false" hidden="true" name="IQ_BOARD_MEMBER_DIRECT_FAX" vbProcedure="false">"c15176"</definedName>
    <definedName function="false" hidden="true" name="IQ_BOARD_MEMBER_DIRECT_PHONE" vbProcedure="false">"c15175"</definedName>
    <definedName function="false" hidden="true" name="IQ_BOARD_MEMBER_EMAIL" vbProcedure="false">"c15177"</definedName>
    <definedName function="false" hidden="true" name="IQ_BOARD_MEMBER_FAX" vbProcedure="false">"c2100"</definedName>
    <definedName function="false" hidden="true" name="IQ_BOARD_MEMBER_MAIN_FAX" vbProcedure="false">"c15174"</definedName>
    <definedName function="false" hidden="true" name="IQ_BOARD_MEMBER_MAIN_PHONE" vbProcedure="false">"c15173"</definedName>
    <definedName function="false" hidden="true" name="IQ_BOARD_MEMBER_OFFICE" vbProcedure="false">"c2098"</definedName>
    <definedName function="false" hidden="true" name="IQ_BOARD_MEMBER_OFFICE_ADDRESS" vbProcedure="false">"c15172"</definedName>
    <definedName function="false" hidden="tru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true" name="IQ_BONDRATING_FITCH_DATE" vbProcedure="false">"c241"</definedName>
    <definedName function="false" hidden="true" name="IQ_BONDRATING_MOODYS" vbProcedure="false">"IQ_BONDRATING_MOODYS"</definedName>
    <definedName function="false" hidden="false" name="IQ_BONDRATING_SP" vbProcedure="false">"IQ_BONDRATING_SP"</definedName>
    <definedName function="false" hidden="true" name="IQ_BONDRATING_SP_DATE" vbProcedure="false">"c242"</definedName>
    <definedName function="false" hidden="false" name="IQ_BOND_COUPON" vbProcedure="false">"c2183"</definedName>
    <definedName function="false" hidden="false" name="IQ_BOND_COUPON_TYPE" vbProcedure="false">"c2184"</definedName>
    <definedName function="false" hidden="false" name="IQ_BOND_PRICE" vbProcedure="false">"c2162"</definedName>
    <definedName function="false" hidden="false" name="IQ_BOOK_VALUE" vbProcedure="false">"IQ_BOOK_VALUE"</definedName>
    <definedName function="false" hidden="false" name="IQ_BOP" vbProcedure="false">"c20560"</definedName>
    <definedName function="false" hidden="false" name="IQ_BOP_BALANCE_ON_CURRENT_ACCOUNT" vbProcedure="false">"c20561"</definedName>
    <definedName function="false" hidden="false" name="IQ_BOP_BALANCE_ON_GOODS" vbProcedure="false">"c20562"</definedName>
    <definedName function="false" hidden="false" name="IQ_BOP_BALANCE_ON_GOODS_SERVICES" vbProcedure="false">"c20563"</definedName>
    <definedName function="false" hidden="false" name="IQ_BOP_BALANCE_ON_INCOME" vbProcedure="false">"c20564"</definedName>
    <definedName function="false" hidden="false" name="IQ_BOP_BALANCE_ON_SERVICES" vbProcedure="false">"c20565"</definedName>
    <definedName function="false" hidden="false" name="IQ_BOP_CAPITAL_TRANSACTION_NET" vbProcedure="false">"c20566"</definedName>
    <definedName function="false" hidden="false" name="IQ_BOP_CURRENT_TRANSFER_GOVERNMENT_GRANTS" vbProcedure="false">"c20567"</definedName>
    <definedName function="false" hidden="false" name="IQ_BOP_CURRENT_TRANSFER_GOVERNMENT_PENSIONS" vbProcedure="false">"c20568"</definedName>
    <definedName function="false" hidden="false" name="IQ_BOP_CURRENT_TRANSFER_NET" vbProcedure="false">"c20569"</definedName>
    <definedName function="false" hidden="false" name="IQ_BOP_CURRENT_TRANSFER_PRIVATE_TRANSFER" vbProcedure="false">"c20570"</definedName>
    <definedName function="false" hidden="false" name="IQ_BOP_EXPORTS_AND_RECEIPTS" vbProcedure="false">"c20571"</definedName>
    <definedName function="false" hidden="false" name="IQ_BOP_EXPORTS_GOODS" vbProcedure="false">"c20572"</definedName>
    <definedName function="false" hidden="false" name="IQ_BOP_EXPORTS_GOODS_SERVICES" vbProcedure="false">"c20573"</definedName>
    <definedName function="false" hidden="false" name="IQ_BOP_EXPORTS_SERVICES" vbProcedure="false">"c20574"</definedName>
    <definedName function="false" hidden="false" name="IQ_BOP_EXPORTS_SERVICES_FARES" vbProcedure="false">"c20575"</definedName>
    <definedName function="false" hidden="false" name="IQ_BOP_EXPORTS_SERVICES_GOVERNMENT_MISC" vbProcedure="false">"c20576"</definedName>
    <definedName function="false" hidden="false" name="IQ_BOP_EXPORTS_SERVICES_MILITARY_SALES_CONTRACTS" vbProcedure="false">"c20577"</definedName>
    <definedName function="false" hidden="false" name="IQ_BOP_EXPORTS_SERVICES_OTHER" vbProcedure="false">"c20578"</definedName>
    <definedName function="false" hidden="false" name="IQ_BOP_EXPORTS_SERVICES_ROYALTIES" vbProcedure="false">"c20579"</definedName>
    <definedName function="false" hidden="false" name="IQ_BOP_EXPORTS_SERVICES_TRANSPORTATION" vbProcedure="false">"c20580"</definedName>
    <definedName function="false" hidden="false" name="IQ_BOP_EXPORTS_SERVICES_TRAVEL" vbProcedure="false">"c20581"</definedName>
    <definedName function="false" hidden="false" name="IQ_BOP_FOREIGN_ASSETS" vbProcedure="false">"c20582"</definedName>
    <definedName function="false" hidden="false" name="IQ_BOP_FOREIGN_ASSETS_OFFICIAL" vbProcedure="false">"c20583"</definedName>
    <definedName function="false" hidden="false" name="IQ_BOP_FOREIGN_ASSETS_OFFICIAL_BANK_LIABILITIES" vbProcedure="false">"c20584"</definedName>
    <definedName function="false" hidden="false" name="IQ_BOP_FOREIGN_ASSETS_OFFICIAL_GOVT_LIABILITIES" vbProcedure="false">"c20585"</definedName>
    <definedName function="false" hidden="false" name="IQ_BOP_FOREIGN_ASSETS_OFFICIAL_GOVT_SECURITIES" vbProcedure="false">"c20586"</definedName>
    <definedName function="false" hidden="false" name="IQ_BOP_FOREIGN_ASSETS_OFFICIAL_GOVT_SECURITIES_OTHER" vbProcedure="false">"c20587"</definedName>
    <definedName function="false" hidden="false" name="IQ_BOP_FOREIGN_ASSETS_OFFICIAL_OTHER" vbProcedure="false">"c20588"</definedName>
    <definedName function="false" hidden="false" name="IQ_BOP_FOREIGN_ASSETS_OFFICIAL_TREASURIES" vbProcedure="false">"c20589"</definedName>
    <definedName function="false" hidden="false" name="IQ_BOP_FOREIGN_ASSETS_OTHER" vbProcedure="false">"c20590"</definedName>
    <definedName function="false" hidden="false" name="IQ_BOP_FOREIGN_ASSETS_OTHER_BANK_LIABILITIES" vbProcedure="false">"c20591"</definedName>
    <definedName function="false" hidden="false" name="IQ_BOP_FOREIGN_ASSETS_OTHER_CURRENCY" vbProcedure="false">"c20592"</definedName>
    <definedName function="false" hidden="false" name="IQ_BOP_FOREIGN_ASSETS_OTHER_DIRECT_INVEST" vbProcedure="false">"c20593"</definedName>
    <definedName function="false" hidden="false" name="IQ_BOP_FOREIGN_ASSETS_OTHER_LIABILITIES_TO_FOREIGNERS" vbProcedure="false">"c20594"</definedName>
    <definedName function="false" hidden="false" name="IQ_BOP_FOREIGN_ASSETS_OTHER_SECURITIES" vbProcedure="false">"c20595"</definedName>
    <definedName function="false" hidden="false" name="IQ_BOP_FOREIGN_ASSETS_OTHER_TREASURIES" vbProcedure="false">"c20596"</definedName>
    <definedName function="false" hidden="false" name="IQ_BOP_IMPORTS_AND_PAYMENTS" vbProcedure="false">"c20597"</definedName>
    <definedName function="false" hidden="false" name="IQ_BOP_IMPORTS_GOODS" vbProcedure="false">"c20598"</definedName>
    <definedName function="false" hidden="false" name="IQ_BOP_IMPORTS_GOODS_SERVICES" vbProcedure="false">"c20599"</definedName>
    <definedName function="false" hidden="false" name="IQ_BOP_IMPORTS_SERVICES" vbProcedure="false">"c20600"</definedName>
    <definedName function="false" hidden="false" name="IQ_BOP_IMPORTS_SERVICES_DEF_EXPENDITURES" vbProcedure="false">"c20601"</definedName>
    <definedName function="false" hidden="false" name="IQ_BOP_IMPORTS_SERVICES_FARES" vbProcedure="false">"c20602"</definedName>
    <definedName function="false" hidden="false" name="IQ_BOP_IMPORTS_SERVICES_GOVERNMENT_MISC" vbProcedure="false">"c20603"</definedName>
    <definedName function="false" hidden="false" name="IQ_BOP_IMPORTS_SERVICES_OTHER" vbProcedure="false">"c20604"</definedName>
    <definedName function="false" hidden="false" name="IQ_BOP_IMPORTS_SERVICES_ROYALTIES" vbProcedure="false">"c20605"</definedName>
    <definedName function="false" hidden="false" name="IQ_BOP_IMPORTS_SERVICES_TRANSPORTATION" vbProcedure="false">"c20606"</definedName>
    <definedName function="false" hidden="false" name="IQ_BOP_IMPORTS_SERVICES_TRAVEL" vbProcedure="false">"c20607"</definedName>
    <definedName function="false" hidden="false" name="IQ_BOP_PAYMENTS" vbProcedure="false">"c20608"</definedName>
    <definedName function="false" hidden="false" name="IQ_BOP_PAYMENTS_DIRECT_INVEST" vbProcedure="false">"c20609"</definedName>
    <definedName function="false" hidden="false" name="IQ_BOP_PAYMENTS_EMPLOYEE_COMPENSATION" vbProcedure="false">"c20610"</definedName>
    <definedName function="false" hidden="false" name="IQ_BOP_PAYMENTS_FOREGN_OWNED_ASSETS" vbProcedure="false">"c20611"</definedName>
    <definedName function="false" hidden="false" name="IQ_BOP_PAYMENTS_GOVT" vbProcedure="false">"c20612"</definedName>
    <definedName function="false" hidden="false" name="IQ_BOP_PAYMENTS_OTHER" vbProcedure="false">"c20613"</definedName>
    <definedName function="false" hidden="false" name="IQ_BOP_RECEIPTS" vbProcedure="false">"c20614"</definedName>
    <definedName function="false" hidden="false" name="IQ_BOP_RECEIPTS_DIRECT_INVEST" vbProcedure="false">"c20615"</definedName>
    <definedName function="false" hidden="false" name="IQ_BOP_RECEIPTS_EMPLOYEE_COMPENSATION" vbProcedure="false">"c20616"</definedName>
    <definedName function="false" hidden="false" name="IQ_BOP_RECEIPTS_GOVT" vbProcedure="false">"c20617"</definedName>
    <definedName function="false" hidden="false" name="IQ_BOP_RECEIPTS_OTHER" vbProcedure="false">"c20618"</definedName>
    <definedName function="false" hidden="false" name="IQ_BOP_RECEIPTS_US_ASSETS_ABROAD" vbProcedure="false">"c20619"</definedName>
    <definedName function="false" hidden="false" name="IQ_BOP_STATISTICAL_DISCREPANCY" vbProcedure="false">"c20620"</definedName>
    <definedName function="false" hidden="false" name="IQ_BOP_US_ASSETS_ABROAD" vbProcedure="false">"c20621"</definedName>
    <definedName function="false" hidden="false" name="IQ_BOP_US_GOVT_ASSETS" vbProcedure="false">"c20622"</definedName>
    <definedName function="false" hidden="false" name="IQ_BOP_US_GOVT_ASSETS_FX" vbProcedure="false">"c20623"</definedName>
    <definedName function="false" hidden="false" name="IQ_BOP_US_GOVT_ASSETS_US_CREDITS" vbProcedure="false">"c20624"</definedName>
    <definedName function="false" hidden="false" name="IQ_BOP_US_GOVT_ASSETS_US_CREDITS_REPAYMENTS" vbProcedure="false">"c20625"</definedName>
    <definedName function="false" hidden="false" name="IQ_BOP_US_PRIVATE_ASSETS" vbProcedure="false">"c20626"</definedName>
    <definedName function="false" hidden="false" name="IQ_BOP_US_PRIVATE_ASSETS_CLAIMS_BANKS_BROKERS" vbProcedure="false">"c20627"</definedName>
    <definedName function="false" hidden="false" name="IQ_BOP_US_PRIVATE_ASSETS_CLAIMS_ON_FOREIGNERS" vbProcedure="false">"c20628"</definedName>
    <definedName function="false" hidden="false" name="IQ_BOP_US_PRIVATE_ASSETS_DIRECT_INVEST" vbProcedure="false">"c20629"</definedName>
    <definedName function="false" hidden="false" name="IQ_BOP_US_PRIVATE_ASSETS_FOREIGN_SECURITIES" vbProcedure="false">"c20630"</definedName>
    <definedName function="false" hidden="false" name="IQ_BOP_US_RESERVE_ASSETS" vbProcedure="false">"c20631"</definedName>
    <definedName function="false" hidden="false" name="IQ_BOP_US_RESERVE_ASSETS_DRAWING_RIGHTS" vbProcedure="false">"c20632"</definedName>
    <definedName function="false" hidden="false" name="IQ_BOP_US_RESERVE_ASSETS_FX" vbProcedure="false">"c20633"</definedName>
    <definedName function="false" hidden="false" name="IQ_BOP_US_RESERVE_ASSETS_GOLD" vbProcedure="false">"c20634"</definedName>
    <definedName function="false" hidden="false" name="IQ_BOP_US_RESERVE_ASSETS_IMF_RESERVES" vbProcedure="false">"c20635"</definedName>
    <definedName function="false" hidden="false" name="IQ_BROKERED_DEPOSITS_FDIC" vbProcedure="false">"c6486"</definedName>
    <definedName function="false" hidden="true" name="IQ_BROKER_DEPOSIT_LESS_THAN_100000_1_YR_LESS_FFIEC" vbProcedure="false">"c15307"</definedName>
    <definedName function="false" hidden="true" name="IQ_BROKER_DEPOSIT_LESS_THAN_100000_1_YR_MORE_FFIEC" vbProcedure="false">"c15308"</definedName>
    <definedName function="false" hidden="true" name="IQ_BROKER_DEPOSIT_LESS_THAN_100000_FFIEC" vbProcedure="false">"c15306"</definedName>
    <definedName function="false" hidden="true" name="IQ_BROKER_DEPOSIT_MORE_THAN_100000_1_YR_LESS_FFIEC" vbProcedure="false">"c15310"</definedName>
    <definedName function="false" hidden="true" name="IQ_BROKER_DEPOSIT_MORE_THAN_100000_1_YR_MORE_FFIEC" vbProcedure="false">"c15311"</definedName>
    <definedName function="false" hidden="true" name="IQ_BROKER_DEPOSIT_MORE_THAN_100000_FFIEC" vbProcedure="false">"c15309"</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true" name="IQ_BUS_SEG_PRIMARY_GIC" vbProcedure="false">"c15584"</definedName>
    <definedName function="false" hidden="true" name="IQ_BUS_SEG_PRIMARY_GIC_ABS" vbProcedure="false">"c15572"</definedName>
    <definedName function="false" hidden="true" name="IQ_BUS_SEG_SECONDARY_GIC" vbProcedure="false">"c15585"</definedName>
    <definedName function="false" hidden="true" name="IQ_BUS_SEG_SECONDARY_GIC_ABS" vbProcedure="false">"c15573"</definedName>
    <definedName function="false" hidden="false" name="IQ_BV_ACT_OR_EST_REUT" vbProcedure="false">"c5471"</definedName>
    <definedName function="false" hidden="true" name="IQ_BV_ACT_OR_EST_THOM" vbProcedure="false">"c5308"</definedName>
    <definedName function="false" hidden="false" name="IQ_BV_EST_REUT" vbProcedure="false">"c5403"</definedName>
    <definedName function="false" hidden="true" name="IQ_BV_EST_THOM" vbProcedure="false">"c5147"</definedName>
    <definedName function="false" hidden="false" name="IQ_BV_HIGH_EST_REUT" vbProcedure="false">"c5405"</definedName>
    <definedName function="false" hidden="true" name="IQ_BV_HIGH_EST_THOM" vbProcedure="false">"c5149"</definedName>
    <definedName function="false" hidden="false" name="IQ_BV_LOW_EST_REUT" vbProcedure="false">"c5406"</definedName>
    <definedName function="false" hidden="true" name="IQ_BV_LOW_EST_THOM" vbProcedure="false">"c5150"</definedName>
    <definedName function="false" hidden="false" name="IQ_BV_MEDIAN_EST_REUT" vbProcedure="false">"c5404"</definedName>
    <definedName function="false" hidden="true" name="IQ_BV_MEDIAN_EST_THOM" vbProcedure="false">"c5148"</definedName>
    <definedName function="false" hidden="false" name="IQ_BV_NUM_EST_REUT" vbProcedure="false">"c5407"</definedName>
    <definedName function="false" hidden="true" name="IQ_BV_NUM_EST_THOM" vbProcedure="false">"c5151"</definedName>
    <definedName function="false" hidden="false" name="IQ_BV_OVER_SHARES" vbProcedure="false">"c1349"</definedName>
    <definedName function="false" hidden="false" name="IQ_BV_SHARE" vbProcedure="false">"c100"</definedName>
    <definedName function="false" hidden="true" name="IQ_BV_SHARE_ACT_OR_EST_REUT" vbProcedure="false">"c5477"</definedName>
    <definedName function="false" hidden="true" name="IQ_BV_SHARE_EST_REUT" vbProcedure="false">"c5439"</definedName>
    <definedName function="false" hidden="true" name="IQ_BV_SHARE_HIGH_EST_REUT" vbProcedure="false">"c5441"</definedName>
    <definedName function="false" hidden="true" name="IQ_BV_SHARE_LOW_EST_REUT" vbProcedure="false">"c5442"</definedName>
    <definedName function="false" hidden="true" name="IQ_BV_SHARE_MEDIAN_EST_REUT" vbProcedure="false">"c5440"</definedName>
    <definedName function="false" hidden="true" name="IQ_BV_SHARE_NUM_EST_REUT" vbProcedure="false">"c5443"</definedName>
    <definedName function="false" hidden="true" name="IQ_BV_SHARE_STDDEV_EST_REUT" vbProcedure="false">"c5444"</definedName>
    <definedName function="false" hidden="false" name="IQ_BV_STDDEV_EST_REUT" vbProcedure="false">"c5408"</definedName>
    <definedName function="false" hidden="tru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LABLE" vbProcedure="false">"c2196"</definedName>
    <definedName function="false" hidden="true" name="IQ_CALL_DATE_SCHEDULE" vbProcedure="false">"c2481"</definedName>
    <definedName function="false" hidden="false" name="IQ_CALL_FEATURE" vbProcedure="false">"c2197"</definedName>
    <definedName function="false" hidden="true" name="IQ_CALL_PRICE_SCHEDULE" vbProcedure="false">"c2482"</definedName>
    <definedName function="false" hidden="false" name="IQ_CAL_Q" vbProcedure="false">"c101"</definedName>
    <definedName function="false" hidden="true" name="IQ_CAL_Q_EST_REUT" vbProcedure="false">"c6800"</definedName>
    <definedName function="false" hidden="false" name="IQ_CAL_Y" vbProcedure="false">"c102"</definedName>
    <definedName function="false" hidden="tru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tru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CM" vbProcedure="false">"c111"</definedName>
    <definedName function="false" hidden="true" name="IQ_CAPEX_EST_REUT" vbProcedure="false">"c3969"</definedName>
    <definedName function="false" hidden="false" name="IQ_CAPEX_FIN" vbProcedure="false">"c112"</definedName>
    <definedName function="false" hidden="true" name="IQ_CAPEX_HIGH_EST_REUT" vbProcedure="false">"c3971"</definedName>
    <definedName function="false" hidden="false" name="IQ_CAPEX_INS" vbProcedure="false">"c113"</definedName>
    <definedName function="false" hidden="true" name="IQ_CAPEX_LOW_EST_REUT" vbProcedure="false">"c3972"</definedName>
    <definedName function="false" hidden="true" name="IQ_CAPEX_MEDIAN_EST_REUT" vbProcedure="false">"c3970"</definedName>
    <definedName function="false" hidden="true" name="IQ_CAPEX_NUM_EST_REUT" vbProcedure="false">"c3973"</definedName>
    <definedName function="false" hidden="tru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true" name="IQ_CAPITAL_ALLOCATION_ADJUSTMENT_FOREIGN_FFIEC" vbProcedure="false">"c15389"</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true" name="IQ_CASH_BANKS_FOREIGN_COUNTRIES_DOM_FFIEC" vbProcedure="false">"c15289"</definedName>
    <definedName function="false" hidden="true" name="IQ_CASH_COLLECTION_UNPOSTED_DEBITS_CURRENCY_FFIEC" vbProcedure="false">"c15279"</definedName>
    <definedName function="false" hidden="true" name="IQ_CASH_COLLECTION_UNPOSTED_DEBITS_DOM_FFIEC" vbProcedure="false">"c15286"</definedName>
    <definedName function="false" hidden="false" name="IQ_CASH_CONVERSION" vbProcedure="false">"c117"</definedName>
    <definedName function="false" hidden="true" name="IQ_CASH_DEPOSITORY_INSTIT_US_DOM_FFIEC" vbProcedure="false">"c15288"</definedName>
    <definedName function="false" hidden="false" name="IQ_CASH_DIVIDENDS_NET_INCOME_FDIC" vbProcedure="false">"c6738"</definedName>
    <definedName function="false" hidden="false" name="IQ_CASH_DUE_BANKS" vbProcedure="false">"c1351"</definedName>
    <definedName function="false" hidden="true" name="IQ_CASH_DUE_OTHER_FED_RESERVE_BANKS_DOM_FFIEC" vbProcedure="false">"c15290"</definedName>
    <definedName function="false" hidden="true" name="IQ_CASH_DUE_OTHER_FED_RESERVE_BANKS_FFIEC" vbProcedure="false">"c15284"</definedName>
    <definedName function="false" hidden="true" name="IQ_CASH_DUE_US_BRANCH_FOREIGN_BANK_FFIEC" vbProcedure="false">"c15280"</definedName>
    <definedName function="false" hidden="false" name="IQ_CASH_EQUIV" vbProcedure="false">"c118"</definedName>
    <definedName function="false" hidden="false" name="IQ_CASH_FINAN" vbProcedure="false">"c119"</definedName>
    <definedName function="false" hidden="true" name="IQ_CASH_FOREIGN_BRANCH_OTHER_US_BANKS_FFIEC" vbProcedure="false">"c15282"</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true" name="IQ_CASH_OPER_ACT_OR_EST" vbProcedure="false">"c4164"</definedName>
    <definedName function="false" hidden="true" name="IQ_CASH_OTHER_BANKS_FOREIGN_COUNTRIES_FFIEC" vbProcedure="false">"c15283"</definedName>
    <definedName function="false" hidden="true" name="IQ_CASH_OTHER_US_COMM_BANK_DEP_INSTIT_FFIEC" vbProcedure="false">"c15281"</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true" name="IQ_CASH_STRUCTURED_PRODUCTS_AVAIL_SALE_FFIEC" vbProcedure="false">"c15263"</definedName>
    <definedName function="false" hidden="true" name="IQ_CASH_STRUCTURED_PRODUCTS_FFIEC" vbProcedure="false">"c15260"</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true" name="IQ_CDS_COUPON" vbProcedure="false">"c15234"</definedName>
    <definedName function="false" hidden="true" name="IQ_CDS_NEXT_SERIES_ID" vbProcedure="false">"c15231"</definedName>
    <definedName function="false" hidden="true" name="IQ_CDS_PREV_SERIES_ID" vbProcedure="false">"c15232"</definedName>
    <definedName function="false" hidden="true" name="IQ_CDS_PRICE_TYPE" vbProcedure="false">"c15233"</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true" name="IQ_CEO_ID" vbProcedure="false">"c15210"</definedName>
    <definedName function="false" hidden="true" name="IQ_CEO_NAME" vbProcedure="false">"c15209"</definedName>
    <definedName function="false" hidden="true" name="IQ_CERTIFIED_OFFICIAL_CHECKS_TRANS_ACCTS_FFIEC" vbProcedure="false">"c15320"</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true" name="IQ_CFO_ID" vbProcedure="false">"c15212"</definedName>
    <definedName function="false" hidden="true" name="IQ_CFO_NAME" vbProcedure="false">"c15211"</definedName>
    <definedName function="false" hidden="true" name="IQ_CFPS_ACT_OR_EST_REUT" vbProcedure="false">"c5463"</definedName>
    <definedName function="false" hidden="true" name="IQ_CFPS_EST_REUT" vbProcedure="false">"c3844"</definedName>
    <definedName function="false" hidden="true" name="IQ_CFPS_HIGH_EST_REUT" vbProcedure="false">"c3846"</definedName>
    <definedName function="false" hidden="true" name="IQ_CFPS_LOW_EST_REUT" vbProcedure="false">"c3847"</definedName>
    <definedName function="false" hidden="true" name="IQ_CFPS_MEDIAN_EST_REUT" vbProcedure="false">"c3845"</definedName>
    <definedName function="false" hidden="true" name="IQ_CFPS_NUM_EST_REUT" vbProcedure="false">"c3848"</definedName>
    <definedName function="false" hidden="true" name="IQ_CFPS_STDDEV_EST_REUT" vbProcedure="false">"c3849"</definedName>
    <definedName function="false" hidden="false" name="IQ_CH" vbProcedure="false">110000</definedName>
    <definedName function="false" hidden="true" name="IQ_CHAIRMAN_ID" vbProcedure="false">"c15218"</definedName>
    <definedName function="false" hidden="true" name="IQ_CHAIRMAN_NAME" vbProcedure="false">"c15217"</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CM"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CM"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true" name="IQ_CHANGE_DEF_TAX_TOTAL" vbProcedure="false">"c15557"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NET_OPER_ASSETS_CM"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CM"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true" name="IQ_CLASSB_OUTSTANDING_BS_DATE" vbProcedure="false">"c1972"</definedName>
    <definedName function="false" hidden="true" name="IQ_CLASSB_OUTSTANDING_FILING_DATE" vbProcedure="false">"c1974"</definedName>
    <definedName function="false" hidden="true" name="IQ_CLOSED_END_SEC_1_4_RESIDENT_CHARGE_OFFS_FFIEC" vbProcedure="false">"c15397"</definedName>
    <definedName function="false" hidden="true" name="IQ_CLOSED_END_SEC_1_4_RESIDENT_DUE_30_89_FFIEC" vbProcedure="false">"c15413"</definedName>
    <definedName function="false" hidden="true" name="IQ_CLOSED_END_SEC_1_4_RESIDENT_DUE_90_FFIEC" vbProcedure="false">"c15417"</definedName>
    <definedName function="false" hidden="true" name="IQ_CLOSED_END_SEC_1_4_RESIDENT_NON_ACCRUAL_FFIEC" vbProcedure="false">"c15460"</definedName>
    <definedName function="false" hidden="true" name="IQ_CLOSED_END_SEC_1_4_RESIDENT_RECOV_FFIEC" vbProcedure="false">"c15398"</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true" name="IQ_COMMERCIAL_INDUSTRIAL_DOM_QUARTERLY_AVG_FFIEC" vbProcedure="false">"c15478"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true" name="IQ_COMMERCIAL_INDUSTRIAL_NON_US_DUE_30_89_FFIEC" vbProcedure="false">"c15415"</definedName>
    <definedName function="false" hidden="true" name="IQ_COMMERCIAL_INDUSTRIAL_NON_US_DUE_90_FFIEC" vbProcedure="false">"c15419"</definedName>
    <definedName function="false" hidden="true" name="IQ_COMMERCIAL_INDUSTRIAL_NON_US_NON_ACCRUAL_FFIEC" vbProcedure="false">"c15464"</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true" name="IQ_COMMERCIAL_INDUSTRIAL_US_DUE_30_89_FFIEC" vbProcedure="false">"c15414"</definedName>
    <definedName function="false" hidden="true" name="IQ_COMMERCIAL_INDUSTRIAL_US_DUE_90_FFIEC" vbProcedure="false">"c15418"</definedName>
    <definedName function="false" hidden="true" name="IQ_COMMERCIAL_INDUSTRIAL_US_NON_ACCRUAL_FFIEC" vbProcedure="false">"c15463"</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CM"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CM"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CM"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true" name="IQ_COMM_BANKS_OTHER_DEP_INST_US_TRANS_ACCTS_FFIEC" vbProcedure="false">"c15317"</definedName>
    <definedName function="false" hidden="true" name="IQ_COMM_BANKS_OTHER_INST_US_NON_TRANS_ACCTS_FFIEC" vbProcedure="false">"c15325"</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true" name="IQ_COMPANY_TICKER_NO_EXCH" vbProcedure="false">"c15490"</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true" name="IQ_CONSOLIDATED_NI_FOREIGN_FFIEC" vbProcedure="false">"c15396"</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true" name="IQ_CONSTRUCTION_LAND_DEV_DOM_FFIEC" vbProcedure="false">"c15267"</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true" name="IQ_CONVERT_DEBT" vbProcedure="false">"c224"</definedName>
    <definedName function="false" hidden="false" name="IQ_CONVERT_PCT" vbProcedure="false">"c2537"</definedName>
    <definedName function="false" hidden="false" name="IQ_CONVEXITY" vbProcedure="false">"c2182"</definedName>
    <definedName function="false" hidden="false" name="IQ_CONVEYED_TO_OTHERS_FDIC" vbProcedure="false">"c6534"</definedName>
    <definedName function="false" hidden="false" name="IQ_CONV_DATE" vbProcedure="false">"c2191"</definedName>
    <definedName function="false" hidden="true" name="IQ_CONV_EXP_DATE" vbProcedure="false">"c3043"</definedName>
    <definedName function="false" hidden="false" name="IQ_CONV_PREMIUM" vbProcedure="false">"c2195"</definedName>
    <definedName function="false" hidden="false" name="IQ_CONV_PRICE" vbProcedure="false">"c2193"</definedName>
    <definedName function="false" hidden="false" name="IQ_CONV_RATE" vbProcedure="false">"c2192"</definedName>
    <definedName function="false" hidden="true" name="IQ_CONV_RATIO" vbProcedure="false">"c2192"</definedName>
    <definedName function="false" hidden="false" name="IQ_CONV_SECURITY" vbProcedure="false">"c2189"</definedName>
    <definedName function="false" hidden="false" name="IQ_CONV_SECURITY_ISSUER" vbProcedure="false">"c2190"</definedName>
    <definedName function="false" hidden="false" name="IQ_CONV_SECURITY_PRICE" vbProcedure="false">"c2194"</definedName>
    <definedName function="false" hidden="true" name="IQ_COO_ID" vbProcedure="false">"c15222"</definedName>
    <definedName function="false" hidden="true" name="IQ_COO_NAME" vbProcedure="false">"c15221"</definedName>
    <definedName function="false" hidden="false" name="IQ_CORE_CAPITAL_RATIO_FDIC" vbProcedure="false">"c6745"</definedName>
    <definedName function="false" hidden="true" name="IQ_CORE_TIER_ONE_CAPITAL" vbProcedure="false">"c15244"</definedName>
    <definedName function="false" hidden="true" name="IQ_CORE_TIER_ONE_CAPITAL_RATIO" vbProcedure="false">"c15240"</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RP_PROFIT" vbProcedure="false">"c20636"</definedName>
    <definedName function="false" hidden="false" name="IQ_CORP_PROFITS_AFTER_TAXES" vbProcedure="false">"c20637"</definedName>
    <definedName function="false" hidden="false" name="IQ_CORP_PROFITS_TAXES" vbProcedure="false">"c20638"</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true" name="IQ_COVERAGE_RATIO" vbProcedure="false">"c15243"</definedName>
    <definedName function="false" hidden="false" name="IQ_COVERED_POPS" vbProcedure="false">"c2124"</definedName>
    <definedName function="false" hidden="false" name="IQ_CP" vbProcedure="false">"c2495"</definedName>
    <definedName function="false" hidden="false" name="IQ_CPI_YOY_PCT" vbProcedure="false">"c20639"</definedName>
    <definedName function="false" hidden="false" name="IQ_CPI_YOY_PCT_FC" vbProcedure="false">"c20640"</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tru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true" name="IQ_CREDIT_CARD_LOANS_DOM_QUARTERLY_AVG_FFIEC" vbProcedure="false">"c15480"</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true" name="IQ_CURRENCY_COIN_DOM_FFIEC" vbProcedure="false">"c15287"</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CM"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CM"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 vbProcedure="false">"c20641"</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CT_GDP" vbProcedure="false">"c20642"</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TED_DATE" vbProcedure="false">"c2185"</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Y_COUNT" vbProcedure="false">"c2161"</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CM"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CM" vbProcedure="false">"c248"</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CM"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CM" vbProcedure="false">"c260"</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CM"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CM" vbProcedure="false">"c288"</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CM"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CM"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CM"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true" name="IQ_DEPOSITS_FOREIGN_BANKS_FOREIGN_AGENCIES_FFIEC" vbProcedure="false">"c15344"</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true" name="IQ_DERIVATIVE_ASSETS_FAIR_VALUE_TOT_FFIEC" vbProcedure="false">"c15403"</definedName>
    <definedName function="false" hidden="true" name="IQ_DERIVATIVE_ASSETS_LEVEL_1_FFIEC" vbProcedure="false">"c15425"</definedName>
    <definedName function="false" hidden="true" name="IQ_DERIVATIVE_ASSETS_LEVEL_2_FFIEC" vbProcedure="false">"c15438"</definedName>
    <definedName function="false" hidden="true" name="IQ_DERIVATIVE_ASSETS_LEVEL_3_FFIEC" vbProcedure="false">"c15451"</definedName>
    <definedName function="false" hidden="true" name="IQ_DERIVATIVE_LIABILITIES_FAIR_VALUE_TOT_FFIEC" vbProcedure="false">"c15407"</definedName>
    <definedName function="false" hidden="true" name="IQ_DERIVATIVE_LIABILITIES_LEVEL_1_FFIEC" vbProcedure="false">"c15429"</definedName>
    <definedName function="false" hidden="true" name="IQ_DERIVATIVE_LIABILITIES_LEVEL_2_FFIEC" vbProcedure="false">"c15442"</definedName>
    <definedName function="false" hidden="true" name="IQ_DERIVATIVE_LIABILITIES_LEVEL_3_FFIEC" vbProcedure="false">"c15455"</definedName>
    <definedName function="false" hidden="false" name="IQ_DERIVATIVE_LIAB_CURRENT" vbProcedure="false">"c17873"</definedName>
    <definedName function="false" hidden="false" name="IQ_DERIVATIVE_LIAB_NON_CURRENT" vbProcedure="false">"c17874"</definedName>
    <definedName function="false" hidden="false" name="IQ_DERIVATIVE_TRADING_ASSETS" vbProcedure="false">"c17875"</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tru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true" name="IQ_DIRECT_INDIRECT_RE_VENTURES_FFIEC" vbProcedure="false">"c15266"</definedName>
    <definedName function="false" hidden="true" name="IQ_DIRECT_INDIRECT_RE_VENTURES_UNCONSOL_FFIEC" vbProcedure="false">"c15274"</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true" name="IQ_DISTRIBUTABLE_CASH_EST_CIQ" vbProcedure="false">"c4802"</definedName>
    <definedName function="false" hidden="true" name="IQ_DISTRIBUTABLE_CASH_HIGH_EST_CIQ" vbProcedure="false">"c4805"</definedName>
    <definedName function="false" hidden="true" name="IQ_DISTRIBUTABLE_CASH_LOW_EST_CIQ" vbProcedure="false">"c4806"</definedName>
    <definedName function="false" hidden="true" name="IQ_DISTRIBUTABLE_CASH_MEDIAN_EST_CIQ" vbProcedure="false">"c4807"</definedName>
    <definedName function="false" hidden="tru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true" name="IQ_DISTRIBUTABLE_CASH_SHARE_EST_CIQ" vbProcedure="false">"c4810"</definedName>
    <definedName function="false" hidden="true" name="IQ_DISTRIBUTABLE_CASH_SHARE_HIGH_EST_CIQ" vbProcedure="false">"c4813"</definedName>
    <definedName function="false" hidden="true" name="IQ_DISTRIBUTABLE_CASH_SHARE_LOW_EST_CIQ" vbProcedure="false">"c4814"</definedName>
    <definedName function="false" hidden="true" name="IQ_DISTRIBUTABLE_CASH_SHARE_MEDIAN_EST_CIQ" vbProcedure="false">"c4815"</definedName>
    <definedName function="false" hidden="true" name="IQ_DISTRIBUTABLE_CASH_SHARE_NUM_EST_CIQ" vbProcedure="false">"c4816"</definedName>
    <definedName function="false" hidden="true" name="IQ_DISTRIBUTABLE_CASH_SHARE_STDDEV_EST_CIQ" vbProcedure="false">"c4817"</definedName>
    <definedName function="false" hidden="tru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"c2205"</definedName>
    <definedName function="false" hidden="false" name="IQ_DIV_RECORD_DATE" vbProcedure="false">"c2204"</definedName>
    <definedName function="false" hidden="false" name="IQ_DIV_SHARE" vbProcedure="false">"c330"</definedName>
    <definedName function="false" hidden="tru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tru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true" name="IQ_DPS_ACT_OR_EST_REUT" vbProcedure="false">"c5464"</definedName>
    <definedName function="false" hidden="true" name="IQ_DPS_EST_BOTTOM_UP_REUT" vbProcedure="false">"c5501"</definedName>
    <definedName function="false" hidden="true" name="IQ_DPS_EST_REUT" vbProcedure="false">"c3851"</definedName>
    <definedName function="false" hidden="true" name="IQ_DPS_HIGH_EST_REUT" vbProcedure="false">"c3853"</definedName>
    <definedName function="false" hidden="true" name="IQ_DPS_LOW_EST_REUT" vbProcedure="false">"c3854"</definedName>
    <definedName function="false" hidden="true" name="IQ_DPS_MEDIAN_EST_REUT" vbProcedure="false">"c3852"</definedName>
    <definedName function="false" hidden="true" name="IQ_DPS_NUM_EST_REUT" vbProcedure="false">"c3855"</definedName>
    <definedName function="false" hidden="true" name="IQ_DPS_STDDEV_EST_REUT" vbProcedure="false">"c3856"</definedName>
    <definedName function="false" hidden="false" name="IQ_DURATION" vbProcedure="false">"c2181"</definedName>
    <definedName function="false" hidden="false" name="IQ_EARNINGS_ANNOUNCE_DATE" vbProcedure="false">"c1649"</definedName>
    <definedName function="false" hidden="tru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true" name="IQ_EBITDA_ACT_OR_EST_REUT" vbProcedure="false">"c5462"</definedName>
    <definedName function="false" hidden="false" name="IQ_EBITDA_CAPEX_INT" vbProcedure="false">"c368"</definedName>
    <definedName function="false" hidden="true" name="IQ_EBITDA_CAPEX_NET_INT" vbProcedure="false">"c368"</definedName>
    <definedName function="false" hidden="false" name="IQ_EBITDA_CAPEX_OVER_TOTAL_IE" vbProcedure="false">"c1370"</definedName>
    <definedName function="false" hidden="tru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true" name="IQ_EBITDA_HIGH_EST_REUT" vbProcedure="false">"c3642"</definedName>
    <definedName function="false" hidden="false" name="IQ_EBITDA_INT" vbProcedure="false">"c373"</definedName>
    <definedName function="false" hidden="true" name="IQ_EBITDA_LOW_EST_REUT" vbProcedure="false">"c3643"</definedName>
    <definedName function="false" hidden="false" name="IQ_EBITDA_MARGIN" vbProcedure="false">"c372"</definedName>
    <definedName function="false" hidden="true" name="IQ_EBITDA_MEDIAN_EST_REUT" vbProcedure="false">"c3641"</definedName>
    <definedName function="false" hidden="true" name="IQ_EBITDA_NET_INT" vbProcedure="false">"c373"</definedName>
    <definedName function="false" hidden="true" name="IQ_EBITDA_NO_EST" vbProcedure="false">"c267"</definedName>
    <definedName function="false" hidden="true" name="IQ_EBITDA_NUM_EST_REUT" vbProcedure="false">"c3644"</definedName>
    <definedName function="false" hidden="false" name="IQ_EBITDA_OVER_TOTAL_IE" vbProcedure="false">"c1371"</definedName>
    <definedName function="false" hidden="tru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true" name="IQ_EBIT_ACT_OR_EST_REUT" vbProcedure="false">"c5465"</definedName>
    <definedName function="false" hidden="tru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true" name="IQ_EBIT_HIGH_EST_REUT" vbProcedure="false">"c5335"</definedName>
    <definedName function="false" hidden="false" name="IQ_EBIT_INT" vbProcedure="false">"c360"</definedName>
    <definedName function="false" hidden="true" name="IQ_EBIT_LOW_EST_REUT" vbProcedure="false">"c5336"</definedName>
    <definedName function="false" hidden="false" name="IQ_EBIT_MARGIN" vbProcedure="false">"c359"</definedName>
    <definedName function="false" hidden="true" name="IQ_EBIT_MEDIAN_EST_REUT" vbProcedure="false">"c5334"</definedName>
    <definedName function="false" hidden="true" name="IQ_EBIT_NET_INT" vbProcedure="false">"c360"</definedName>
    <definedName function="false" hidden="true" name="IQ_EBIT_NUM_EST_REUT" vbProcedure="false">"c5337"</definedName>
    <definedName function="false" hidden="false" name="IQ_EBIT_OVER_IE" vbProcedure="false">"c1369"</definedName>
    <definedName function="false" hidden="tru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CM"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CM"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25_UNUSED_UNUSED_UNUSED" vbProcedure="false">"c6825"</definedName>
    <definedName function="false" hidden="false" name="IQ_ECO_METRIC_6839_UNUSED_UNUSED_UNUSED" vbProcedure="false">"c6839"</definedName>
    <definedName function="false" hidden="false" name="IQ_ECO_METRIC_6896_UNUSED_UNUSED_UNUSED" vbProcedure="false">"c6896"</definedName>
    <definedName function="false" hidden="false" name="IQ_ECO_METRIC_6897_UNUSED_UNUSED_UNUSED" vbProcedure="false">"c6897"</definedName>
    <definedName function="false" hidden="false" name="IQ_ECO_METRIC_6988_UNUSED_UNUSED_UNUSED" vbProcedure="false">"c6988"</definedName>
    <definedName function="false" hidden="false" name="IQ_ECO_METRIC_7045_UNUSED_UNUSED_UNUSED" vbProcedure="false">"c7045"</definedName>
    <definedName function="false" hidden="false" name="IQ_ECO_METRIC_7059_UNUSED_UNUSED_UNUSED" vbProcedure="false">"c7059"</definedName>
    <definedName function="false" hidden="false" name="IQ_ECO_METRIC_7116_UNUSED_UNUSED_UNUSED" vbProcedure="false">"c7116"</definedName>
    <definedName function="false" hidden="false" name="IQ_ECO_METRIC_7117_UNUSED_UNUSED_UNUSED" vbProcedure="false">"c7117"</definedName>
    <definedName function="false" hidden="false" name="IQ_ECO_METRIC_7208_UNUSED_UNUSED_UNUSED" vbProcedure="false">"c7208"</definedName>
    <definedName function="false" hidden="false" name="IQ_ECO_METRIC_7265_UNUSED_UNUSED_UNUSED" vbProcedure="false">"c7265"</definedName>
    <definedName function="false" hidden="false" name="IQ_ECO_METRIC_7279_UNUSED_UNUSED_UNUSED" vbProcedure="false">"c7279"</definedName>
    <definedName function="false" hidden="false" name="IQ_ECO_METRIC_7336_UNUSED_UNUSED_UNUSED" vbProcedure="false">"c7336"</definedName>
    <definedName function="false" hidden="false" name="IQ_ECO_METRIC_7337_UNUSED_UNUSED_UNUSED" vbProcedure="false">"c7337"</definedName>
    <definedName function="false" hidden="false" name="IQ_ECO_METRIC_7428_UNUSED_UNUSED_UNUSED" vbProcedure="false">"c7428"</definedName>
    <definedName function="false" hidden="false" name="IQ_ECO_METRIC_7556_UNUSED_UNUSED_UNUSED" vbProcedure="false">"c7556"</definedName>
    <definedName function="false" hidden="false" name="IQ_ECO_METRIC_7557_UNUSED_UNUSED_UNUSED" vbProcedure="false">"c7557"</definedName>
    <definedName function="false" hidden="false" name="IQ_ECO_METRIC_7648_UNUSED_UNUSED_UNUSED" vbProcedure="false">"c7648"</definedName>
    <definedName function="false" hidden="false" name="IQ_ECO_METRIC_7705_UNUSED_UNUSED_UNUSED" vbProcedure="false">"c7705"</definedName>
    <definedName function="false" hidden="false" name="IQ_ECO_METRIC_7719_UNUSED_UNUSED_UNUSED" vbProcedure="false">"c7719"</definedName>
    <definedName function="false" hidden="false" name="IQ_ECO_METRIC_7776_UNUSED_UNUSED_UNUSED" vbProcedure="false">"c7776"</definedName>
    <definedName function="false" hidden="false" name="IQ_ECO_METRIC_7777_UNUSED_UNUSED_UNUSED" vbProcedure="false">"c7777"</definedName>
    <definedName function="false" hidden="false" name="IQ_ECO_METRIC_7868_UNUSED_UNUSED_UNUSED" vbProcedure="false">"c7868"</definedName>
    <definedName function="false" hidden="false" name="IQ_ECO_METRIC_7925_UNUSED_UNUSED_UNUSED" vbProcedure="false">"c7925"</definedName>
    <definedName function="false" hidden="false" name="IQ_ECO_METRIC_7939_UNUSED_UNUSED_UNUSED" vbProcedure="false">"c7939"</definedName>
    <definedName function="false" hidden="false" name="IQ_ECO_METRIC_7996_UNUSED_UNUSED_UNUSED" vbProcedure="false">"c7996"</definedName>
    <definedName function="false" hidden="false" name="IQ_ECO_METRIC_7997_UNUSED_UNUSED_UNUSED" vbProcedure="false">"c7997"</definedName>
    <definedName function="false" hidden="false" name="IQ_ECO_METRIC_8088_UNUSED_UNUSED_UNUSED" vbProcedure="false">"c8088"</definedName>
    <definedName function="false" hidden="false" name="IQ_ECO_METRIC_8145_UNUSED_UNUSED_UNUSED" vbProcedure="false">"c8145"</definedName>
    <definedName function="false" hidden="false" name="IQ_ECO_METRIC_8159_UNUSED_UNUSED_UNUSED" vbProcedure="false">"c8159"</definedName>
    <definedName function="false" hidden="false" name="IQ_ECO_METRIC_8216_UNUSED_UNUSED_UNUSED" vbProcedure="false">"c8216"</definedName>
    <definedName function="false" hidden="false" name="IQ_ECO_METRIC_8217_UNUSED_UNUSED_UNUSED" vbProcedure="false">"c8217"</definedName>
    <definedName function="false" hidden="false" name="IQ_ECO_METRIC_8308_UNUSED_UNUSED_UNUSED" vbProcedure="false">"c8308"</definedName>
    <definedName function="false" hidden="false" name="IQ_ECO_METRIC_8436_UNUSED_UNUSED_UNUSED" vbProcedure="false">"c8436"</definedName>
    <definedName function="false" hidden="false" name="IQ_ECO_METRIC_8437_UNUSED_UNUSED_UNUSED" vbProcedure="false">"c8437"</definedName>
    <definedName function="false" hidden="false" name="IQ_ECO_METRIC_8528_UNUSED_UNUSED_UNUSED" vbProcedure="false">"c8528"</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true" name="IQ_ELIMINATIONS_CONSOL_OFFICES_FOREIGN_FFIEC" vbProcedure="false">"c15395"</definedName>
    <definedName function="false" hidden="false" name="IQ_EMPLOYEES" vbProcedure="false">"c392"</definedName>
    <definedName function="false" hidden="false" name="IQ_EMPLOYMENT_YOY" vbProcedure="false">"c20643"</definedName>
    <definedName function="false" hidden="false" name="IQ_ENERGY_CRUDE_STOCK" vbProcedure="false">"c20644"</definedName>
    <definedName function="false" hidden="false" name="IQ_ENERGY_FUEL_OIL_STOCK" vbProcedure="false">"c20645"</definedName>
    <definedName function="false" hidden="false" name="IQ_ENERGY_GASOLINE_AVERAGE" vbProcedure="false">"c20646"</definedName>
    <definedName function="false" hidden="false" name="IQ_ENERGY_GASOLINE_STOCK" vbProcedure="false">"c20647"</definedName>
    <definedName function="false" hidden="false" name="IQ_ENERGY_PROPANE_STOCK" vbProcedure="false">"c20648"</definedName>
    <definedName function="false" hidden="false" name="IQ_ENERGY_WTI_SPOT" vbProcedure="false">"c20649"</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true" name="IQ_EPS_ACT_OR_EST" vbProcedure="false">"c2213"</definedName>
    <definedName function="false" hidden="true" name="IQ_EPS_ACT_OR_EST_REUT" vbProcedure="false">"c5460"</definedName>
    <definedName function="false" hidden="false" name="IQ_EPS_EST" vbProcedure="false">"c399"</definedName>
    <definedName function="false" hidden="false" name="IQ_EPS_EST_1" vbProcedure="false">"IQ_EPS_EST_1"</definedName>
    <definedName function="false" hidden="true" name="IQ_EPS_EST_BOTTOM_UP_REUT" vbProcedure="false">"c5497"</definedName>
    <definedName function="false" hidden="true" name="IQ_EPS_EST_REUT" vbProcedure="false">"c5453"</definedName>
    <definedName function="false" hidden="true" name="IQ_EPS_GW_ACT_OR_EST_REUT" vbProcedure="false">"c5469"</definedName>
    <definedName function="false" hidden="true" name="IQ_EPS_GW_EST_BOTTOM_UP_REUT" vbProcedure="false">"c5499"</definedName>
    <definedName function="false" hidden="true" name="IQ_EPS_GW_EST_REUT" vbProcedure="false">"c5389"</definedName>
    <definedName function="false" hidden="true" name="IQ_EPS_GW_HIGH_EST_REUT" vbProcedure="false">"c5391"</definedName>
    <definedName function="false" hidden="true" name="IQ_EPS_GW_LOW_EST_REUT" vbProcedure="false">"c5392"</definedName>
    <definedName function="false" hidden="true" name="IQ_EPS_GW_MEDIAN_EST_REUT" vbProcedure="false">"c5390"</definedName>
    <definedName function="false" hidden="true" name="IQ_EPS_GW_NUM_EST_REUT" vbProcedure="false">"c5393"</definedName>
    <definedName function="false" hidden="true" name="IQ_EPS_GW_STDDEV_EST_REUT" vbProcedure="false">"c5394"</definedName>
    <definedName function="false" hidden="false" name="IQ_EPS_HIGH_EST" vbProcedure="false">"c400"</definedName>
    <definedName function="false" hidden="true" name="IQ_EPS_HIGH_EST_REUT" vbProcedure="false">"c5454"</definedName>
    <definedName function="false" hidden="false" name="IQ_EPS_LOW_EST" vbProcedure="false">"c401"</definedName>
    <definedName function="false" hidden="true" name="IQ_EPS_LOW_EST_REUT" vbProcedure="false">"c5455"</definedName>
    <definedName function="false" hidden="false" name="IQ_EPS_MEDIAN_EST" vbProcedure="false">"c1661"</definedName>
    <definedName function="false" hidden="true" name="IQ_EPS_MEDIAN_EST_REUT" vbProcedure="false">"c5456"</definedName>
    <definedName function="false" hidden="false" name="IQ_EPS_NORM" vbProcedure="false">"c1902"</definedName>
    <definedName function="false" hidden="true" name="IQ_EPS_NORM_EST_BOTTOM_UP_REUT" vbProcedure="false">"c5498"</definedName>
    <definedName function="false" hidden="true" name="IQ_EPS_NORM_EST_REUT" vbProcedure="false">"c5326"</definedName>
    <definedName function="false" hidden="true" name="IQ_EPS_NORM_HIGH_EST_REUT" vbProcedure="false">"c5328"</definedName>
    <definedName function="false" hidden="true" name="IQ_EPS_NORM_LOW_EST_REUT" vbProcedure="false">"c5329"</definedName>
    <definedName function="false" hidden="true" name="IQ_EPS_NORM_MEDIAN_EST_REUT" vbProcedure="false">"c5327"</definedName>
    <definedName function="false" hidden="true" name="IQ_EPS_NORM_NUM_EST_REUT" vbProcedure="false">"c5330"</definedName>
    <definedName function="false" hidden="true" name="IQ_EPS_NORM_STDDEV_EST_REUT" vbProcedure="false">"c5331"</definedName>
    <definedName function="false" hidden="true" name="IQ_EPS_NO_EST" vbProcedure="false">"c271"</definedName>
    <definedName function="false" hidden="false" name="IQ_EPS_NUM_EST" vbProcedure="false">"c402"</definedName>
    <definedName function="false" hidden="true" name="IQ_EPS_NUM_EST_REUT" vbProcedure="false">"c5451"</definedName>
    <definedName function="false" hidden="false" name="IQ_EPS_PRIMARY_EST" vbProcedure="false">"c2226"</definedName>
    <definedName function="false" hidden="false" name="IQ_EPS_PRIMARY_HIGH_EST" vbProcedure="false">"c2228"</definedName>
    <definedName function="false" hidden="false" name="IQ_EPS_PRIMARY_LOW_EST" vbProcedure="false">"c2229"</definedName>
    <definedName function="false" hidden="false" name="IQ_EPS_PRIMARY_MEDIAN_EST" vbProcedure="false">"c2227"</definedName>
    <definedName function="false" hidden="false" name="IQ_EPS_PRIMARY_NUM_EST" vbProcedure="false">"c2230"</definedName>
    <definedName function="false" hidden="false" name="IQ_EPS_PRIMARY_STDDEV_EST" vbProcedure="false">"c2231"</definedName>
    <definedName function="false" hidden="true" name="IQ_EPS_REPORTED_EST_BOTTOM_UP_REUT" vbProcedure="false">"c5500"</definedName>
    <definedName function="false" hidden="true" name="IQ_EPS_REPORTED_EST_REUT" vbProcedure="false">"c5396"</definedName>
    <definedName function="false" hidden="true" name="IQ_EPS_REPORTED_HIGH_EST_REUT" vbProcedure="false">"c5398"</definedName>
    <definedName function="false" hidden="true" name="IQ_EPS_REPORTED_LOW_EST_REUT" vbProcedure="false">"c5399"</definedName>
    <definedName function="false" hidden="true" name="IQ_EPS_REPORTED_MEDIAN_EST_REUT" vbProcedure="false">"c5397"</definedName>
    <definedName function="false" hidden="true" name="IQ_EPS_REPORTED_NUM_EST_REUT" vbProcedure="false">"c5400"</definedName>
    <definedName function="false" hidden="true" name="IQ_EPS_REPORTED_STDDEV_EST_REUT" vbProcedure="false">"c5401"</definedName>
    <definedName function="false" hidden="true" name="IQ_EPS_REPORT_ACT_OR_EST_REUT" vbProcedure="false">"c5470"</definedName>
    <definedName function="false" hidden="false" name="IQ_EPS_STDDEV_EST" vbProcedure="false">"c403"</definedName>
    <definedName function="false" hidden="tru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true" name="IQ_EQUITY_LIST" vbProcedure="false">"c15158"</definedName>
    <definedName function="false" hidden="false" name="IQ_EQUITY_METHOD" vbProcedure="false">"c404"</definedName>
    <definedName function="false" hidden="false" name="IQ_EQUITY_SECURITIES_FDIC" vbProcedure="false">"c6304"</definedName>
    <definedName function="false" hidden="true" name="IQ_EQUITY_SECURITIES_QUARTERLY_AVG_FFIEC" vbProcedure="false">"c15474"</definedName>
    <definedName function="false" hidden="false" name="IQ_EQUITY_SECURITY_EXPOSURES_FDIC" vbProcedure="false">"c6664"</definedName>
    <definedName function="false" hidden="true" name="IQ_EQUITY_TIER_ONE_CAPITAL" vbProcedure="false">"c15246"</definedName>
    <definedName function="false" hidden="true" name="IQ_EQUITY_TIER_ONE_CAPITAL_RATIO" vbProcedure="false">"c15242"</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true" name="IQ_EST_ACT_BV_SHARE_REUT" vbProcedure="false">"c5445"</definedName>
    <definedName function="false" hidden="true" name="IQ_EST_ACT_BV_THOM" vbProcedure="false">"c5153"</definedName>
    <definedName function="false" hidden="true" name="IQ_EST_ACT_CAPEX_REUT" vbProcedure="false">"c3975"</definedName>
    <definedName function="false" hidden="true" name="IQ_EST_ACT_CFPS_REUT" vbProcedure="false">"c3850"</definedName>
    <definedName function="false" hidden="true" name="IQ_EST_ACT_DPS_REUT" vbProcedure="false">"c3857"</definedName>
    <definedName function="false" hidden="true" name="IQ_EST_ACT_EBITDA_REUT" vbProcedure="false">"c3836"</definedName>
    <definedName function="false" hidden="true" name="IQ_EST_ACT_EBIT_REUT" vbProcedure="false">"c5339"</definedName>
    <definedName function="false" hidden="false" name="IQ_EST_ACT_EPS" vbProcedure="false">"c1648"</definedName>
    <definedName function="false" hidden="true" name="IQ_EST_ACT_EPS_GW_REUT" vbProcedure="false">"c5395"</definedName>
    <definedName function="false" hidden="true" name="IQ_EST_ACT_EPS_NORM_REUT" vbProcedure="false">"c5332"</definedName>
    <definedName function="false" hidden="false" name="IQ_EST_ACT_EPS_PRIMARY" vbProcedure="false">"c2232"</definedName>
    <definedName function="false" hidden="true" name="IQ_EST_ACT_EPS_REPORTED_REUT" vbProcedure="false">"c5402"</definedName>
    <definedName function="false" hidden="true" name="IQ_EST_ACT_EPS_REUT" vbProcedure="false">"c5457"</definedName>
    <definedName function="false" hidden="false" name="IQ_EST_ACT_FFO_REUT" vbProcedure="false">"c3843"</definedName>
    <definedName function="false" hidden="true" name="IQ_EST_ACT_FFO_SHARE_SHARE_THOM" vbProcedure="false">"c4005"</definedName>
    <definedName function="false" hidden="false" name="IQ_EST_ACT_FFO_THOM" vbProcedure="false">"c4005"</definedName>
    <definedName function="false" hidden="true" name="IQ_EST_ACT_NAV_SHARE_REUT" vbProcedure="false">"c5616"</definedName>
    <definedName function="false" hidden="true" name="IQ_EST_ACT_NET_DEBT_REUT" vbProcedure="false">"c5446"</definedName>
    <definedName function="false" hidden="true" name="IQ_EST_ACT_NI_GW_REUT" vbProcedure="false">"c5381"</definedName>
    <definedName function="false" hidden="true" name="IQ_EST_ACT_NI_REPORTED_REUT" vbProcedure="false">"c5388"</definedName>
    <definedName function="false" hidden="true" name="IQ_EST_ACT_NI_REUT" vbProcedure="false">"c5374"</definedName>
    <definedName function="false" hidden="true" name="IQ_EST_ACT_OPER_INC_REUT" vbProcedure="false">"c5346"</definedName>
    <definedName function="false" hidden="true" name="IQ_EST_ACT_PRETAX_GW_INC_REUT" vbProcedure="false">"c5360"</definedName>
    <definedName function="false" hidden="true" name="IQ_EST_ACT_PRETAX_INC_REUT" vbProcedure="false">"c5353"</definedName>
    <definedName function="false" hidden="true" name="IQ_EST_ACT_PRETAX_REPORT_INC_REUT" vbProcedure="false">"c5367"</definedName>
    <definedName function="false" hidden="true" name="IQ_EST_ACT_RETURN_ASSETS_REUT" vbProcedure="false">"c3996"</definedName>
    <definedName function="false" hidden="true" name="IQ_EST_ACT_RETURN_EQUITY_REUT" vbProcedure="false">"c3989"</definedName>
    <definedName function="false" hidden="true" name="IQ_EST_ACT_REV_REUT" vbProcedure="false">"c3835"</definedName>
    <definedName function="false" hidden="false" name="IQ_EST_BV_DIFF_REUT" vbProcedure="false">"c5433"</definedName>
    <definedName function="false" hidden="true" name="IQ_EST_BV_DIFF_THOM" vbProcedure="false">"c5204"</definedName>
    <definedName function="false" hidden="false" name="IQ_EST_BV_SURPRISE_PERCENT_REUT" vbProcedure="false">"c5434"</definedName>
    <definedName function="false" hidden="true" name="IQ_EST_BV_SURPRISE_PERCENT_THOM" vbProcedure="false">"c5205"</definedName>
    <definedName function="false" hidden="true" name="IQ_EST_CAPEX_GROWTH_1YR_REUT" vbProcedure="false">"c5447"</definedName>
    <definedName function="false" hidden="true" name="IQ_EST_CAPEX_GROWTH_2YR_REUT" vbProcedure="false">"c5448"</definedName>
    <definedName function="false" hidden="true" name="IQ_EST_CAPEX_GROWTH_Q_1YR_REUT" vbProcedure="false">"c5449"</definedName>
    <definedName function="false" hidden="true" name="IQ_EST_CAPEX_SEQ_GROWTH_Q_REUT" vbProcedure="false">"c5450"</definedName>
    <definedName function="false" hidden="true" name="IQ_EST_CFPS_DIFF_REUT" vbProcedure="false">"c3892"</definedName>
    <definedName function="false" hidden="true" name="IQ_EST_CFPS_GROWTH_1YR_REUT" vbProcedure="false">"c3878"</definedName>
    <definedName function="false" hidden="true" name="IQ_EST_CFPS_GROWTH_2YR_REUT" vbProcedure="false">"c3879"</definedName>
    <definedName function="false" hidden="true" name="IQ_EST_CFPS_GROWTH_Q_1YR_REUT" vbProcedure="false">"c3880"</definedName>
    <definedName function="false" hidden="true" name="IQ_EST_CFPS_SEQ_GROWTH_Q_REUT" vbProcedure="false">"c3881"</definedName>
    <definedName function="false" hidden="true" name="IQ_EST_CFPS_SURPRISE_PERCENT_REUT" vbProcedure="false">"c3893"</definedName>
    <definedName function="false" hidden="false" name="IQ_EST_CURRENCY" vbProcedure="false">"c2140"</definedName>
    <definedName function="false" hidden="true" name="IQ_EST_CURRENCY_REUT" vbProcedure="false">"c5437"</definedName>
    <definedName function="false" hidden="false" name="IQ_EST_DATE" vbProcedure="false">"c1634"</definedName>
    <definedName function="false" hidden="true" name="IQ_EST_DATE_REUT" vbProcedure="false">"c5438"</definedName>
    <definedName function="false" hidden="true" name="IQ_EST_DPS_DIFF_REUT" vbProcedure="false">"c3894"</definedName>
    <definedName function="false" hidden="true" name="IQ_EST_DPS_GROWTH_1YR_REUT" vbProcedure="false">"c3882"</definedName>
    <definedName function="false" hidden="true" name="IQ_EST_DPS_GROWTH_2YR_REUT" vbProcedure="false">"c3883"</definedName>
    <definedName function="false" hidden="true" name="IQ_EST_DPS_GROWTH_Q_1YR_REUT" vbProcedure="false">"c3884"</definedName>
    <definedName function="false" hidden="true" name="IQ_EST_DPS_SEQ_GROWTH_Q_REUT" vbProcedure="false">"c3885"</definedName>
    <definedName function="false" hidden="true" name="IQ_EST_DPS_SURPRISE_PERCENT_REUT" vbProcedure="false">"c3895"</definedName>
    <definedName function="false" hidden="true" name="IQ_EST_EBITDA_DIFF_REUT" vbProcedure="false">"c3888"</definedName>
    <definedName function="false" hidden="true" name="IQ_EST_EBITDA_GROWTH_1YR_REUT" vbProcedure="false">"c3864"</definedName>
    <definedName function="false" hidden="true" name="IQ_EST_EBITDA_GROWTH_2YR_REUT" vbProcedure="false">"c3865"</definedName>
    <definedName function="false" hidden="true" name="IQ_EST_EBITDA_GROWTH_Q_1YR_REUT" vbProcedure="false">"c3866"</definedName>
    <definedName function="false" hidden="true" name="IQ_EST_EBITDA_SEQ_GROWTH_Q_REUT" vbProcedure="false">"c3867"</definedName>
    <definedName function="false" hidden="true" name="IQ_EST_EBITDA_SURPRISE_PERCENT_REUT" vbProcedure="false">"c3889"</definedName>
    <definedName function="false" hidden="true" name="IQ_EST_EBIT_DIFF_REUT" vbProcedure="false">"c5413"</definedName>
    <definedName function="false" hidden="true" name="IQ_EST_EBIT_SURPRISE_PERCENT_REUT" vbProcedure="false">"c5414"</definedName>
    <definedName function="false" hidden="false" name="IQ_EST_EPS_DIFF" vbProcedure="false">"c1864"</definedName>
    <definedName function="false" hidden="true" name="IQ_EST_EPS_DIFF_REUT" vbProcedure="false">"c5458"</definedName>
    <definedName function="false" hidden="false" name="IQ_EST_EPS_GROWTH_1YR" vbProcedure="false">"c1636"</definedName>
    <definedName function="false" hidden="true" name="IQ_EST_EPS_GROWTH_1YR_REUT" vbProcedure="false">"c3646"</definedName>
    <definedName function="false" hidden="true" name="IQ_EST_EPS_GROWTH_2YR_REUT" vbProcedure="false">"c3858"</definedName>
    <definedName function="false" hidden="false" name="IQ_EST_EPS_GROWTH_5YR" vbProcedure="false">"c1655"</definedName>
    <definedName function="false" hidden="true" name="IQ_EST_EPS_GROWTH_5YR_BOTTOM_UP_REUT" vbProcedure="false">"c5495"</definedName>
    <definedName function="false" hidden="false" name="IQ_EST_EPS_GROWTH_5YR_HIGH" vbProcedure="false">"c1657"</definedName>
    <definedName function="false" hidden="true" name="IQ_EST_EPS_GROWTH_5YR_HIGH_REUT" vbProcedure="false">"c5322"</definedName>
    <definedName function="false" hidden="false" name="IQ_EST_EPS_GROWTH_5YR_LOW" vbProcedure="false">"c1658"</definedName>
    <definedName function="false" hidden="true" name="IQ_EST_EPS_GROWTH_5YR_LOW_REUT" vbProcedure="false">"c5323"</definedName>
    <definedName function="false" hidden="false" name="IQ_EST_EPS_GROWTH_5YR_MEDIAN" vbProcedure="false">"c1656"</definedName>
    <definedName function="false" hidden="true" name="IQ_EST_EPS_GROWTH_5YR_MEDIAN_REUT" vbProcedure="false">"c5321"</definedName>
    <definedName function="false" hidden="false" name="IQ_EST_EPS_GROWTH_5YR_NUM" vbProcedure="false">"c1659"</definedName>
    <definedName function="false" hidden="true" name="IQ_EST_EPS_GROWTH_5YR_NUM_REUT" vbProcedure="false">"c5324"</definedName>
    <definedName function="false" hidden="true" name="IQ_EST_EPS_GROWTH_5YR_REUT" vbProcedure="false">"c3633"</definedName>
    <definedName function="false" hidden="false" name="IQ_EST_EPS_GROWTH_5YR_STDDEV" vbProcedure="false">"c1660"</definedName>
    <definedName function="false" hidden="true" name="IQ_EST_EPS_GROWTH_5YR_STDDEV_REUT" vbProcedure="false">"c5325"</definedName>
    <definedName function="false" hidden="false" name="IQ_EST_EPS_GROWTH_Q_1YR" vbProcedure="false">"c1641"</definedName>
    <definedName function="false" hidden="true" name="IQ_EST_EPS_GROWTH_Q_1YR_REUT" vbProcedure="false">"c5410"</definedName>
    <definedName function="false" hidden="true" name="IQ_EST_EPS_GW_DIFF_REUT" vbProcedure="false">"c5429"</definedName>
    <definedName function="false" hidden="true" name="IQ_EST_EPS_GW_SURPRISE_PERCENT_REUT" vbProcedure="false">"c5430"</definedName>
    <definedName function="false" hidden="true" name="IQ_EST_EPS_NORM_DIFF_REUT" vbProcedure="false">"c5411"</definedName>
    <definedName function="false" hidden="true" name="IQ_EST_EPS_NORM_SURPRISE_PERCENT_REUT" vbProcedure="false">"c5412"</definedName>
    <definedName function="false" hidden="true" name="IQ_EST_EPS_REPORT_DIFF_REUT" vbProcedure="false">"c5431"</definedName>
    <definedName function="false" hidden="true" name="IQ_EST_EPS_REPORT_SURPRISE_PERCENT_REUT" vbProcedure="false">"c5432"</definedName>
    <definedName function="false" hidden="true" name="IQ_EST_EPS_SEQ_GROWTH_Q_REUT" vbProcedure="false">"c3859"</definedName>
    <definedName function="false" hidden="false" name="IQ_EST_EPS_SURPRISE" vbProcedure="false">"c1635"</definedName>
    <definedName function="false" hidden="true" name="IQ_EST_EPS_SURPRISE_PERCENT_REUT" vbProcedure="false">"c5459"</definedName>
    <definedName function="false" hidden="false" name="IQ_EST_FFO_DIFF_REUT" vbProcedure="false">"c3890"</definedName>
    <definedName function="false" hidden="false" name="IQ_EST_FFO_DIFF_THOM" vbProcedure="false">"c5186"</definedName>
    <definedName function="false" hidden="true" name="IQ_EST_FFO_GROWTH_1YR_REUT" vbProcedure="false">"c3874"</definedName>
    <definedName function="false" hidden="true" name="IQ_EST_FFO_GROWTH_2YR_REUT" vbProcedure="false">"c3875"</definedName>
    <definedName function="false" hidden="true" name="IQ_EST_FFO_GROWTH_Q_1YR_REUT" vbProcedure="false">"c3876"</definedName>
    <definedName function="false" hidden="true" name="IQ_EST_FFO_SEQ_GROWTH_Q_REUT" vbProcedure="false">"c3877"</definedName>
    <definedName function="false" hidden="true" name="IQ_EST_FFO_SHARE_SHARE_DIFF_THOM" vbProcedure="false">"c5186"</definedName>
    <definedName function="false" hidden="true" name="IQ_EST_FFO_SHARE_SHARE_SURPRISE_PERCENT_THOM" vbProcedure="false">"c5187"</definedName>
    <definedName function="false" hidden="false" name="IQ_EST_FFO_SURPRISE_PERCENT_REUT" vbProcedure="false">"c3891"</definedName>
    <definedName function="false" hidden="false" name="IQ_EST_FFO_SURPRISE_PERCENT_THOM" vbProcedure="false">"c5187"</definedName>
    <definedName function="false" hidden="true" name="IQ_EST_FOOTNOTE_REUT" vbProcedure="false">"c5478"</definedName>
    <definedName function="false" hidden="true" name="IQ_EST_NI_DIFF_REUT" vbProcedure="false">"c5423"</definedName>
    <definedName function="false" hidden="true" name="IQ_EST_NI_GW_DIFF_REUT" vbProcedure="false">"c5425"</definedName>
    <definedName function="false" hidden="true" name="IQ_EST_NI_GW_SURPRISE_PERCENT_REUT" vbProcedure="false">"c5426"</definedName>
    <definedName function="false" hidden="true" name="IQ_EST_NI_REPORT_DIFF_REUT" vbProcedure="false">"c5427"</definedName>
    <definedName function="false" hidden="true" name="IQ_EST_NI_REPORT_SURPRISE_PERCENT_REUT" vbProcedure="false">"c5428"</definedName>
    <definedName function="false" hidden="true" name="IQ_EST_NI_SURPRISE_PERCENT_REUT" vbProcedure="false">"c5424"</definedName>
    <definedName function="false" hidden="true" name="IQ_EST_NUM_BUY_CIQ" vbProcedure="false">"c3700"</definedName>
    <definedName function="false" hidden="false" name="IQ_EST_NUM_BUY_REUT" vbProcedure="false">"c3869"</definedName>
    <definedName function="false" hidden="true" name="IQ_EST_NUM_BUY_THOM" vbProcedure="false">"c5165"</definedName>
    <definedName function="false" hidden="true" name="IQ_EST_NUM_HIGHEST_REC_REUT" vbProcedure="false">"c3869"</definedName>
    <definedName function="false" hidden="true" name="IQ_EST_NUM_HIGH_REC_REUT" vbProcedure="false">"c3870"</definedName>
    <definedName function="false" hidden="true" name="IQ_EST_NUM_HOLD_CIQ" vbProcedure="false">"c3702"</definedName>
    <definedName function="false" hidden="false" name="IQ_EST_NUM_HOLD_REUT" vbProcedure="false">"c3871"</definedName>
    <definedName function="false" hidden="true" name="IQ_EST_NUM_HOLD_THOM" vbProcedure="false">"c5167"</definedName>
    <definedName function="false" hidden="true" name="IQ_EST_NUM_LOWEST_REC_REUT" vbProcedure="false">"c3873"</definedName>
    <definedName function="false" hidden="true" name="IQ_EST_NUM_LOW_REC_REUT" vbProcedure="false">"c3872"</definedName>
    <definedName function="false" hidden="true" name="IQ_EST_NUM_NEUTRAL_REC_REUT" vbProcedure="false">"c3871"</definedName>
    <definedName function="false" hidden="true" name="IQ_EST_NUM_NO_OPINION_REUT" vbProcedure="false">"c3868"</definedName>
    <definedName function="false" hidden="true" name="IQ_EST_NUM_OUTPERFORM_CIQ" vbProcedure="false">"c3701"</definedName>
    <definedName function="false" hidden="false" name="IQ_EST_NUM_OUTPERFORM_REUT" vbProcedure="false">"c3870"</definedName>
    <definedName function="false" hidden="true" name="IQ_EST_NUM_OUTPERFORM_THOM" vbProcedure="false">"c5166"</definedName>
    <definedName function="false" hidden="true" name="IQ_EST_NUM_SELL_CIQ" vbProcedure="false">"c3704"</definedName>
    <definedName function="false" hidden="false" name="IQ_EST_NUM_SELL_REUT" vbProcedure="false">"c3873"</definedName>
    <definedName function="false" hidden="true" name="IQ_EST_NUM_SELL_THOM" vbProcedure="false">"c5169"</definedName>
    <definedName function="false" hidden="true" name="IQ_EST_NUM_UNDERPERFORM_CIQ" vbProcedure="false">"c3703"</definedName>
    <definedName function="false" hidden="false" name="IQ_EST_NUM_UNDERPERFORM_REUT" vbProcedure="false">"c3872"</definedName>
    <definedName function="false" hidden="true" name="IQ_EST_NUM_UNDERPERFORM_THOM" vbProcedure="false">"c5168"</definedName>
    <definedName function="false" hidden="true" name="IQ_EST_OPER_INC_DIFF_REUT" vbProcedure="false">"c5415"</definedName>
    <definedName function="false" hidden="true" name="IQ_EST_OPER_INC_SURPRISE_PERCENT_REUT" vbProcedure="false">"c5416"</definedName>
    <definedName function="false" hidden="true" name="IQ_EST_PRE_TAX_DIFF_REUT" vbProcedure="false">"c5417"</definedName>
    <definedName function="false" hidden="true" name="IQ_EST_PRE_TAX_GW_DIFF_REUT" vbProcedure="false">"c5419"</definedName>
    <definedName function="false" hidden="true" name="IQ_EST_PRE_TAX_GW_SURPRISE_PERCENT_REUT" vbProcedure="false">"c5420"</definedName>
    <definedName function="false" hidden="true" name="IQ_EST_PRE_TAX_REPORT_DIFF_REUT" vbProcedure="false">"c5421"</definedName>
    <definedName function="false" hidden="true" name="IQ_EST_PRE_TAX_REPORT_SURPRISE_PERCENT_REUT" vbProcedure="false">"c5422"</definedName>
    <definedName function="false" hidden="true" name="IQ_EST_PRE_TAX_SURPRISE_PERCENT_REUT" vbProcedure="false">"c5418"</definedName>
    <definedName function="false" hidden="true" name="IQ_EST_REV_DIFF_REUT" vbProcedure="false">"c3886"</definedName>
    <definedName function="false" hidden="true" name="IQ_EST_REV_GROWTH_1YR_REUT" vbProcedure="false">"c3860"</definedName>
    <definedName function="false" hidden="true" name="IQ_EST_REV_GROWTH_2YR_REUT" vbProcedure="false">"c3861"</definedName>
    <definedName function="false" hidden="true" name="IQ_EST_REV_GROWTH_Q_1YR_REUT" vbProcedure="false">"c3862"</definedName>
    <definedName function="false" hidden="true" name="IQ_EST_REV_SEQ_GROWTH_Q_REUT" vbProcedure="false">"c3863"</definedName>
    <definedName function="false" hidden="true" name="IQ_EST_REV_SURPRISE_PERCENT_REUT" vbProcedure="false">"c3887"</definedName>
    <definedName function="false" hidden="false" name="IQ_EVAL_DATE" vbProcedure="false">"c2180"</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"ba"</definedName>
    <definedName function="false" hidden="true" name="IQ_EXPENSE_CODE__1" vbProcedure="false">3618</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ORT_USD" vbProcedure="false">"c20650"</definedName>
    <definedName function="false" hidden="false" name="IQ_EXP_RETTRN_PENSION_FOREIGN" vbProcedure="false">"c408"</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ATEMS_BR" vbProcedure="false">"c412"</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CM"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true" name="IQ_EXTRA_ITEMS_OTHER_ADJUSTMENTS_FOREIGN_FFIEC" vbProcedure="false">"c15392"</definedName>
    <definedName function="false" hidden="false" name="IQ_FAIR_VALUE_FDIC" vbProcedure="false">"c6427"</definedName>
    <definedName function="false" hidden="true" name="IQ_FARMLAND_DOM_FFIEC" vbProcedure="false">"c15268"</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DI_INFLOWS" vbProcedure="false">"c20651"</definedName>
    <definedName function="false" hidden="false" name="IQ_FDI_NET" vbProcedure="false">"c20652"</definedName>
    <definedName function="false" hidden="false" name="IQ_FDI_OUTFLOWS" vbProcedure="false">"c20653"</definedName>
    <definedName function="false" hidden="false" name="IQ_FEDFUNDS_SOLD" vbProcedure="false">"c2256"</definedName>
    <definedName function="false" hidden="false" name="IQ_FED_FUNDS_PURCHASED_FDIC" vbProcedure="false">"c6343"</definedName>
    <definedName function="false" hidden="true" name="IQ_FED_FUNDS_PURCH_SEC_SOLD_FAIR_VALUE_TOT_FFIEC" vbProcedure="false">"c15406"</definedName>
    <definedName function="false" hidden="true" name="IQ_FED_FUNDS_PURCH_SEC_SOLD_LEVEL_1_FFIEC" vbProcedure="false">"c15428"</definedName>
    <definedName function="false" hidden="true" name="IQ_FED_FUNDS_PURCH_SEC_SOLD_LEVEL_2_FFIEC" vbProcedure="false">"c15441"</definedName>
    <definedName function="false" hidden="true" name="IQ_FED_FUNDS_PURCH_SEC_SOLD_LEVEL_3_FFIEC" vbProcedure="false">"c15454"</definedName>
    <definedName function="false" hidden="false" name="IQ_FED_FUNDS_SOLD_FDIC" vbProcedure="false">"c6307"</definedName>
    <definedName function="false" hidden="true" name="IQ_FED_FUNDS_SOLD_SEC_PURCH_FAIR_VALUE_TOT_FFIEC" vbProcedure="false">"c15402"</definedName>
    <definedName function="false" hidden="true" name="IQ_FED_FUNDS_SOLD_SEC_PURCH_LEVEL_1_FFIEC" vbProcedure="false">"c15424"</definedName>
    <definedName function="false" hidden="true" name="IQ_FED_FUNDS_SOLD_SEC_PURCH_LEVEL_2_FFIEC" vbProcedure="false">"c15437"</definedName>
    <definedName function="false" hidden="true" name="IQ_FED_FUNDS_SOLD_SEC_PURCH_LEVEL_3_FFIEC" vbProcedure="false">"c15450"</definedName>
    <definedName function="false" hidden="true" name="IQ_FED_FUND_PURCHASED_SEC_SOLD_REPURCHASE_FFIEC" vbProcedure="false">"c15489"</definedName>
    <definedName function="false" hidden="true" name="IQ_FED_FUND_SOLD_SEC_PURCHASED_RESELL_FFIEC" vbProcedure="false">"c15488"</definedName>
    <definedName function="false" hidden="true" name="IQ_FEES_OTHER_INCOME" vbProcedure="false">"c15257"</definedName>
    <definedName function="false" hidden="false" name="IQ_FFO" vbProcedure="false">"c1574"</definedName>
    <definedName function="false" hidden="true" name="IQ_FFO_ADJ_EST_CIQ" vbProcedure="false">"c4959"</definedName>
    <definedName function="false" hidden="true" name="IQ_FFO_ADJ_HIGH_EST_CIQ" vbProcedure="false">"c4962"</definedName>
    <definedName function="false" hidden="true" name="IQ_FFO_ADJ_LOW_EST_CIQ" vbProcedure="false">"c4963"</definedName>
    <definedName function="false" hidden="true" name="IQ_FFO_ADJ_MEDIAN_EST_CIQ" vbProcedure="false">"c4964"</definedName>
    <definedName function="false" hidden="true" name="IQ_FFO_ADJ_NUM_EST_CIQ" vbProcedure="false">"c4965"</definedName>
    <definedName function="false" hidden="true" name="IQ_FFO_ADJ_STDDEV_EST_CIQ" vbProcedure="false">"c4966"</definedName>
    <definedName function="false" hidden="true" name="IQ_FFO_EST_CIQ" vbProcedure="false">"c4970"</definedName>
    <definedName function="false" hidden="false" name="IQ_FFO_EST_REUT" vbProcedure="false">"c3837"</definedName>
    <definedName function="false" hidden="false" name="IQ_FFO_EST_THOM" vbProcedure="false">"c3999"</definedName>
    <definedName function="false" hidden="tru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tru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tru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true" name="IQ_FFO_NO_EST" vbProcedure="false">"c276"</definedName>
    <definedName function="false" hidden="tru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true" name="IQ_FFO_SHARE_SHARE_EST_DET_EST" vbProcedure="false">"c12059"</definedName>
    <definedName function="false" hidden="true" name="IQ_FFO_SHARE_SHARE_EST_DET_EST_CURRENCY" vbProcedure="false">"c12466"</definedName>
    <definedName function="false" hidden="true" name="IQ_FFO_SHARE_SHARE_EST_DET_EST_CURRENCY_THOM" vbProcedure="false">"c12487"</definedName>
    <definedName function="false" hidden="true" name="IQ_FFO_SHARE_SHARE_EST_DET_EST_DATE" vbProcedure="false">"c12212"</definedName>
    <definedName function="false" hidden="true" name="IQ_FFO_SHARE_SHARE_EST_DET_EST_DATE_THOM" vbProcedure="false">"c12238"</definedName>
    <definedName function="false" hidden="true" name="IQ_FFO_SHARE_SHARE_EST_DET_EST_INCL" vbProcedure="false">"c12349"</definedName>
    <definedName function="false" hidden="true" name="IQ_FFO_SHARE_SHARE_EST_DET_EST_INCL_THOM" vbProcedure="false">"c12370"</definedName>
    <definedName function="false" hidden="true" name="IQ_FFO_SHARE_SHARE_EST_DET_EST_ORIGIN" vbProcedure="false">"c12722"</definedName>
    <definedName function="false" hidden="true" name="IQ_FFO_SHARE_SHARE_EST_DET_EST_ORIGIN_THOM" vbProcedure="false">"c12608"</definedName>
    <definedName function="false" hidden="true" name="IQ_FFO_SHARE_SHARE_EST_DET_EST_THOM" vbProcedure="false">"c12088"</definedName>
    <definedName function="false" hidden="true" name="IQ_FFO_SHARE_SHARE_EST_THOM" vbProcedure="false">"c3999"</definedName>
    <definedName function="false" hidden="true" name="IQ_FFO_SHARE_SHARE_HIGH_EST_THOM" vbProcedure="false">"c4001"</definedName>
    <definedName function="false" hidden="true" name="IQ_FFO_SHARE_SHARE_LOW_EST_THOM" vbProcedure="false">"c4002"</definedName>
    <definedName function="false" hidden="true" name="IQ_FFO_SHARE_SHARE_MEDIAN_EST_THOM" vbProcedure="false">"c4000"</definedName>
    <definedName function="false" hidden="true" name="IQ_FFO_SHARE_SHARE_NUM_EST_THOM" vbProcedure="false">"c4003"</definedName>
    <definedName function="false" hidden="true" name="IQ_FFO_SHARE_SHARE_STDDEV_EST_THOM" vbProcedure="false">"c4004"</definedName>
    <definedName function="false" hidden="tru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tru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VFIVE" vbProcedure="false">"c2085"</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INT_DATE" vbProcedure="false">"c2186"</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BALANCE_PCT_GDP" vbProcedure="false">"c20654"</definedName>
    <definedName function="false" hidden="false" name="IQ_FISCAL_Q" vbProcedure="false">"c440"</definedName>
    <definedName function="false" hidden="true" name="IQ_FISCAL_Q_EST_REUT" vbProcedure="false">"c6798"</definedName>
    <definedName function="false" hidden="false" name="IQ_FISCAL_Y" vbProcedure="false">"c441"</definedName>
    <definedName function="false" hidden="true" name="IQ_FISCAL_Y_EST_REUT" vbProcedure="false">"c6799"</definedName>
    <definedName function="false" hidden="true" name="IQ_FIVEPERCENT_OWNER" vbProcedure="false">"c239"</definedName>
    <definedName function="false" hidden="false" name="IQ_FIVEPERCENT_PERCENT" vbProcedure="false">"c443"</definedName>
    <definedName function="false" hidden="false" name="IQ_FIVEPERCENT_SHARES" vbProcedure="false">"c444"</definedName>
    <definedName function="false" hidden="true" name="IQ_FIVE_PERCENT_AMOUNT" vbProcedure="false">"c240"</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IXED_RATE_DEBT" vbProcedure="false">"c17894"</definedName>
    <definedName function="false" hidden="false" name="IQ_FIXED_RATE_DEBT_PCT" vbProcedure="false">"c18008"</definedName>
    <definedName function="false" hidden="true" name="IQ_FLOAT" vbProcedure="false">"c225"</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true" name="IQ_FORECLOSED_PROP_GNMA_LOANS_FFIEC" vbProcedure="false">"c15272"</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true" name="IQ_FOREIGN_GOVT_OFFICIAL_INST_FOREIGN_DEP_FFIEC" vbProcedure="false">"c15345"</definedName>
    <definedName function="false" hidden="true" name="IQ_FOREIGN_GOVT_OFFICIAL_INST_NON_TRANS_ACCTS_FFIEC" vbProcedure="false">"c15327"</definedName>
    <definedName function="false" hidden="true" name="IQ_FOREIGN_GOVT_OFFICIAL_INST_TRANS_ACCTS_FFIEC" vbProcedure="false">"c15319"</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true" name="IQ_FULLY_INSURED_BROKERED_DEPOSITS_FFIEC" vbProcedure="false">"c15305"</definedName>
    <definedName function="false" hidden="false" name="IQ_FULLY_INSURED_DEPOSITS_FDIC" vbProcedure="false">"c6487"</definedName>
    <definedName function="false" hidden="false" name="IQ_FULL_TIME" vbProcedure="false">"c450"</definedName>
    <definedName function="false" hidden="true" name="IQ_FUND_NAV" vbProcedure="false">"c15225"</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true" name="IQ_FWD_CY" vbProcedure="false">10001</definedName>
    <definedName function="false" hidden="true" name="IQ_FWD_CY1" vbProcedure="false">10002</definedName>
    <definedName function="false" hidden="true" name="IQ_FWD_CY2" vbProcedure="false">10003</definedName>
    <definedName function="false" hidden="true" name="IQ_FWD_FY" vbProcedure="false">1001</definedName>
    <definedName function="false" hidden="true" name="IQ_FWD_FY1" vbProcedure="false">1002</definedName>
    <definedName function="false" hidden="true" name="IQ_FWD_FY2" vbProcedure="false">1003</definedName>
    <definedName function="false" hidden="true" name="IQ_FWD_Q" vbProcedure="false">501</definedName>
    <definedName function="false" hidden="true" name="IQ_FWD_Q1" vbProcedure="false">502</definedName>
    <definedName function="false" hidden="tru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X_RATE" vbProcedure="false">"c20655"</definedName>
    <definedName function="false" hidden="false" name="IQ_FX_RATE_FC" vbProcedure="false">"c20656"</definedName>
    <definedName function="false" hidden="false" name="IQ_FX_RESERVES" vbProcedure="false">"c20657"</definedName>
    <definedName function="false" hidden="false" name="IQ_FX_RESERVES_PCT_GDP" vbProcedure="false">"c20658"</definedName>
    <definedName function="false" hidden="false" name="IQ_FX_RESERVES_PCT_GDP_FC" vbProcedure="false">"c20659"</definedName>
    <definedName function="false" hidden="false" name="IQ_FY" vbProcedure="false">1000</definedName>
    <definedName function="false" hidden="false" name="IQ_FY_DATE" vbProcedure="false">"IQ_FY_DATE"</definedName>
    <definedName function="false" hidden="true" name="IQ_GAAP_EST_CIQ" vbProcedure="false">"c13924"</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CM"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CM" vbProcedure="false">"c454"</definedName>
    <definedName function="false" hidden="false" name="IQ_GAIN_ASSETS_FIN" vbProcedure="false">"c462"</definedName>
    <definedName function="false" hidden="false" name="IQ_GAIN_ASSETS_INS" vbProcedure="false">"c463"</definedName>
    <definedName function="false" hidden="true" name="IQ_GAIN_ASSETS_REC" vbProcedure="false">"c464"</definedName>
    <definedName function="false" hidden="true" name="IQ_GAIN_ASSETS_REC_BNK" vbProcedure="false">"c465"</definedName>
    <definedName function="false" hidden="true" name="IQ_GAIN_ASSETS_REC_BR" vbProcedure="false">"c466"</definedName>
    <definedName function="false" hidden="true" name="IQ_GAIN_ASSETS_REC_FIN" vbProcedure="false">"c467"</definedName>
    <definedName function="false" hidden="true" name="IQ_GAIN_ASSETS_REC_INS" vbProcedure="false">"c468"</definedName>
    <definedName function="false" hidden="true" name="IQ_GAIN_ASSETS_REC_REIT" vbProcedure="false">"c469"</definedName>
    <definedName function="false" hidden="true" name="IQ_GAIN_ASSETS_REC_UTI" vbProcedure="false">"c470"</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CM"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CM"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CM" vbProcedure="false">"c1464"</definedName>
    <definedName function="false" hidden="false" name="IQ_GAIN_INVEST_FIN" vbProcedure="false">"c1465"</definedName>
    <definedName function="false" hidden="false" name="IQ_GAIN_INVEST_INS" vbProcedure="false">"c1466"</definedName>
    <definedName function="false" hidden="true" name="IQ_GAIN_INVEST_REC" vbProcedure="false">"c487"</definedName>
    <definedName function="false" hidden="true" name="IQ_GAIN_INVEST_REC_BNK" vbProcedure="false">"c488"</definedName>
    <definedName function="false" hidden="true" name="IQ_GAIN_INVEST_REC_BR" vbProcedure="false">"c489"</definedName>
    <definedName function="false" hidden="true" name="IQ_GAIN_INVEST_REC_FIN" vbProcedure="false">"c490"</definedName>
    <definedName function="false" hidden="true" name="IQ_GAIN_INVEST_REC_INS" vbProcedure="false">"c491"</definedName>
    <definedName function="false" hidden="true" name="IQ_GAIN_INVEST_REC_REIT" vbProcedure="false">"c492"</definedName>
    <definedName function="false" hidden="true" name="IQ_GAIN_INVEST_REC_UTI" vbProcedure="false">"c493"</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CM"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true" name="IQ_GAIN_LOSS_HTM_AFS_SECURITIES_FOREIGN_FFIEC" vbProcedure="false">"c15384"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true" name="IQ_GENERAL_ALLOWANCE" vbProcedure="false">"c15248"</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OVT_CAPITAL_TRANSFER_PAYMENTS" vbProcedure="false">"c20660"</definedName>
    <definedName function="false" hidden="false" name="IQ_GOVT_CAPITAL_TRANSFER_RECEIPTS" vbProcedure="false">"c20661"</definedName>
    <definedName function="false" hidden="false" name="IQ_GOVT_CONSUM_FIXED_CAPITAL" vbProcedure="false">"c20663"</definedName>
    <definedName function="false" hidden="false" name="IQ_GOVT_CONTRIBUTIONS_SOCIAL_INSURANCE" vbProcedure="false">"c20664"</definedName>
    <definedName function="false" hidden="false" name="IQ_GOVT_CURRENT_EXPENDITURES" vbProcedure="false">"c20665"</definedName>
    <definedName function="false" hidden="false" name="IQ_GOVT_CURRENT_RECEIPTS" vbProcedure="false">"c20666"</definedName>
    <definedName function="false" hidden="false" name="IQ_GOVT_ENTERPRISE_SURPLUS" vbProcedure="false">"c20667"</definedName>
    <definedName function="false" hidden="false" name="IQ_GOVT_EXPENDITURES" vbProcedure="false">"c20668"</definedName>
    <definedName function="false" hidden="false" name="IQ_GOVT_EXPENDITURES_FEDERAL" vbProcedure="false">"c20669"</definedName>
    <definedName function="false" hidden="false" name="IQ_GOVT_GROSS_INVEST" vbProcedure="false">"c20673"</definedName>
    <definedName function="false" hidden="false" name="IQ_GOVT_GROSS_INVEST_EQUIP" vbProcedure="false">"c20674"</definedName>
    <definedName function="false" hidden="false" name="IQ_GOVT_GROSS_INVEST_FEDERAL" vbProcedure="false">"c20676"</definedName>
    <definedName function="false" hidden="false" name="IQ_GOVT_GROSS_INVEST_FEDERAL_DEFENSE_STRUCTURES" vbProcedure="false">"c20677"</definedName>
    <definedName function="false" hidden="false" name="IQ_GOVT_GROSS_INVEST_FEDERAL_DEF_EQUIP" vbProcedure="false">"c20679"</definedName>
    <definedName function="false" hidden="false" name="IQ_GOVT_GROSS_INVEST_FEDERAL_EQUIP" vbProcedure="false">"c20680"</definedName>
    <definedName function="false" hidden="false" name="IQ_GOVT_GROSS_INVEST_FEDERAL_NONDEFENSE_STRUCTURES" vbProcedure="false">"c24741"</definedName>
    <definedName function="false" hidden="false" name="IQ_GOVT_GROSS_INVEST_FEDERAL_NONDEF_EQUIP" vbProcedure="false">"c20682"</definedName>
    <definedName function="false" hidden="false" name="IQ_GOVT_GROSS_INVEST_FEDERAL_STRUCTURES" vbProcedure="false">"c20683"</definedName>
    <definedName function="false" hidden="false" name="IQ_GOVT_GROSS_INVEST_STATE_LOCAL_EQUIP" vbProcedure="false">"c20685"</definedName>
    <definedName function="false" hidden="false" name="IQ_GOVT_GROSS_INVEST_STATE_LOCAL_STRUCTURES" vbProcedure="false">"c20686"</definedName>
    <definedName function="false" hidden="false" name="IQ_GOVT_GROSS_INVEST_STRUCTURES" vbProcedure="false">"c20687"</definedName>
    <definedName function="false" hidden="false" name="IQ_GOVT_INTEREST_PAYMENTS" vbProcedure="false">"c20688"</definedName>
    <definedName function="false" hidden="false" name="IQ_GOVT_INTEREST_PAYMENTS_PERSON" vbProcedure="false">"c20689"</definedName>
    <definedName function="false" hidden="false" name="IQ_GOVT_INTEREST_PAYMENTS_WORLD" vbProcedure="false">"c20690"</definedName>
    <definedName function="false" hidden="false" name="IQ_GOVT_NET_BORROWING" vbProcedure="false">"c20691"</definedName>
    <definedName function="false" hidden="false" name="IQ_GOVT_NET_PURCHASE_NONPRODUCED_ASSETS" vbProcedure="false">"c20692"</definedName>
    <definedName function="false" hidden="false" name="IQ_GOVT_NET_SAVING" vbProcedure="false">"c20693"</definedName>
    <definedName function="false" hidden="false" name="IQ_GOVT_REAL_EXPENDITURES" vbProcedure="false">"c20694"</definedName>
    <definedName function="false" hidden="false" name="IQ_GOVT_REAL_EXPENDITURES_FEDERAL" vbProcedure="false">"c20695"</definedName>
    <definedName function="false" hidden="false" name="IQ_GOVT_REAL_GROSS_INVEST" vbProcedure="false">"c20699"</definedName>
    <definedName function="false" hidden="false" name="IQ_GOVT_REAL_GROSS_INVEST_EQUIP" vbProcedure="false">"c20700"</definedName>
    <definedName function="false" hidden="false" name="IQ_GOVT_REAL_GROSS_INVEST_FEDERAL" vbProcedure="false">"c20701"</definedName>
    <definedName function="false" hidden="false" name="IQ_GOVT_REAL_GROSS_INVEST_FEDERAL_DEFENSE_STRUCTURES" vbProcedure="false">"c20702"</definedName>
    <definedName function="false" hidden="false" name="IQ_GOVT_REAL_GROSS_INVEST_FEDERAL_DEF_EQUIP" vbProcedure="false">"c20704"</definedName>
    <definedName function="false" hidden="false" name="IQ_GOVT_REAL_GROSS_INVEST_FEDERAL_EQUIP" vbProcedure="false">"c20705"</definedName>
    <definedName function="false" hidden="false" name="IQ_GOVT_REAL_GROSS_INVEST_FEDERAL_NONDEFENSE_STRUCTURES" vbProcedure="false">"c24742"</definedName>
    <definedName function="false" hidden="false" name="IQ_GOVT_REAL_GROSS_INVEST_FEDERAL_NONDEF_EQUIP" vbProcedure="false">"c20707"</definedName>
    <definedName function="false" hidden="false" name="IQ_GOVT_REAL_GROSS_INVEST_FEDERAL_STRUCTURES" vbProcedure="false">"c20708"</definedName>
    <definedName function="false" hidden="false" name="IQ_GOVT_REAL_GROSS_INVEST_STATE_LOCAL_EQUIP" vbProcedure="false">"c20710"</definedName>
    <definedName function="false" hidden="false" name="IQ_GOVT_REAL_GROSS_INVEST_STATE_LOCAL_STRUCTURES" vbProcedure="false">"c20711"</definedName>
    <definedName function="false" hidden="false" name="IQ_GOVT_REAL_GROSS_INVEST_STRUCTURES" vbProcedure="false">"c20712"</definedName>
    <definedName function="false" hidden="false" name="IQ_GOVT_REAL_RECEIPTS_CONSUM_INVEST_RESIDUAL" vbProcedure="false">"c20717"</definedName>
    <definedName function="false" hidden="false" name="IQ_GOVT_RECEIPTS_ASSETS" vbProcedure="false">"c20719"</definedName>
    <definedName function="false" hidden="false" name="IQ_GOVT_RECEIPTS_ASSETS_DIVIDENDS" vbProcedure="false">"c20720"</definedName>
    <definedName function="false" hidden="false" name="IQ_GOVT_RECEIPTS_ASSETS_INTEREST" vbProcedure="false">"c20721"</definedName>
    <definedName function="false" hidden="false" name="IQ_GOVT_RECEIPTS_ASSETS_RENT" vbProcedure="false">"c20722"</definedName>
    <definedName function="false" hidden="false" name="IQ_GOVT_RECEIPTS_EXPENSITURES_OTHER" vbProcedure="false">"c20728"</definedName>
    <definedName function="false" hidden="false" name="IQ_GOVT_RECEIPTS_TRANSFER" vbProcedure="false">"c20729"</definedName>
    <definedName function="false" hidden="false" name="IQ_GOVT_RECEIPTS_TRANSFER_BUSINESS" vbProcedure="false">"c20730"</definedName>
    <definedName function="false" hidden="false" name="IQ_GOVT_RECEIPTS_TRANSFER_PERSONAL" vbProcedure="false">"c20731"</definedName>
    <definedName function="false" hidden="false" name="IQ_GOVT_SOCIAL_BENEFITS" vbProcedure="false">"c20732"</definedName>
    <definedName function="false" hidden="false" name="IQ_GOVT_SOCIAL_BENEFITS_PERSONS" vbProcedure="false">"c20733"</definedName>
    <definedName function="false" hidden="false" name="IQ_GOVT_SOCIAL_BENEFITS_WORLD" vbProcedure="false">"c20734"</definedName>
    <definedName function="false" hidden="false" name="IQ_GOVT_SOCIAL_INSURANCE_FUNDS" vbProcedure="false">"c20735"</definedName>
    <definedName function="false" hidden="false" name="IQ_GOVT_SUBSIDIES" vbProcedure="false">"c20736"</definedName>
    <definedName function="false" hidden="false" name="IQ_GOVT_TAX_RECEIPTS" vbProcedure="false">"c20737"</definedName>
    <definedName function="false" hidden="false" name="IQ_GOVT_TAX_RECEIPTS_CORPORATE" vbProcedure="false">"c20738"</definedName>
    <definedName function="false" hidden="false" name="IQ_GOVT_TAX_RECEIPTS_CORPORATE_FED_RESERVE" vbProcedure="false">"c20739"</definedName>
    <definedName function="false" hidden="false" name="IQ_GOVT_TAX_RECEIPTS_CORPORATE_OTHER" vbProcedure="false">"c20740"</definedName>
    <definedName function="false" hidden="false" name="IQ_GOVT_TAX_RECEIPTS_CUSTOMS" vbProcedure="false">"c20741"</definedName>
    <definedName function="false" hidden="false" name="IQ_GOVT_TAX_RECEIPTS_EXCISE" vbProcedure="false">"c20742"</definedName>
    <definedName function="false" hidden="false" name="IQ_GOVT_TAX_RECEIPTS_PERSONAL" vbProcedure="false">"c20743"</definedName>
    <definedName function="false" hidden="false" name="IQ_GOVT_TAX_RECEIPTS_PRODUCTION_IMPORTS" vbProcedure="false">"c20744"</definedName>
    <definedName function="false" hidden="false" name="IQ_GOVT_TAX_RECEIPTS_WORLD" vbProcedure="false">"c20745"</definedName>
    <definedName function="false" hidden="false" name="IQ_GOVT_TOTAL_EXPENDITURES" vbProcedure="false">"c20746"</definedName>
    <definedName function="false" hidden="false" name="IQ_GOVT_TOTAL_RECEIPTS" vbProcedure="false">"c20747"</definedName>
    <definedName function="false" hidden="false" name="IQ_GOVT_TRANSFER_PAYMENTS" vbProcedure="false">"c20748"</definedName>
    <definedName function="false" hidden="false" name="IQ_GOVT_TRANSFER_PAYMENTS_OTHER" vbProcedure="false">"c20749"</definedName>
    <definedName function="false" hidden="false" name="IQ_GOVT_TRANSFER_PAYMENTS_OTHER_STATE_LOCAL" vbProcedure="false">"c20750"</definedName>
    <definedName function="false" hidden="false" name="IQ_GOVT_TRANSFER_PAYMENTS_OTHER_WORLD" vbProcedure="false">"c20751"</definedName>
    <definedName function="false" hidden="false" name="IQ_GOVT_WAGE_ACCRUAL" vbProcedure="false">"c20752"</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true" name="IQ_GROSS_GW" vbProcedure="false">"c519"</definedName>
    <definedName function="false" hidden="tru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SPRD" vbProcedure="false">"c2155"</definedName>
    <definedName function="false" hidden="false" name="IQ_GROSS_WRITTEN" vbProcedure="false">"c2726"</definedName>
    <definedName function="false" hidden="false" name="IQ_GW" vbProcedure="false">"c530"</definedName>
    <definedName function="false" hidden="true" name="IQ_GW_AMORT" vbProcedure="false">"c531"</definedName>
    <definedName function="false" hidden="false" name="IQ_GW_AMORT_BR" vbProcedure="false">"c532"</definedName>
    <definedName function="false" hidden="true" name="IQ_GW_AMORT_CF" vbProcedure="false">"c533"</definedName>
    <definedName function="false" hidden="true" name="IQ_GW_AMORT_CF_BNK" vbProcedure="false">"c534"</definedName>
    <definedName function="false" hidden="true" name="IQ_GW_AMORT_CF_BR" vbProcedure="false">"c535"</definedName>
    <definedName function="false" hidden="true" name="IQ_GW_AMORT_CF_FIN" vbProcedure="false">"c536"</definedName>
    <definedName function="false" hidden="true" name="IQ_GW_AMORT_CF_INS" vbProcedure="false">"c537"</definedName>
    <definedName function="false" hidden="true" name="IQ_GW_AMORT_CF_REIT" vbProcedure="false">"c538"</definedName>
    <definedName function="false" hidden="true" name="IQ_GW_AMORT_CF_UTI" vbProcedure="false">"c539"</definedName>
    <definedName function="false" hidden="false" name="IQ_GW_AMORT_CM"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CM"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CM" vbProcedure="false">"c1470"</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DGING_ACTIVITIES" vbProcedure="false">"c17899"</definedName>
    <definedName function="false" hidden="false" name="IQ_HEDGING_ACTIVITIES_PCT" vbProcedure="false">"c18013"</definedName>
    <definedName function="false" hidden="false" name="IQ_HELD_MATURITY_FDIC" vbProcedure="false">"c6408"</definedName>
    <definedName function="false" hidden="false" name="IQ_HIGHPRICE" vbProcedure="false">"c545"</definedName>
    <definedName function="false" hidden="true" name="IQ_HIGH_TARGET_PRICE" vbProcedure="false">"c1651"</definedName>
    <definedName function="false" hidden="tru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30YR_MORTGAGE" vbProcedure="false">"c20753"</definedName>
    <definedName function="false" hidden="false" name="IQ_HOUSING_COMPLETION" vbProcedure="false">"c20754"</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HOUSING_CONSTRUCTION_PERMITS" vbProcedure="false">"c20755"</definedName>
    <definedName function="false" hidden="false" name="IQ_HOUSING_CONSTRUCTION_PRIVATE" vbProcedure="false">"c20756"</definedName>
    <definedName function="false" hidden="false" name="IQ_HOUSING_EXISTING_HOME_SALES" vbProcedure="false">"c20757"</definedName>
    <definedName function="false" hidden="false" name="IQ_HOUSING_HOMEOWNERSHIP_RATE" vbProcedure="false">"c20759"</definedName>
    <definedName function="false" hidden="false" name="IQ_HOUSING_HOMEOWNER_VACANCY" vbProcedure="false">"c20758"</definedName>
    <definedName function="false" hidden="false" name="IQ_HOUSING_MEDIAN_SALES_PRICE" vbProcedure="false">"c20760"</definedName>
    <definedName function="false" hidden="false" name="IQ_HOUSING_NEW_HOME_SALES" vbProcedure="false">"c20761"</definedName>
    <definedName function="false" hidden="false" name="IQ_HOUSING_PENDING_HOME_SALE_INDEX" vbProcedure="false">"c20762"</definedName>
    <definedName function="false" hidden="false" name="IQ_HOUSING_RENTAL_VACANCY" vbProcedure="false">"c20763"</definedName>
    <definedName function="false" hidden="false" name="IQ_HOUSING_START" vbProcedure="false">"c20764"</definedName>
    <definedName function="false" hidden="true" name="IQ_HYBRID_CAPITAL" vbProcedure="false">"c15245"</definedName>
    <definedName function="false" hidden="true" name="IQ_HYBRID_STRUCTURED_PRODUCTS_AVAIL_SALE_FFIEC" vbProcedure="false">"c15265"</definedName>
    <definedName function="false" hidden="true" name="IQ_HYBRID_STRUCTURED_PRODUCTS_FFIEC" vbProcedure="false">"c15262"</definedName>
    <definedName function="false" hidden="true" name="IQ_IBF_COMM_INDUST_LOANS_FFIEC" vbProcedure="false">"c15298"</definedName>
    <definedName function="false" hidden="true" name="IQ_IBF_DEPOSIT_LIABILITIES_DUE_TO_BANKS_FFIEC" vbProcedure="false">"c15300"</definedName>
    <definedName function="false" hidden="true" name="IQ_IB_ADVISORY_UNDERWRITING_FEES_FOREIGN_FFIEC" vbProcedure="false">"c15378"</definedName>
    <definedName function="false" hidden="true" name="IQ_IMPAIRED_LOANS" vbProcedure="false">"c15250"</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ORTS_USD" vbProcedure="false">"c20765"</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true" name="IQ_INCOME_TAX_FOREIGN_FFIEC" vbProcedure="false">"c15391"</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CM" vbProcedure="false">"c550"</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true" name="IQ_INDEXCONSTITUENT_CLOSEPRICE" vbProcedure="false">"c19241"</definedName>
    <definedName function="false" hidden="true" name="IQ_INDEX_CURRENCY" vbProcedure="false">"c15224"</definedName>
    <definedName function="false" hidden="true" name="IQ_INDEX_PROVIDED_DIVIDEND" vbProcedure="false">"c19252"</definedName>
    <definedName function="false" hidden="true" name="IQ_INDEX_TYPE" vbProcedure="false">"c15223"</definedName>
    <definedName function="false" hidden="true" name="IQ_INDIVIDUAL" vbProcedure="false">"c15182"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true" name="IQ_INDIVIDUAL_ACTIVE_BOARD_MEMBERSHIPS" vbProcedure="false">"c15201"</definedName>
    <definedName function="false" hidden="true" name="IQ_INDIVIDUAL_ACTIVE_PRO_AFFILIATIONS" vbProcedure="false">"c15199"</definedName>
    <definedName function="false" hidden="true" name="IQ_INDIVIDUAL_AGE" vbProcedure="false">"c15191"</definedName>
    <definedName function="false" hidden="true" name="IQ_INDIVIDUAL_ASSISTANT_EMAIL" vbProcedure="false">"c15206"</definedName>
    <definedName function="false" hidden="true" name="IQ_INDIVIDUAL_ASSISTANT_FAX" vbProcedure="false">"c15208"</definedName>
    <definedName function="false" hidden="true" name="IQ_INDIVIDUAL_ASSISTANT_NAME" vbProcedure="false">"c15205"</definedName>
    <definedName function="false" hidden="true" name="IQ_INDIVIDUAL_ASSISTANT_PHONE" vbProcedure="false">"c15207"</definedName>
    <definedName function="false" hidden="true" name="IQ_INDIVIDUAL_BACKGROUND" vbProcedure="false">"c15184"</definedName>
    <definedName function="false" hidden="true" name="IQ_INDIVIDUAL_DIRECT_FAX" vbProcedure="false">"c15189"</definedName>
    <definedName function="false" hidden="true" name="IQ_INDIVIDUAL_DIRECT_PHONE" vbProcedure="false">"c15188"</definedName>
    <definedName function="false" hidden="true" name="IQ_INDIVIDUAL_EDUCATION" vbProcedure="false">"c15203"</definedName>
    <definedName function="false" hidden="true" name="IQ_INDIVIDUAL_EMAIL" vbProcedure="false">"c15193"</definedName>
    <definedName function="false" hidden="true" name="IQ_INDIVIDUAL_FAMILY_LOAN_DOM_QUARTERLY_AVG_FFIEC" vbProcedure="false">"c15479"</definedName>
    <definedName function="false" hidden="true" name="IQ_INDIVIDUAL_HOME_ADDRESS" vbProcedure="false">"c15194"</definedName>
    <definedName function="false" hidden="true" name="IQ_INDIVIDUAL_HOME_FAX" vbProcedure="false">"c15196"</definedName>
    <definedName function="false" hidden="true" name="IQ_INDIVIDUAL_HOME_PHONE" vbProcedure="false">"c15195"</definedName>
    <definedName function="false" hidden="true" name="IQ_INDIVIDUAL_MAIN_FAX" vbProcedure="false">"c15187"</definedName>
    <definedName function="false" hidden="true" name="IQ_INDIVIDUAL_MAIN_PHONE" vbProcedure="false">"c15186"</definedName>
    <definedName function="false" hidden="true" name="IQ_INDIVIDUAL_MOBILE" vbProcedure="false">"c15198"</definedName>
    <definedName function="false" hidden="true" name="IQ_INDIVIDUAL_NICKNAME" vbProcedure="false">"c15192"</definedName>
    <definedName function="false" hidden="true" name="IQ_INDIVIDUAL_NOTES" vbProcedure="false">"c15204"</definedName>
    <definedName function="false" hidden="true" name="IQ_INDIVIDUAL_OFFICE_ADDRESS" vbProcedure="false">"c15185"</definedName>
    <definedName function="false" hidden="true" name="IQ_INDIVIDUAL_OTHER_PHONE" vbProcedure="false">"c15197"</definedName>
    <definedName function="false" hidden="true" name="IQ_INDIVIDUAL_PARTNER_CORPS_FOREIGN_DEP_FFIEC" vbProcedure="false">"c15342"</definedName>
    <definedName function="false" hidden="true" name="IQ_INDIVIDUAL_PARTNER_CORP_NON_TRANS_ACCTS_FFIEC" vbProcedure="false">"c15322"</definedName>
    <definedName function="false" hidden="true" name="IQ_INDIVIDUAL_PARTNER_CORP_TRANS_ACCTS_FFIEC" vbProcedure="false">"c15314"</definedName>
    <definedName function="false" hidden="true" name="IQ_INDIVIDUAL_PRIOR_BOARD_MEMBERSHIPS" vbProcedure="false">"c15202"</definedName>
    <definedName function="false" hidden="true" name="IQ_INDIVIDUAL_PRIOR_PRO_AFFILIATIONS" vbProcedure="false">"c15200"</definedName>
    <definedName function="false" hidden="true" name="IQ_INDIVIDUAL_SPECIALTY" vbProcedure="false">"c15190"</definedName>
    <definedName function="false" hidden="true" name="IQ_INDIVIDUAL_TITLE" vbProcedure="false">"c15183"</definedName>
    <definedName function="false" hidden="false" name="IQ_INDUSTRIAL_AUTO_SALES_DOMESTIC" vbProcedure="false">"c20767"</definedName>
    <definedName function="false" hidden="false" name="IQ_INDUSTRIAL_AUTO_SALES_FOREIGN" vbProcedure="false">"c20768"</definedName>
    <definedName function="false" hidden="false" name="IQ_INDUSTRIAL_AUTO_SALES_TOTAL" vbProcedure="false">"c20769"</definedName>
    <definedName function="false" hidden="false" name="IQ_INDUSTRIAL_CAPACITY_UTILIZATION" vbProcedure="false">"c20770"</definedName>
    <definedName function="false" hidden="false" name="IQ_INDUSTRIAL_IPI" vbProcedure="false">"c20771"</definedName>
    <definedName function="false" hidden="false" name="IQ_INDUSTRIAL_MV_ASSEMBLIES_AUTO" vbProcedure="false">"c20772"</definedName>
    <definedName function="false" hidden="false" name="IQ_INDUSTRIAL_MV_ASSEMBLIES_TOTAL" vbProcedure="false">"c20773"</definedName>
    <definedName function="false" hidden="false" name="IQ_INDUSTRIAL_MV_ASSEMBLIES_TRUCKS" vbProcedure="false">"c20774"</definedName>
    <definedName function="false" hidden="false" name="IQ_INDUSTRIAL_MV_ASSEMBLIES_TRUCKS_HEAVY" vbProcedure="false">"c20775"</definedName>
    <definedName function="false" hidden="false" name="IQ_INDUSTRIAL_MV_ASSEMBLIES_TRUCKS_LIGHT" vbProcedure="false">"c20776"</definedName>
    <definedName function="false" hidden="false" name="IQ_IND_PROD_INDEX_GROWTH" vbProcedure="false">"c20766"</definedName>
    <definedName function="false" hidden="false" name="IQ_INFLATION_CPI_APPAREL" vbProcedure="false">"c20777"</definedName>
    <definedName function="false" hidden="false" name="IQ_INFLATION_CPI_EDUCATION" vbProcedure="false">"c20778"</definedName>
    <definedName function="false" hidden="false" name="IQ_INFLATION_CPI_FOOD" vbProcedure="false">"c20779"</definedName>
    <definedName function="false" hidden="false" name="IQ_INFLATION_CPI_HOUSING" vbProcedure="false">"c20780"</definedName>
    <definedName function="false" hidden="false" name="IQ_INFLATION_CPI_MEDICAL" vbProcedure="false">"c20781"</definedName>
    <definedName function="false" hidden="false" name="IQ_INFLATION_CPI_OTHER" vbProcedure="false">"c20782"</definedName>
    <definedName function="false" hidden="false" name="IQ_INFLATION_CPI_RECREATION" vbProcedure="false">"c20783"</definedName>
    <definedName function="false" hidden="false" name="IQ_INFLATION_CPI_TRANSPORTATION" vbProcedure="false">"c20784"</definedName>
    <definedName function="false" hidden="false" name="IQ_INFLATION_CPI_TRANSPORTATION_PUBLIC" vbProcedure="false">"c20785"</definedName>
    <definedName function="false" hidden="false" name="IQ_INFLATION_CPI_URBAN_ALL" vbProcedure="false">"c20786"</definedName>
    <definedName function="false" hidden="false" name="IQ_INFLATION_PPI_FINISHED_GOODS" vbProcedure="false">"c20787"</definedName>
    <definedName function="false" hidden="false" name="IQ_INFLATION_PPI_FINISHED_GOODS_EX_FOOD_ENERGY" vbProcedure="false">"c20788"</definedName>
    <definedName function="false" hidden="true" name="IQ_INSIDER_3MTH_BOUGHT" vbProcedure="false">"c1534"</definedName>
    <definedName function="false" hidden="false" name="IQ_INSIDER_3MTH_BOUGHT_PCT" vbProcedure="false">"c1534"</definedName>
    <definedName function="false" hidden="true" name="IQ_INSIDER_3MTH_NET" vbProcedure="false">"c1535"</definedName>
    <definedName function="false" hidden="false" name="IQ_INSIDER_3MTH_NET_PCT" vbProcedure="false">"c1535"</definedName>
    <definedName function="false" hidden="true" name="IQ_INSIDER_3MTH_SOLD" vbProcedure="false">"c1533"</definedName>
    <definedName function="false" hidden="false" name="IQ_INSIDER_3MTH_SOLD_PCT" vbProcedure="false">"c1533"</definedName>
    <definedName function="false" hidden="true" name="IQ_INSIDER_6MTH_BOUGHT" vbProcedure="false">"c1537"</definedName>
    <definedName function="false" hidden="false" name="IQ_INSIDER_6MTH_BOUGHT_PCT" vbProcedure="false">"c1537"</definedName>
    <definedName function="false" hidden="true" name="IQ_INSIDER_6MTH_NET" vbProcedure="false">"c1538"</definedName>
    <definedName function="false" hidden="false" name="IQ_INSIDER_6MTH_NET_PCT" vbProcedure="false">"c1538"</definedName>
    <definedName function="false" hidden="true" name="IQ_INSIDER_6MTH_SOLD" vbProcedure="false">"c1536"</definedName>
    <definedName function="false" hidden="false" name="IQ_INSIDER_6MTH_SOLD_PCT" vbProcedure="false">"c1536"</definedName>
    <definedName function="false" hidden="true" name="IQ_INSIDER_AMOUNT" vbProcedure="false">"c238"</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true" name="IQ_INSTITUTIONAL_AMOUNT" vbProcedure="false">"c236"</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TITUTION_TYPE" vbProcedure="false">"c24730"</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CM"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true" name="IQ_INTAN_AMORT" vbProcedure="false">"c605"</definedName>
    <definedName function="false" hidden="true" name="IQ_INTAN_AMORT_BR" vbProcedure="false">"c606"</definedName>
    <definedName function="false" hidden="true" name="IQ_INTAN_AMORT_CF" vbProcedure="false">"c607"</definedName>
    <definedName function="false" hidden="true" name="IQ_INTAN_AMORT_CF_BNK" vbProcedure="false">"c608"</definedName>
    <definedName function="false" hidden="true" name="IQ_INTAN_AMORT_CF_BR" vbProcedure="false">"c609"</definedName>
    <definedName function="false" hidden="true" name="IQ_INTAN_AMORT_CF_FIN" vbProcedure="false">"c610"</definedName>
    <definedName function="false" hidden="true" name="IQ_INTAN_AMORT_CF_INS" vbProcedure="false">"c611"</definedName>
    <definedName function="false" hidden="true" name="IQ_INTAN_AMORT_CF_REIT" vbProcedure="false">"c612"</definedName>
    <definedName function="false" hidden="true" name="IQ_INTAN_AMORT_CF_UTI" vbProcedure="false">"c613"</definedName>
    <definedName function="false" hidden="true" name="IQ_INTAN_AMORT_FIN" vbProcedure="false">"c614"</definedName>
    <definedName function="false" hidden="true" name="IQ_INTAN_AMORT_INS" vbProcedure="false">"c615"</definedName>
    <definedName function="false" hidden="true" name="IQ_INTAN_AMORT_REIT" vbProcedure="false">"c616"</definedName>
    <definedName function="false" hidden="true" name="IQ_INTAN_AMORT_UTI" vbProcedure="false">"c617"</definedName>
    <definedName function="false" hidden="false" name="IQ_INTEL_EPS_EST" vbProcedure="false">"c24729"</definedName>
    <definedName function="false" hidden="true" name="IQ_INTEREST_ACCRUED_ON_DEPOSITS_DOM_FFIEC" vbProcedure="false">"c15277"</definedName>
    <definedName function="false" hidden="false" name="IQ_INTEREST_BEARING_BALANCES_FDIC" vbProcedure="false">"c6371"</definedName>
    <definedName function="false" hidden="true" name="IQ_INTEREST_BEARING_BALANCES_QUARTERLY_AVG_FFIEC" vbProcedure="false">"c15467"</definedName>
    <definedName function="false" hidden="true" name="IQ_INTEREST_BEARING_CASH_FFIEC" vbProcedure="false">"c15259"</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true" name="IQ_INTEREST_BEARING_TRANS_DOM_QUARTERLY_AVG_FFIEC" vbProcedure="false">"c15484"</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tru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true" name="IQ_INTERNAL_ALLOCATIONS_INC_EXP_FOREIGN_FFIEC" vbProcedure="false">"c15394"</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M"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true" name="IQ_INT_FEE_INC_ACCEPTANCE_OTHER_BANKS_DOM_FFIEC" vbProcedure="false">"c15357"</definedName>
    <definedName function="false" hidden="true" name="IQ_INT_FEE_INC_AGRICULTURE_LOANS_FARMERS_DOM_FFIEC" vbProcedure="false">"c15355"</definedName>
    <definedName function="false" hidden="true" name="IQ_INT_FEE_INC_COMM_IND_LOANS_DOM_FFIEC" vbProcedure="false">"c15356"</definedName>
    <definedName function="false" hidden="true" name="IQ_INT_FEE_INC_CREDIT_CARDS_DOM_FFIEC" vbProcedure="false">"c15358"</definedName>
    <definedName function="false" hidden="true" name="IQ_INT_FEE_INC_DEPOSITORY_LOANS_DOM_FFIEC" vbProcedure="false">"c15354"</definedName>
    <definedName function="false" hidden="true" name="IQ_INT_FEE_INC_FOREIGN_GOVT_LOANS_DOM_FFIEC" vbProcedure="false">"c15360"</definedName>
    <definedName function="false" hidden="true" name="IQ_INT_FEE_INC_INDIVIDUAL_LOANS_DOM_FFIEC" vbProcedure="false">"c15359"</definedName>
    <definedName function="false" hidden="true" name="IQ_INT_FEE_INC_RE_LOANS_DOM_FFIEC" vbProcedure="false">"c15353"</definedName>
    <definedName function="false" hidden="true" name="IQ_INT_FEE_INC_TAXABLE_OBLIGATIONS_DOM_FFIEC" vbProcedure="false">"c15361"</definedName>
    <definedName function="false" hidden="true" name="IQ_INT_FEE_INC_TAX_EXEMPT_OBLIGATIONS_DOM_FFIEC" vbProcedure="false">"c15362"</definedName>
    <definedName function="false" hidden="false" name="IQ_INT_FOREIGN_DEPOSITS_FDIC" vbProcedure="false">"c6565"</definedName>
    <definedName function="false" hidden="false" name="IQ_INT_INC_BR" vbProcedure="false">"c593"</definedName>
    <definedName function="false" hidden="false" name="IQ_INT_INC_CM"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true" name="IQ_INT_SAVINGS_DEPOSITS_MMDA_DOM_FFIEC" vbProcedure="false">"c15364"</definedName>
    <definedName function="false" hidden="false" name="IQ_INT_SUB_NOTES_FDIC" vbProcedure="false">"c6568"</definedName>
    <definedName function="false" hidden="true" name="IQ_INT_TRANSACTION_ACCOUNTS_DOM_FFIEC" vbProcedure="false">"c15363"</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CM"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CM"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true" name="IQ_INV_REL_ID" vbProcedure="false">"c15220"</definedName>
    <definedName function="false" hidden="true" name="IQ_INV_REL_NAME" vbProcedure="false">"c15219"</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UER" vbProcedure="false">"c2143"</definedName>
    <definedName function="false" hidden="true" name="IQ_ISSUER_CIQID" vbProcedure="false">"c2258"</definedName>
    <definedName function="false" hidden="false" name="IQ_ISSUER_PARENT" vbProcedure="false">"c2144"</definedName>
    <definedName function="false" hidden="true" name="IQ_ISSUER_PARENT_CIQID" vbProcedure="false">"c2260"</definedName>
    <definedName function="false" hidden="true" name="IQ_ISSUER_PARENT_TICKER" vbProcedure="false">"c2259"</definedName>
    <definedName function="false" hidden="true" name="IQ_ISSUER_TICKER" vbProcedure="false">"c2252"</definedName>
    <definedName function="false" hidden="false" name="IQ_ISSUE_CURRENCY" vbProcedure="false">"c2156"</definedName>
    <definedName function="false" hidden="false" name="IQ_ISSUE_NAME" vbProcedure="false">"c2142"</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BOR_BENEFITS_CIVILIANS" vbProcedure="false">"c20789"</definedName>
    <definedName function="false" hidden="false" name="IQ_LABOR_BENEFITS_GOVT" vbProcedure="false">"c20790"</definedName>
    <definedName function="false" hidden="false" name="IQ_LABOR_BENEFITS_PRIVATE_INDUSTRY" vbProcedure="false">"c20791"</definedName>
    <definedName function="false" hidden="false" name="IQ_LABOR_COMP_CIVILIANS" vbProcedure="false">"c20792"</definedName>
    <definedName function="false" hidden="false" name="IQ_LABOR_COMP_GOVT" vbProcedure="false">"c20793"</definedName>
    <definedName function="false" hidden="false" name="IQ_LABOR_COMP_PRIVATE_INDUSTRY" vbProcedure="false">"c20794"</definedName>
    <definedName function="false" hidden="false" name="IQ_LABOR_NONFARM_PAYROLL" vbProcedure="false">"c20795"</definedName>
    <definedName function="false" hidden="false" name="IQ_LABOR_UNEMPLOYMENT_CLAIMS" vbProcedure="false">"c20796"</definedName>
    <definedName function="false" hidden="false" name="IQ_LABOR_UNEMPLOYMENT_CLAIMS_4WEEK" vbProcedure="false">"c20797"</definedName>
    <definedName function="false" hidden="false" name="IQ_LABOR_UNEMPLOYMENT_RATE" vbProcedure="false">"c20798"</definedName>
    <definedName function="false" hidden="false" name="IQ_LABOR_UNEMPLOYMENT_RATE_PCT_INSURED" vbProcedure="false">"c20799"</definedName>
    <definedName function="false" hidden="false" name="IQ_LABOR_WAGES_CIVILIANS" vbProcedure="false">"c20800"</definedName>
    <definedName function="false" hidden="false" name="IQ_LABOR_WAGES_GOVT" vbProcedure="false">"c20801"</definedName>
    <definedName function="false" hidden="false" name="IQ_LABOR_WAGES_PRIVATE_INDUSTRY" vbProcedure="false">"c20802"</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PMT_DATE" vbProcedure="false">"c2188"</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true" name="IQ_LATESTK" vbProcedure="false">1000</definedName>
    <definedName function="false" hidden="false" name="IQ_LATESTKFR" vbProcedure="false">"100"</definedName>
    <definedName function="false" hidden="tru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true" name="IQ_LEASE_FINANCING_RECEIVABLES_QUARTERLY_AVG_FFIEC" vbProcedure="false">"c15483"</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CM"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true" name="IQ_LISTING_CURRENCY" vbProcedure="false">"c2127"</definedName>
    <definedName function="false" hidden="false" name="IQ_LL" vbProcedure="false">"c656"</definedName>
    <definedName function="false" hidden="false" name="IQ_LME_INVENTORY" vbProcedure="false">"c24740"</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CM"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true" name="IQ_LOANS_LEASES_HFI_FAIR_VALUE_TOT_FFIEC" vbProcedure="false">"c15401"</definedName>
    <definedName function="false" hidden="true" name="IQ_LOANS_LEASES_HFI_LEVEL_1_FFIEC" vbProcedure="false">"c15423"</definedName>
    <definedName function="false" hidden="true" name="IQ_LOANS_LEASES_HFI_LEVEL_2_FFIEC" vbProcedure="false">"c15436"</definedName>
    <definedName function="false" hidden="true" name="IQ_LOANS_LEASES_HFI_LEVEL_3_FFIEC" vbProcedure="false">"c15449"</definedName>
    <definedName function="false" hidden="true" name="IQ_LOANS_LEASES_HFS_FAIR_VALUE_TOT_FFIEC" vbProcedure="false">"c15400"</definedName>
    <definedName function="false" hidden="true" name="IQ_LOANS_LEASES_HFS_LEVEL_1_FFIEC" vbProcedure="false">"c15422"</definedName>
    <definedName function="false" hidden="true" name="IQ_LOANS_LEASES_HFS_LEVEL_2_FFIEC" vbProcedure="false">"c15435"</definedName>
    <definedName function="false" hidden="true" name="IQ_LOANS_LEASES_HFS_LEVEL_3_FFIEC" vbProcedure="false">"c15448"</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true" name="IQ_LOAN_LOSS_PROVISION_FOREIGN_FFIEC" vbProcedure="false">"c15382"</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true" name="IQ_LOW_TARGET_PRICE" vbProcedure="false">"c1652"</definedName>
    <definedName function="false" hidden="tru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tru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CM" vbProcedure="false">"c676"</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CM"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CM"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CM"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true" name="IQ_LT_SENIOR_DEBT" vbProcedure="false">"c702"</definedName>
    <definedName function="false" hidden="true" name="IQ_LT_SUB_DEBT" vbProcedure="false">"c703"</definedName>
    <definedName function="false" hidden="false" name="IQ_MACHINERY" vbProcedure="false">"c711"</definedName>
    <definedName function="false" hidden="false" name="IQ_MACRO_SURVEY_BUSINESS_BAROMETER" vbProcedure="false">"c20803"</definedName>
    <definedName function="false" hidden="false" name="IQ_MACRO_SURVEY_BUSINESS_CONDITION" vbProcedure="false">"c20804"</definedName>
    <definedName function="false" hidden="false" name="IQ_MACRO_SURVEY_BUSINESS_CONDITIONS" vbProcedure="false">"c20805"</definedName>
    <definedName function="false" hidden="false" name="IQ_MACRO_SURVEY_CONSUMER_COMFORT" vbProcedure="false">"c20806"</definedName>
    <definedName function="false" hidden="false" name="IQ_MACRO_SURVEY_CONSUMER_CONFIDENCE" vbProcedure="false">"c20807"</definedName>
    <definedName function="false" hidden="false" name="IQ_MACRO_SURVEY_CONSUMER_SENTIMENT" vbProcedure="false">"c20808"</definedName>
    <definedName function="false" hidden="false" name="IQ_MACRO_SURVEY_ISM_NONMANUFACTURING" vbProcedure="false">"c20809"</definedName>
    <definedName function="false" hidden="false" name="IQ_MACRO_SURVEY_ISM_PMI" vbProcedure="false">"c20810"</definedName>
    <definedName function="false" hidden="false" name="IQ_MACRO_SURVEY_LEADING_INDICATOR" vbProcedure="false">"c20811"</definedName>
    <definedName function="false" hidden="false" name="IQ_MACRO_SURVEY_PMAC_DIFFUSION" vbProcedure="false">"c20812"</definedName>
    <definedName function="false" hidden="false" name="IQ_MAINT_CAPEX" vbProcedure="false">"c2947"</definedName>
    <definedName function="false" hidden="true" name="IQ_MAINT_CAPEX_ACT_OR_EST" vbProcedure="false">"c4458"</definedName>
    <definedName function="false" hidden="false" name="IQ_MAINT_REPAIR" vbProcedure="false">"c2087"</definedName>
    <definedName function="false" hidden="true" name="IQ_MAKE_WHOLE_END_DATE" vbProcedure="false">"c2493"</definedName>
    <definedName function="false" hidden="true" name="IQ_MAKE_WHOLE_SPREAD" vbProcedure="false">"c2494"</definedName>
    <definedName function="false" hidden="true" name="IQ_MAKE_WHOLE_START_DATE" vbProcedure="false">"c2492"</definedName>
    <definedName function="false" hidden="false" name="IQ_MANUFACTURING_INV_APPAREL" vbProcedure="false">"c20813"</definedName>
    <definedName function="false" hidden="false" name="IQ_MANUFACTURING_INV_BEVERAGE" vbProcedure="false">"c20814"</definedName>
    <definedName function="false" hidden="false" name="IQ_MANUFACTURING_INV_CHEMICALS" vbProcedure="false">"c20815"</definedName>
    <definedName function="false" hidden="false" name="IQ_MANUFACTURING_INV_COMPUTER" vbProcedure="false">"c20816"</definedName>
    <definedName function="false" hidden="false" name="IQ_MANUFACTURING_INV_DUR" vbProcedure="false">"c20817"</definedName>
    <definedName function="false" hidden="false" name="IQ_MANUFACTURING_INV_DUR_MISC" vbProcedure="false">"c20818"</definedName>
    <definedName function="false" hidden="false" name="IQ_MANUFACTURING_INV_ELECTRIC" vbProcedure="false">"c20819"</definedName>
    <definedName function="false" hidden="false" name="IQ_MANUFACTURING_INV_FAB_METALS" vbProcedure="false">"c20820"</definedName>
    <definedName function="false" hidden="false" name="IQ_MANUFACTURING_INV_FOOD" vbProcedure="false">"c20821"</definedName>
    <definedName function="false" hidden="false" name="IQ_MANUFACTURING_INV_FURNITURE" vbProcedure="false">"c20822"</definedName>
    <definedName function="false" hidden="false" name="IQ_MANUFACTURING_INV_LEATHER" vbProcedure="false">"c20823"</definedName>
    <definedName function="false" hidden="false" name="IQ_MANUFACTURING_INV_MACHINERY" vbProcedure="false">"c20824"</definedName>
    <definedName function="false" hidden="false" name="IQ_MANUFACTURING_INV_MINERAL" vbProcedure="false">"c20825"</definedName>
    <definedName function="false" hidden="false" name="IQ_MANUFACTURING_INV_NONDUR" vbProcedure="false">"c20826"</definedName>
    <definedName function="false" hidden="false" name="IQ_MANUFACTURING_INV_PAPER" vbProcedure="false">"c20827"</definedName>
    <definedName function="false" hidden="false" name="IQ_MANUFACTURING_INV_PETROLEUM" vbProcedure="false">"c20828"</definedName>
    <definedName function="false" hidden="false" name="IQ_MANUFACTURING_INV_PLASTICS" vbProcedure="false">"c20829"</definedName>
    <definedName function="false" hidden="false" name="IQ_MANUFACTURING_INV_PRIMARY_METALS" vbProcedure="false">"c20830"</definedName>
    <definedName function="false" hidden="false" name="IQ_MANUFACTURING_INV_PRINTING" vbProcedure="false">"c20831"</definedName>
    <definedName function="false" hidden="false" name="IQ_MANUFACTURING_INV_SALES_RATIO" vbProcedure="false">"c20832"</definedName>
    <definedName function="false" hidden="false" name="IQ_MANUFACTURING_INV_TEXTILE_MILLS" vbProcedure="false">"c20833"</definedName>
    <definedName function="false" hidden="false" name="IQ_MANUFACTURING_INV_TEXTILE_PRODUCTS" vbProcedure="false">"c20834"</definedName>
    <definedName function="false" hidden="false" name="IQ_MANUFACTURING_INV_TOTAL" vbProcedure="false">"c20835"</definedName>
    <definedName function="false" hidden="false" name="IQ_MANUFACTURING_INV_TRANSPORTATION" vbProcedure="false">"c20836"</definedName>
    <definedName function="false" hidden="false" name="IQ_MANUFACTURING_INV_WOOD" vbProcedure="false">"c20837"</definedName>
    <definedName function="false" hidden="false" name="IQ_MANUFACTURING_NEW_ORDERS" vbProcedure="false">"c20838"</definedName>
    <definedName function="false" hidden="false" name="IQ_MANUFACTURING_NEW_ORDERS_COMPUTERS" vbProcedure="false">"c20839"</definedName>
    <definedName function="false" hidden="false" name="IQ_MANUFACTURING_NEW_ORDERS_DUR" vbProcedure="false">"c20840"</definedName>
    <definedName function="false" hidden="false" name="IQ_MANUFACTURING_NEW_ORDERS_ELECTRIC" vbProcedure="false">"c20841"</definedName>
    <definedName function="false" hidden="false" name="IQ_MANUFACTURING_NEW_ORDERS_FAB_METALS" vbProcedure="false">"c20842"</definedName>
    <definedName function="false" hidden="false" name="IQ_MANUFACTURING_NEW_ORDERS_FURNITURE" vbProcedure="false">"c20843"</definedName>
    <definedName function="false" hidden="false" name="IQ_MANUFACTURING_NEW_ORDERS_MACHINERY" vbProcedure="false">"c20844"</definedName>
    <definedName function="false" hidden="false" name="IQ_MANUFACTURING_NEW_ORDERS_METALS" vbProcedure="false">"c20845"</definedName>
    <definedName function="false" hidden="false" name="IQ_MANUFACTURING_NEW_ORDERS_NONDUR" vbProcedure="false">"c20846"</definedName>
    <definedName function="false" hidden="false" name="IQ_MANUFACTURING_NEW_ORDERS_TRANSPORTATION" vbProcedure="false">"c20847"</definedName>
    <definedName function="false" hidden="false" name="IQ_MANUFACTURING_SHIPMENTS_APPAREL" vbProcedure="false">"c20848"</definedName>
    <definedName function="false" hidden="false" name="IQ_MANUFACTURING_SHIPMENTS_BEVERAGE" vbProcedure="false">"c20849"</definedName>
    <definedName function="false" hidden="false" name="IQ_MANUFACTURING_SHIPMENTS_CHEMICALS" vbProcedure="false">"c20850"</definedName>
    <definedName function="false" hidden="false" name="IQ_MANUFACTURING_SHIPMENTS_DUR" vbProcedure="false">"c20851"</definedName>
    <definedName function="false" hidden="false" name="IQ_MANUFACTURING_SHIPMENTS_DUR_COMPUTER" vbProcedure="false">"c20852"</definedName>
    <definedName function="false" hidden="false" name="IQ_MANUFACTURING_SHIPMENTS_DUR_ELECTRIC" vbProcedure="false">"c20853"</definedName>
    <definedName function="false" hidden="false" name="IQ_MANUFACTURING_SHIPMENTS_DUR_FAB_METALS" vbProcedure="false">"c20854"</definedName>
    <definedName function="false" hidden="false" name="IQ_MANUFACTURING_SHIPMENTS_DUR_FURNITURE" vbProcedure="false">"c20855"</definedName>
    <definedName function="false" hidden="false" name="IQ_MANUFACTURING_SHIPMENTS_DUR_MACHINERY" vbProcedure="false">"c20856"</definedName>
    <definedName function="false" hidden="false" name="IQ_MANUFACTURING_SHIPMENTS_DUR_MINERALS" vbProcedure="false">"c20857"</definedName>
    <definedName function="false" hidden="false" name="IQ_MANUFACTURING_SHIPMENTS_DUR_MISC" vbProcedure="false">"c20858"</definedName>
    <definedName function="false" hidden="false" name="IQ_MANUFACTURING_SHIPMENTS_DUR_PRIM_METALS" vbProcedure="false">"c20859"</definedName>
    <definedName function="false" hidden="false" name="IQ_MANUFACTURING_SHIPMENTS_DUR_TRANSPORTATION" vbProcedure="false">"c20860"</definedName>
    <definedName function="false" hidden="false" name="IQ_MANUFACTURING_SHIPMENTS_DUR_WOOD" vbProcedure="false">"c20861"</definedName>
    <definedName function="false" hidden="false" name="IQ_MANUFACTURING_SHIPMENTS_FOOD" vbProcedure="false">"c20862"</definedName>
    <definedName function="false" hidden="false" name="IQ_MANUFACTURING_SHIPMENTS_LEATHER" vbProcedure="false">"c20863"</definedName>
    <definedName function="false" hidden="false" name="IQ_MANUFACTURING_SHIPMENTS_NONDUR" vbProcedure="false">"c20864"</definedName>
    <definedName function="false" hidden="false" name="IQ_MANUFACTURING_SHIPMENTS_PAPER" vbProcedure="false">"c20865"</definedName>
    <definedName function="false" hidden="false" name="IQ_MANUFACTURING_SHIPMENTS_PETROLEUM" vbProcedure="false">"c20866"</definedName>
    <definedName function="false" hidden="false" name="IQ_MANUFACTURING_SHIPMENTS_PLASTICS" vbProcedure="false">"c20867"</definedName>
    <definedName function="false" hidden="false" name="IQ_MANUFACTURING_SHIPMENTS_PRINTING" vbProcedure="false">"c20868"</definedName>
    <definedName function="false" hidden="false" name="IQ_MANUFACTURING_SHIPMENTS_TEXTILE_MILLS" vbProcedure="false">"c20869"</definedName>
    <definedName function="false" hidden="false" name="IQ_MANUFACTURING_SHIPMENTS_TEXTILE_PRODUCTS" vbProcedure="false">"c20870"</definedName>
    <definedName function="false" hidden="false" name="IQ_MANUFACTURING_SHIPMENTS_TOTAL" vbProcedure="false">"c20871"</definedName>
    <definedName function="false" hidden="false" name="IQ_MANUFACTURING_UNFILLED_ORDERS" vbProcedure="false">"c20872"</definedName>
    <definedName function="false" hidden="false" name="IQ_MANUFACTURING_UNFILLED_ORDERS_COMPUTERS" vbProcedure="false">"c20873"</definedName>
    <definedName function="false" hidden="false" name="IQ_MANUFACTURING_UNFILLED_ORDERS_DUR" vbProcedure="false">"c20874"</definedName>
    <definedName function="false" hidden="false" name="IQ_MANUFACTURING_UNFILLED_ORDERS_ELECTRIC" vbProcedure="false">"c20875"</definedName>
    <definedName function="false" hidden="false" name="IQ_MANUFACTURING_UNFILLED_ORDERS_FAB_METALS" vbProcedure="false">"c20876"</definedName>
    <definedName function="false" hidden="false" name="IQ_MANUFACTURING_UNFILLED_ORDERS_FURNITURE" vbProcedure="false">"c20877"</definedName>
    <definedName function="false" hidden="false" name="IQ_MANUFACTURING_UNFILLED_ORDERS_MACHINERY" vbProcedure="false">"c20878"</definedName>
    <definedName function="false" hidden="false" name="IQ_MANUFACTURING_UNFILLED_ORDERS_METALS" vbProcedure="false">"c20879"</definedName>
    <definedName function="false" hidden="false" name="IQ_MANUFACTURING_UNFILLED_ORDERS_TRANSPORTATION" vbProcedure="false">"c20880"</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true" name="IQ_MARKTCAP" vbProcedure="false">"c258"</definedName>
    <definedName function="false" hidden="false" name="IQ_MATURITY_DATE" vbProcedure="false">"c2146"</definedName>
    <definedName function="false" hidden="false" name="IQ_MATURITY_ONE_YEAR_LESS_FDIC" vbProcedure="false">"c6425"</definedName>
    <definedName function="false" hidden="true" name="IQ_MBS_QUARTERLY_AVG_FFIEC" vbProcedure="false">"c15471"</definedName>
    <definedName function="false" hidden="false" name="IQ_MC_RATIO" vbProcedure="false">"c2783"</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true" name="IQ_MEDIAN_TARGET_PRICE" vbProcedure="false">"c1650"</definedName>
    <definedName function="false" hidden="tru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CM"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CM"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CM" vbProcedure="false">"c729"</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true" name="IQ_MKTCAP_TOTAL_REV_FWD_REUT" vbProcedure="false">"c4048"</definedName>
    <definedName function="false" hidden="true" name="IQ_MMDA_NON_TRANS_ACCTS_FFIEC" vbProcedure="false">"c15330"</definedName>
    <definedName function="false" hidden="false" name="IQ_MM_ACCOUNT" vbProcedure="false">"c743"</definedName>
    <definedName function="false" hidden="false" name="IQ_MONEY_MARKET_DEPOSIT_ACCOUNTS_FDIC" vbProcedure="false">"c6553"</definedName>
    <definedName function="false" hidden="false" name="IQ_MONEY_SUPPLY_M1" vbProcedure="false">"c20881"</definedName>
    <definedName function="false" hidden="false" name="IQ_MONEY_SUPPLY_M2" vbProcedure="false">"c20882"</definedName>
    <definedName function="false" hidden="false" name="IQ_MONTH" vbProcedure="false">15000</definedName>
    <definedName function="false" hidden="false" name="IQ_MORTGAGE_BACKED_SECURITIES_FDIC" vbProcedure="false">"c6402"</definedName>
    <definedName function="false" hidden="true" name="IQ_MORTGAGE_DEBT_UNDER_CAPITAL_LEASES_FFIEC" vbProcedure="false">"c15276"</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true" name="IQ_MTD" vbProcedure="false">800000</definedName>
    <definedName function="false" hidden="false" name="IQ_MULTIFAMILY_RESIDENTIAL_LOANS_FDIC" vbProcedure="false">"c6311"</definedName>
    <definedName function="false" hidden="true" name="IQ_MULTIFAMILY_RES_DOM_FFIEC" vbProcedure="false">"c15270"</definedName>
    <definedName function="false" hidden="true" name="IQ_MUNI_ADVALOREM_TAX" vbProcedure="false">"c15144"</definedName>
    <definedName function="false" hidden="true" name="IQ_MUNI_AMT_TAX" vbProcedure="false">"c15146"</definedName>
    <definedName function="false" hidden="true" name="IQ_MUNI_BANK_QUALIFIED" vbProcedure="false">"c15148"</definedName>
    <definedName function="false" hidden="true" name="IQ_MUNI_DEP_TRUST_ELIGIBLE" vbProcedure="false">"c15149"</definedName>
    <definedName function="false" hidden="true" name="IQ_MUNI_ECONOMIC_DEFEASANCE" vbProcedure="false">"c15151"</definedName>
    <definedName function="false" hidden="true" name="IQ_MUNI_ESCROW" vbProcedure="false">"c15228"</definedName>
    <definedName function="false" hidden="true" name="IQ_MUNI_FED_TAX" vbProcedure="false">"c15147"</definedName>
    <definedName function="false" hidden="true" name="IQ_MUNI_LEGAL_DEFEASANCE" vbProcedure="false">"c15150"</definedName>
    <definedName function="false" hidden="true" name="IQ_MUNI_OFFERING_TYPE" vbProcedure="false">"c15143"</definedName>
    <definedName function="false" hidden="true" name="IQ_MUNI_OPTIONAL_REDEMPTION_DEFEASANCE" vbProcedure="false">"c15152"</definedName>
    <definedName function="false" hidden="true" name="IQ_MUNI_PRE_REFUNDED_DATE" vbProcedure="false">"c15154"</definedName>
    <definedName function="false" hidden="true" name="IQ_MUNI_PRE_REFUNDED_DATED_DATE" vbProcedure="false">"c15156"</definedName>
    <definedName function="false" hidden="true" name="IQ_MUNI_PRE_REFUNDED_PRICE" vbProcedure="false">"c15155"</definedName>
    <definedName function="false" hidden="true" name="IQ_MUNI_PRE_REFUNDED_TYPE" vbProcedure="false">"c15153"</definedName>
    <definedName function="false" hidden="true" name="IQ_MUNI_PURPOSE" vbProcedure="false">"c15226"</definedName>
    <definedName function="false" hidden="true" name="IQ_MUNI_STATE_TAX" vbProcedure="false">"c15145"</definedName>
    <definedName function="false" hidden="true" name="IQ_MUNI_TERRITORY" vbProcedure="false">"c15142"</definedName>
    <definedName function="false" hidden="true" name="IQ_MUNI_TYPE" vbProcedure="false">"c15227"</definedName>
    <definedName function="false" hidden="true" name="IQ_NAMES_REVISION_DATE_" vbProcedure="false">43567.8124884259</definedName>
    <definedName function="false" hidden="true" name="IQ_NAMES_REVISION_DATE__1" vbProcedure="false">39925.4157175926</definedName>
    <definedName function="false" hidden="false" name="IQ_NAV_ACT_OR_EST" vbProcedure="false">"c2225"</definedName>
    <definedName function="false" hidden="true" name="IQ_NAV_SHARE_ACT_OR_EST_REUT" vbProcedure="false">"c5623"</definedName>
    <definedName function="false" hidden="true" name="IQ_NAV_SHARE_EST_REUT" vbProcedure="false">"c5617"</definedName>
    <definedName function="false" hidden="true" name="IQ_NAV_SHARE_HIGH_EST_REUT" vbProcedure="false">"c5620"</definedName>
    <definedName function="false" hidden="true" name="IQ_NAV_SHARE_LOW_EST_REUT" vbProcedure="false">"c5621"</definedName>
    <definedName function="false" hidden="true" name="IQ_NAV_SHARE_MEDIAN_EST_REUT" vbProcedure="false">"c5618"</definedName>
    <definedName function="false" hidden="true" name="IQ_NAV_SHARE_NUM_EST_REUT" vbProcedure="false">"c5622"</definedName>
    <definedName function="false" hidden="true" name="IQ_NAV_SHARE_STDDEV_EST_REUT" vbProcedure="false">"c5619"</definedName>
    <definedName function="false" hidden="true" name="IQ_NET_BOOKING_LOCATION_ADJUSTMENT_FOREIGN_FFIEC" vbProcedure="false">"c15385"</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tru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true" name="IQ_NET_DEBT_EST_REUT" vbProcedure="false">"c3976"</definedName>
    <definedName function="false" hidden="tru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CM"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true" name="IQ_NET_DEBT_LOW_EST_REUT" vbProcedure="false">"c3979"</definedName>
    <definedName function="false" hidden="true" name="IQ_NET_DEBT_MEDIAN_EST_REUT" vbProcedure="false">"c3977"</definedName>
    <definedName function="false" hidden="true" name="IQ_NET_DEBT_NUM_EST_REUT" vbProcedure="false">"c3980"</definedName>
    <definedName function="false" hidden="true" name="IQ_NET_DEBT_STDDEV_EST_REUT" vbProcedure="false">"c3981"</definedName>
    <definedName function="false" hidden="false" name="IQ_NET_EARNED" vbProcedure="false">"c2734"</definedName>
    <definedName function="false" hidden="true" name="IQ_NET_GAIN_LOSS_OREO_EXP_FFIEC" vbProcedure="false">"c15370"</definedName>
    <definedName function="false" hidden="true" name="IQ_NET_GAIN_LOSS_OREO_INC_FFIEC" vbProcedure="false">"c15367"</definedName>
    <definedName function="false" hidden="true" name="IQ_NET_GAIN_LOSS_SALES_LOANS_EXP_FFIEC" vbProcedure="false">"c15371"</definedName>
    <definedName function="false" hidden="true" name="IQ_NET_GAIN_LOSS_SALES_LOANS_INC_FFIEC" vbProcedure="false">"c15368"</definedName>
    <definedName function="false" hidden="true" name="IQ_NET_GAIN_SALE_PREMISES_FIXED_ASSETS_EXP_FFIEC" vbProcedure="false">"c15372"</definedName>
    <definedName function="false" hidden="true" name="IQ_NET_GAIN_SALE_PREMISES_FIXED_ASSETS_INC_FFIEC" vbProcedure="false">"c15369"</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true" name="IQ_NET_INTEREST_INC_INTERNATIONAL_OPS_FFIEC" vbProcedure="false">"c15375"</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CM"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true" name="IQ_NET_NONINTEREST_INC_EXP_INTERNATIONAL_OPS_FFIEC" vbProcedure="false">"c15387"</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true" name="IQ_NET_SECURITIZATION_INC_FOREIGN_FFIEC" vbProcedure="false">"c15379"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EXT_CALL_DATE" vbProcedure="false">"c2198"</definedName>
    <definedName function="false" hidden="false" name="IQ_NEXT_CALL_PRICE" vbProcedure="false">"c2199"</definedName>
    <definedName function="false" hidden="false" name="IQ_NEXT_INT_DATE" vbProcedure="false">"c2187"</definedName>
    <definedName function="false" hidden="false" name="IQ_NEXT_PUT_DATE" vbProcedure="false">"c2200"</definedName>
    <definedName function="false" hidden="false" name="IQ_NEXT_PUT_PRICE" vbProcedure="false">"c2201"</definedName>
    <definedName function="false" hidden="true" name="IQ_NEXT_SINK_FUND_AMOUNT" vbProcedure="false">"c2490"</definedName>
    <definedName function="false" hidden="true" name="IQ_NEXT_SINK_FUND_DATE" vbProcedure="false">"c2489"</definedName>
    <definedName function="false" hidden="true" name="IQ_NEXT_SINK_FUND_PRICE" vbProcedure="false">"c2491"</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tru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true" name="IQ_NI_BANK_AND_NONCONTROLLING_INTEREST_FFIEC" vbProcedure="false">"c15365"</definedName>
    <definedName function="false" hidden="false" name="IQ_NI_BEFORE_CAPITALIZED" vbProcedure="false">"c792"</definedName>
    <definedName function="false" hidden="true" name="IQ_NI_BEFORE_INTERNAL_ALLOCATIONS_FOREIGN_FFIEC" vbProcedure="false">"c15393"</definedName>
    <definedName function="false" hidden="false" name="IQ_NI_CF" vbProcedure="false">"c793"</definedName>
    <definedName function="false" hidden="true" name="IQ_NI_EST_REUT" vbProcedure="false">"c5368"</definedName>
    <definedName function="false" hidden="true" name="IQ_NI_GW_EST_REUT" vbProcedure="false">"c5375"</definedName>
    <definedName function="false" hidden="true" name="IQ_NI_GW_HIGH_EST_REUT" vbProcedure="false">"c5377"</definedName>
    <definedName function="false" hidden="true" name="IQ_NI_GW_LOW_EST_REUT" vbProcedure="false">"c5378"</definedName>
    <definedName function="false" hidden="true" name="IQ_NI_GW_MEDIAN_EST_REUT" vbProcedure="false">"c5376"</definedName>
    <definedName function="false" hidden="true" name="IQ_NI_GW_NUM_EST_REUT" vbProcedure="false">"c5379"</definedName>
    <definedName function="false" hidden="true" name="IQ_NI_GW_STDDEV_EST_REUT" vbProcedure="false">"c5380"</definedName>
    <definedName function="false" hidden="true" name="IQ_NI_HIGH_EST_REUT" vbProcedure="false">"c5370"</definedName>
    <definedName function="false" hidden="true" name="IQ_NI_LOW_EST_REUT" vbProcedure="false">"c5371"</definedName>
    <definedName function="false" hidden="false" name="IQ_NI_MARGIN" vbProcedure="false">"c794"</definedName>
    <definedName function="false" hidden="true" name="IQ_NI_MEDIAN_EST_REUT" vbProcedure="false">"c5369"</definedName>
    <definedName function="false" hidden="true" name="IQ_NI_NON_CONTROLLING_INTERESTS_FFIEC" vbProcedure="false">"c15366"</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true" name="IQ_NI_NUM_EST_REUT" vbProcedure="false">"c5372"</definedName>
    <definedName function="false" hidden="true" name="IQ_NI_REPORTED_EST_REUT" vbProcedure="false">"c5382"</definedName>
    <definedName function="false" hidden="true" name="IQ_NI_REPORTED_HIGH_EST_REUT" vbProcedure="false">"c5384"</definedName>
    <definedName function="false" hidden="true" name="IQ_NI_REPORTED_LOW_EST_REUT" vbProcedure="false">"c5385"</definedName>
    <definedName function="false" hidden="true" name="IQ_NI_REPORTED_MEDIAN_EST_REUT" vbProcedure="false">"c5383"</definedName>
    <definedName function="false" hidden="true" name="IQ_NI_REPORTED_NUM_EST_REUT" vbProcedure="false">"c5386"</definedName>
    <definedName function="false" hidden="true" name="IQ_NI_REPORTED_STDDEV_EST_REUT" vbProcedure="false">"c5387"</definedName>
    <definedName function="false" hidden="false" name="IQ_NI_SFAS" vbProcedure="false">"c795"</definedName>
    <definedName function="false" hidden="true" name="IQ_NI_STDDEV_EST_REUT" vbProcedure="false">"c5373"</definedName>
    <definedName function="false" hidden="false" name="IQ_NOMINAL_GDP" vbProcedure="false">"c20949"</definedName>
    <definedName function="false" hidden="false" name="IQ_NOMINAL_GDP_FC" vbProcedure="false">"c20950"</definedName>
    <definedName function="false" hidden="false" name="IQ_NOMINAL_GDP_PER_CAPITA" vbProcedure="false">"c20951"</definedName>
    <definedName function="false" hidden="false" name="IQ_NOMINAL_GDP_PER_CAPITA_FC" vbProcedure="false">"c20952"</definedName>
    <definedName function="false" hidden="false" name="IQ_NOM_DOMESTIC_PURCHASES" vbProcedure="false">"c20883"</definedName>
    <definedName function="false" hidden="false" name="IQ_NOM_EXPORT" vbProcedure="false">"c20884"</definedName>
    <definedName function="false" hidden="false" name="IQ_NOM_EXPORT_GOODS" vbProcedure="false">"c20885"</definedName>
    <definedName function="false" hidden="false" name="IQ_NOM_EXPORT_INCOME" vbProcedure="false">"c20886"</definedName>
    <definedName function="false" hidden="false" name="IQ_NOM_EXPORT_SERVICES" vbProcedure="false">"c20887"</definedName>
    <definedName function="false" hidden="false" name="IQ_NOM_GDP" vbProcedure="false">"c20888"</definedName>
    <definedName function="false" hidden="false" name="IQ_NOM_GDP_RESIDUAL" vbProcedure="false">"c20889"</definedName>
    <definedName function="false" hidden="false" name="IQ_NOM_GNP" vbProcedure="false">"c20890"</definedName>
    <definedName function="false" hidden="false" name="IQ_NOM_GOVT_CONSUM_INVEST" vbProcedure="false">"c20891"</definedName>
    <definedName function="false" hidden="false" name="IQ_NOM_GOVT_CONSUM_INVEST_DEF" vbProcedure="false">"c20892"</definedName>
    <definedName function="false" hidden="false" name="IQ_NOM_GOVT_CONSUM_INVEST_DEF_CONSUM" vbProcedure="false">"c20893"</definedName>
    <definedName function="false" hidden="false" name="IQ_NOM_GOVT_CONSUM_INVEST_DEF_INVEST" vbProcedure="false">"c20894"</definedName>
    <definedName function="false" hidden="false" name="IQ_NOM_GOVT_CONSUM_INVEST_FEDERAL" vbProcedure="false">"c20895"</definedName>
    <definedName function="false" hidden="false" name="IQ_NOM_GOVT_CONSUM_INVEST_NONDEF" vbProcedure="false">"c20896"</definedName>
    <definedName function="false" hidden="false" name="IQ_NOM_GOVT_CONSUM_INVEST_NONDEF_CONSUM" vbProcedure="false">"c20897"</definedName>
    <definedName function="false" hidden="false" name="IQ_NOM_GOVT_CONSUM_INVEST_NONDEF_INVEST" vbProcedure="false">"c20898"</definedName>
    <definedName function="false" hidden="false" name="IQ_NOM_GOVT_CONSUM_INVEST_STATE_LOCAL" vbProcedure="false">"c20899"</definedName>
    <definedName function="false" hidden="false" name="IQ_NOM_GOVT_CONSUM_INVEST_STATE_LOCAL_CONSUM" vbProcedure="false">"c20900"</definedName>
    <definedName function="false" hidden="false" name="IQ_NOM_GOVT_CONSUM_INVEST_STATE_LOCAL_INVEST" vbProcedure="false">"c20901"</definedName>
    <definedName function="false" hidden="false" name="IQ_NOM_IMPORT" vbProcedure="false">"c20902"</definedName>
    <definedName function="false" hidden="false" name="IQ_NOM_IMPORT_GOODS" vbProcedure="false">"c20903"</definedName>
    <definedName function="false" hidden="false" name="IQ_NOM_IMPORT_INCOME" vbProcedure="false">"c20904"</definedName>
    <definedName function="false" hidden="false" name="IQ_NOM_IMPORT_SERVICES" vbProcedure="false">"c20905"</definedName>
    <definedName function="false" hidden="false" name="IQ_NOM_NET_DOMESTIC_PRODUCTION" vbProcedure="false">"c20906"</definedName>
    <definedName function="false" hidden="false" name="IQ_NOM_NET_EXPORT" vbProcedure="false">"c20907"</definedName>
    <definedName function="false" hidden="false" name="IQ_NOM_PCE" vbProcedure="false">"c20908"</definedName>
    <definedName function="false" hidden="false" name="IQ_NOM_PCE_CLOTHING" vbProcedure="false">"c20909"</definedName>
    <definedName function="false" hidden="false" name="IQ_NOM_PCE_DUR_GOODS" vbProcedure="false">"c20910"</definedName>
    <definedName function="false" hidden="false" name="IQ_NOM_PCE_DUR_GOODS_OTHER" vbProcedure="false">"c20911"</definedName>
    <definedName function="false" hidden="false" name="IQ_NOM_PCE_FINANCIAL" vbProcedure="false">"c20912"</definedName>
    <definedName function="false" hidden="false" name="IQ_NOM_PCE_FOOD_ACCOMADATIONS" vbProcedure="false">"c20913"</definedName>
    <definedName function="false" hidden="false" name="IQ_NOM_PCE_FOOD_BEVERAGE" vbProcedure="false">"c20914"</definedName>
    <definedName function="false" hidden="false" name="IQ_NOM_PCE_FURNISHINGS" vbProcedure="false">"c20915"</definedName>
    <definedName function="false" hidden="false" name="IQ_NOM_PCE_GAS" vbProcedure="false">"c20916"</definedName>
    <definedName function="false" hidden="false" name="IQ_NOM_PCE_GOOD" vbProcedure="false">"c20917"</definedName>
    <definedName function="false" hidden="false" name="IQ_NOM_PCE_HEALTH_CARE" vbProcedure="false">"c20918"</definedName>
    <definedName function="false" hidden="false" name="IQ_NOM_PCE_HOUSEHOLD_CONSUM" vbProcedure="false">"c20919"</definedName>
    <definedName function="false" hidden="false" name="IQ_NOM_PCE_HOUSEHOLD_CONSUM_OTHER" vbProcedure="false">"c20920"</definedName>
    <definedName function="false" hidden="false" name="IQ_NOM_PCE_HOUSING" vbProcedure="false">"c20921"</definedName>
    <definedName function="false" hidden="false" name="IQ_NOM_PCE_MOTOR_VEHICLE" vbProcedure="false">"c20922"</definedName>
    <definedName function="false" hidden="false" name="IQ_NOM_PCE_NONDUR_GOODS" vbProcedure="false">"c20923"</definedName>
    <definedName function="false" hidden="false" name="IQ_NOM_PCE_NONDUR_GOODS_OTHER" vbProcedure="false">"c20924"</definedName>
    <definedName function="false" hidden="false" name="IQ_NOM_PCE_NONPROFIT_CONSUM" vbProcedure="false">"c20925"</definedName>
    <definedName function="false" hidden="false" name="IQ_NOM_PCE_NONPROFIT_OUTPUT" vbProcedure="false">"c20926"</definedName>
    <definedName function="false" hidden="false" name="IQ_NOM_PCE_NONPROFIT_RECEIPTS" vbProcedure="false">"c20927"</definedName>
    <definedName function="false" hidden="false" name="IQ_NOM_PCE_RECREATION_GOODS" vbProcedure="false">"c20928"</definedName>
    <definedName function="false" hidden="false" name="IQ_NOM_PCE_RECREATION_SERVICES" vbProcedure="false">"c20929"</definedName>
    <definedName function="false" hidden="false" name="IQ_NOM_PCE_SERVICES" vbProcedure="false">"c20930"</definedName>
    <definedName function="false" hidden="false" name="IQ_NOM_PCE_TRANSPORTATION" vbProcedure="false">"c20931"</definedName>
    <definedName function="false" hidden="false" name="IQ_NOM_PRIVATE_INVEST" vbProcedure="false">"c20932"</definedName>
    <definedName function="false" hidden="false" name="IQ_NOM_PRIVATE_INVEST_EQUIP" vbProcedure="false">"c20933"</definedName>
    <definedName function="false" hidden="false" name="IQ_NOM_PRIVATE_INVEST_EQUIP_OTHER" vbProcedure="false">"c20934"</definedName>
    <definedName function="false" hidden="false" name="IQ_NOM_PRIVATE_INVEST_FIXED" vbProcedure="false">"c20935"</definedName>
    <definedName function="false" hidden="false" name="IQ_NOM_PRIVATE_INVEST_INDUSTRIAL_EQUIP" vbProcedure="false">"c20936"</definedName>
    <definedName function="false" hidden="false" name="IQ_NOM_PRIVATE_INVEST_INFO_EQUIP" vbProcedure="false">"c20937"</definedName>
    <definedName function="false" hidden="false" name="IQ_NOM_PRIVATE_INVEST_INFO_EQUIP_COMPUTERS" vbProcedure="false">"c20938"</definedName>
    <definedName function="false" hidden="false" name="IQ_NOM_PRIVATE_INVEST_INFO_EQUIP_OTHER" vbProcedure="false">"c20939"</definedName>
    <definedName function="false" hidden="false" name="IQ_NOM_PRIVATE_INVEST_INFO_EQUIP_SOFTWARE" vbProcedure="false">"c20940"</definedName>
    <definedName function="false" hidden="false" name="IQ_NOM_PRIVATE_INVEST_NONRES" vbProcedure="false">"c20941"</definedName>
    <definedName function="false" hidden="false" name="IQ_NOM_PRIVATE_INVEST_PRIVATE_INV_CHANGE" vbProcedure="false">"c20942"</definedName>
    <definedName function="false" hidden="false" name="IQ_NOM_PRIVATE_INVEST_PRIVATE_INV_FARMS" vbProcedure="false">"c20943"</definedName>
    <definedName function="false" hidden="false" name="IQ_NOM_PRIVATE_INVEST_PRIVATE_INV_NONFARMS" vbProcedure="false">"c20944"</definedName>
    <definedName function="false" hidden="false" name="IQ_NOM_PRIVATE_INVEST_RES" vbProcedure="false">"c20945"</definedName>
    <definedName function="false" hidden="false" name="IQ_NOM_PRIVATE_INVEST_STRUCTURES" vbProcedure="false">"c20946"</definedName>
    <definedName function="false" hidden="false" name="IQ_NOM_PRIVATE_INVEST_TRANSPORTATION_EQUIP" vbProcedure="false">"c20947"</definedName>
    <definedName function="false" hidden="false" name="IQ_NOM_SALES_TO_DOMESTIC_PURCHASES" vbProcedure="false">"c20948"</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true" name="IQ_NONFARM_NONRES_DOM_FFIEC" vbProcedure="false">"c15271"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true" name="IQ_NONINTEREST_INC_FOREIGN_FFIEC" vbProcedure="false">"c15376"</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true" name="IQ_NON_ACCRUAL_ASSET_SOLD_DURING_QTR_FFIEC" vbProcedure="false">"c15350"</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tru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tru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tru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true" name="IQ_OBLIGATION_STATES_POLI_SUBD_US_LL_REC_DOM_FFIEC" vbProcedure="false">"c15295"</definedName>
    <definedName function="false" hidden="true" name="IQ_OBLIGATION_STATES_POLI_SUBD_US_LL_REC_FFIEC" vbProcedure="false">"c15294"</definedName>
    <definedName function="false" hidden="false" name="IQ_OCCUPY_EXP" vbProcedure="false">"c839"</definedName>
    <definedName function="false" hidden="false" name="IQ_OECD_LEAD_INDICATOR" vbProcedure="false">"c20953"</definedName>
    <definedName function="false" hidden="false" name="IQ_OFFER_AMOUNT" vbProcedure="false">"c2152"</definedName>
    <definedName function="false" hidden="false" name="IQ_OFFER_COUPON" vbProcedure="false">"c2147"</definedName>
    <definedName function="false" hidden="false" name="IQ_OFFER_COUPON_TYPE" vbProcedure="false">"c2148"</definedName>
    <definedName function="false" hidden="false" name="IQ_OFFER_DATE" vbProcedure="false">"c2149"</definedName>
    <definedName function="false" hidden="false" name="IQ_OFFER_PRICE" vbProcedure="false">"c2150"</definedName>
    <definedName function="false" hidden="false" name="IQ_OFFER_YIELD" vbProcedure="false">"c2151"</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tru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true" name="IQ_OPER_INC_ACT_OR_EST_REUT" vbProcedure="false">"c5466"</definedName>
    <definedName function="false" hidden="false" name="IQ_OPER_INC_BR" vbProcedure="false">"c850"</definedName>
    <definedName function="false" hidden="false" name="IQ_OPER_INC_CM" vbProcedure="false">"c850"</definedName>
    <definedName function="false" hidden="true" name="IQ_OPER_INC_EST_REUT" vbProcedure="false">"c5340"</definedName>
    <definedName function="false" hidden="false" name="IQ_OPER_INC_FIN" vbProcedure="false">"c851"</definedName>
    <definedName function="false" hidden="true" name="IQ_OPER_INC_HIGH_EST_REUT" vbProcedure="false">"c5342"</definedName>
    <definedName function="false" hidden="false" name="IQ_OPER_INC_INS" vbProcedure="false">"c852"</definedName>
    <definedName function="false" hidden="true" name="IQ_OPER_INC_LOW_EST_REUT" vbProcedure="false">"c5343"</definedName>
    <definedName function="false" hidden="false" name="IQ_OPER_INC_MARGIN" vbProcedure="false">"c1448"</definedName>
    <definedName function="false" hidden="true" name="IQ_OPER_INC_MEDIAN_EST_REUT" vbProcedure="false">"c5341"</definedName>
    <definedName function="false" hidden="true" name="IQ_OPER_INC_NUM_EST_REUT" vbProcedure="false">"c5344"</definedName>
    <definedName function="false" hidden="false" name="IQ_OPER_INC_REIT" vbProcedure="false">"c853"</definedName>
    <definedName function="false" hidden="tru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tru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tru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true" name="IQ_OREO_FOREIGN_FFIEC" vbProcedure="false">"c15273"</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MORT_CM"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CM"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true" name="IQ_OTHER_BORROWED_MONEY_FAIR_VALUE_TOT_FFIEC" vbProcedure="false">"c15409"</definedName>
    <definedName function="false" hidden="true" name="IQ_OTHER_BORROWED_MONEY_LEVEL_1_FFIEC" vbProcedure="false">"c15431"</definedName>
    <definedName function="false" hidden="true" name="IQ_OTHER_BORROWED_MONEY_LEVEL_2_FFIEC" vbProcedure="false">"c15444"</definedName>
    <definedName function="false" hidden="true" name="IQ_OTHER_BORROWED_MONEY_LEVEL_3_FFIEC" vbProcedure="false">"c15457"</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CM"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CM"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true" name="IQ_OTHER_DEBT_SECURITIES_QUARTERLY_AVG_FFIEC" vbProcedure="false">"c15473"</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CM"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CM"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CM"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true" name="IQ_OTHER_IBF_DEPOSIT_LIABILITIES_FFIEC" vbProcedure="false">"c15301"</definedName>
    <definedName function="false" hidden="true" name="IQ_OTHER_INDIVIDUAL_FAMILY_DOM_QUARTERLY_AVG_FFIEC" vbProcedure="false">"c15481"</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CM"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CM"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CM"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CM"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CM"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CM"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true" name="IQ_OTHER_MINING_REVENUE_COAL" vbProcedure="false">"c15931"</definedName>
    <definedName function="false" hidden="false" name="IQ_OTHER_NET" vbProcedure="false">"c1453"</definedName>
    <definedName function="false" hidden="true" name="IQ_OTHER_NONINTEREST_INC_FOREIGN_FFIEC" vbProcedure="false">"c15380"</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CM"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CM"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true" name="IQ_OTHER_NON_REC" vbProcedure="false">"c968"</definedName>
    <definedName function="false" hidden="true" name="IQ_OTHER_NON_REC_BNK" vbProcedure="false">"c969"</definedName>
    <definedName function="false" hidden="true" name="IQ_OTHER_NON_REC_BR" vbProcedure="false">"c970"</definedName>
    <definedName function="false" hidden="true" name="IQ_OTHER_NON_REC_FIN" vbProcedure="false">"c971"</definedName>
    <definedName function="false" hidden="true" name="IQ_OTHER_NON_REC_INS" vbProcedure="false">"c972"</definedName>
    <definedName function="false" hidden="true" name="IQ_OTHER_NON_REC_REIT" vbProcedure="false">"c973"</definedName>
    <definedName function="false" hidden="true" name="IQ_OTHER_NON_REC_SUPPL" vbProcedure="false">"c974"</definedName>
    <definedName function="false" hidden="true" name="IQ_OTHER_NON_REC_SUPPL_BNK" vbProcedure="false">"c975"</definedName>
    <definedName function="false" hidden="true" name="IQ_OTHER_NON_REC_SUPPL_BR" vbProcedure="false">"c976"</definedName>
    <definedName function="false" hidden="true" name="IQ_OTHER_NON_REC_SUPPL_FIN" vbProcedure="false">"c977"</definedName>
    <definedName function="false" hidden="true" name="IQ_OTHER_NON_REC_SUPPL_INS" vbProcedure="false">"c978"</definedName>
    <definedName function="false" hidden="true" name="IQ_OTHER_NON_REC_SUPPL_REIT" vbProcedure="false">"c979"</definedName>
    <definedName function="false" hidden="true" name="IQ_OTHER_NON_REC_SUPPL_UTI" vbProcedure="false">"c980"</definedName>
    <definedName function="false" hidden="true" name="IQ_OTHER_NON_REC_UTI" vbProcedure="false">"c981"</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CM"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CM"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CM"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CM"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CM"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CM"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true" name="IQ_OTHER_SAVINGS_DEPOSITS_NON_TRANS_ACCTS_FFIEC" vbProcedure="false">"c15331"</definedName>
    <definedName function="false" hidden="true" name="IQ_OTHER_SECURITIES_QUARTERLY_AVG_FFIEC" vbProcedure="false">"c15472"</definedName>
    <definedName function="false" hidden="false" name="IQ_OTHER_STRIKE_PRICE_GRANTED" vbProcedure="false">"c2692"</definedName>
    <definedName function="false" hidden="true" name="IQ_OTHER_TRADING_ASSETS_FAIR_VALUE_TOT_FFIEC" vbProcedure="false">"c15404"</definedName>
    <definedName function="false" hidden="true" name="IQ_OTHER_TRADING_ASSETS_LEVEL_1_FFIEC" vbProcedure="false">"c15426"</definedName>
    <definedName function="false" hidden="true" name="IQ_OTHER_TRADING_ASSETS_LEVEL_2_FFIEC" vbProcedure="false">"c15439"</definedName>
    <definedName function="false" hidden="true" name="IQ_OTHER_TRADING_ASSETS_LEVEL_3_FFIEC" vbProcedure="false">"c15452"</definedName>
    <definedName function="false" hidden="true" name="IQ_OTHER_TRADING_LIABILITIES_FAIR_VALUE_TOT_FFIEC" vbProcedure="false">"c15408"</definedName>
    <definedName function="false" hidden="true" name="IQ_OTHER_TRADING_LIABILITIES_LEVEL_1_FFIEC" vbProcedure="false">"c15430"</definedName>
    <definedName function="false" hidden="true" name="IQ_OTHER_TRADING_LIABILITIES_LEVEL_2_FFIEC" vbProcedure="false">"c15443"</definedName>
    <definedName function="false" hidden="true" name="IQ_OTHER_TRADING_LIABILITIES_LEVEL_3_FFIEC" vbProcedure="false">"c15456"</definedName>
    <definedName function="false" hidden="false" name="IQ_OTHER_TRANSACTIONS_FDIC" vbProcedure="false">"c6504"</definedName>
    <definedName function="false" hidden="false" name="IQ_OTHER_UNDRAWN" vbProcedure="false">"c2522"</definedName>
    <definedName function="false" hidden="true" name="IQ_OTHER_UNUSAL" vbProcedure="false">"c998"</definedName>
    <definedName function="false" hidden="true" name="IQ_OTHER_UNUSAL_BNK" vbProcedure="false">"c999"</definedName>
    <definedName function="false" hidden="true" name="IQ_OTHER_UNUSAL_BR" vbProcedure="false">"c1000"</definedName>
    <definedName function="false" hidden="true" name="IQ_OTHER_UNUSAL_FIN" vbProcedure="false">"c1001"</definedName>
    <definedName function="false" hidden="true" name="IQ_OTHER_UNUSAL_INS" vbProcedure="false">"c1002"</definedName>
    <definedName function="false" hidden="true" name="IQ_OTHER_UNUSAL_REIT" vbProcedure="false">"c1003"</definedName>
    <definedName function="false" hidden="true" name="IQ_OTHER_UNUSAL_SUPPL" vbProcedure="false">"c1004"</definedName>
    <definedName function="false" hidden="true" name="IQ_OTHER_UNUSAL_SUPPL_BNK" vbProcedure="false">"c1005"</definedName>
    <definedName function="false" hidden="true" name="IQ_OTHER_UNUSAL_SUPPL_BR" vbProcedure="false">"c1006"</definedName>
    <definedName function="false" hidden="true" name="IQ_OTHER_UNUSAL_SUPPL_FIN" vbProcedure="false">"c1007"</definedName>
    <definedName function="false" hidden="true" name="IQ_OTHER_UNUSAL_SUPPL_INS" vbProcedure="false">"c1008"</definedName>
    <definedName function="false" hidden="true" name="IQ_OTHER_UNUSAL_SUPPL_REIT" vbProcedure="false">"c1009"</definedName>
    <definedName function="false" hidden="true" name="IQ_OTHER_UNUSAL_SUPPL_UTI" vbProcedure="false">"c1010"</definedName>
    <definedName function="false" hidden="true" name="IQ_OTHER_UNUSAL_UTI" vbProcedure="false">"c1011"</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CM"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CM"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tru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OWNERSHIP" vbProcedure="false">"c2160"</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true" name="IQ_PBV_FWD" vbProcedure="false">"c15235"</definedName>
    <definedName function="false" hidden="true" name="IQ_PBV_FWD_REUT" vbProcedure="false">"c15238"</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true" name="IQ_PEG_FWD_REUT" vbProcedure="false">"c4052"</definedName>
    <definedName function="false" hidden="false" name="IQ_PENSION" vbProcedure="false">"c1031"</definedName>
    <definedName function="false" hidden="true" name="IQ_PERCENT_CHANGE_EST_5YR_GROWTH_RATE_12MONTHS_REUT" vbProcedure="false">"c3959"</definedName>
    <definedName function="false" hidden="true" name="IQ_PERCENT_CHANGE_EST_5YR_GROWTH_RATE_18MONTHS_REUT" vbProcedure="false">"c3960"</definedName>
    <definedName function="false" hidden="true" name="IQ_PERCENT_CHANGE_EST_5YR_GROWTH_RATE_3MONTHS_REUT" vbProcedure="false">"c3956"</definedName>
    <definedName function="false" hidden="true" name="IQ_PERCENT_CHANGE_EST_5YR_GROWTH_RATE_6MONTHS_REUT" vbProcedure="false">"c3957"</definedName>
    <definedName function="false" hidden="true" name="IQ_PERCENT_CHANGE_EST_5YR_GROWTH_RATE_9MONTHS_REUT" vbProcedure="false">"c3958"</definedName>
    <definedName function="false" hidden="true" name="IQ_PERCENT_CHANGE_EST_5YR_GROWTH_RATE_DAY_REUT" vbProcedure="false">"c3954"</definedName>
    <definedName function="false" hidden="true" name="IQ_PERCENT_CHANGE_EST_5YR_GROWTH_RATE_MONTH_REUT" vbProcedure="false">"c3955"</definedName>
    <definedName function="false" hidden="true" name="IQ_PERCENT_CHANGE_EST_5YR_GROWTH_RATE_WEEK_REUT" vbProcedure="false">"c5435"</definedName>
    <definedName function="false" hidden="true" name="IQ_PERCENT_CHANGE_EST_CFPS_12MONTHS_REUT" vbProcedure="false">"c3924"</definedName>
    <definedName function="false" hidden="true" name="IQ_PERCENT_CHANGE_EST_CFPS_18MONTHS_REUT" vbProcedure="false">"c3925"</definedName>
    <definedName function="false" hidden="true" name="IQ_PERCENT_CHANGE_EST_CFPS_3MONTHS_REUT" vbProcedure="false">"c3921"</definedName>
    <definedName function="false" hidden="true" name="IQ_PERCENT_CHANGE_EST_CFPS_6MONTHS_REUT" vbProcedure="false">"c3922"</definedName>
    <definedName function="false" hidden="true" name="IQ_PERCENT_CHANGE_EST_CFPS_9MONTHS_REUT" vbProcedure="false">"c3923"</definedName>
    <definedName function="false" hidden="true" name="IQ_PERCENT_CHANGE_EST_CFPS_DAY_REUT" vbProcedure="false">"c3919"</definedName>
    <definedName function="false" hidden="true" name="IQ_PERCENT_CHANGE_EST_CFPS_MONTH_REUT" vbProcedure="false">"c3920"</definedName>
    <definedName function="false" hidden="true" name="IQ_PERCENT_CHANGE_EST_CFPS_WEEK_REUT" vbProcedure="false">"c3962"</definedName>
    <definedName function="false" hidden="true" name="IQ_PERCENT_CHANGE_EST_DPS_12MONTHS_REUT" vbProcedure="false">"c3931"</definedName>
    <definedName function="false" hidden="true" name="IQ_PERCENT_CHANGE_EST_DPS_18MONTHS_REUT" vbProcedure="false">"c3932"</definedName>
    <definedName function="false" hidden="true" name="IQ_PERCENT_CHANGE_EST_DPS_3MONTHS_REUT" vbProcedure="false">"c3928"</definedName>
    <definedName function="false" hidden="true" name="IQ_PERCENT_CHANGE_EST_DPS_6MONTHS_REUT" vbProcedure="false">"c3929"</definedName>
    <definedName function="false" hidden="true" name="IQ_PERCENT_CHANGE_EST_DPS_9MONTHS_REUT" vbProcedure="false">"c3930"</definedName>
    <definedName function="false" hidden="true" name="IQ_PERCENT_CHANGE_EST_DPS_DAY_REUT" vbProcedure="false">"c3926"</definedName>
    <definedName function="false" hidden="true" name="IQ_PERCENT_CHANGE_EST_DPS_MONTH_REUT" vbProcedure="false">"c3927"</definedName>
    <definedName function="false" hidden="true" name="IQ_PERCENT_CHANGE_EST_DPS_WEEK_REUT" vbProcedure="false">"c3963"</definedName>
    <definedName function="false" hidden="true" name="IQ_PERCENT_CHANGE_EST_EBITDA_12MONTHS_REUT" vbProcedure="false">"c3917"</definedName>
    <definedName function="false" hidden="true" name="IQ_PERCENT_CHANGE_EST_EBITDA_18MONTHS_REUT" vbProcedure="false">"c3918"</definedName>
    <definedName function="false" hidden="true" name="IQ_PERCENT_CHANGE_EST_EBITDA_3MONTHS_REUT" vbProcedure="false">"c3914"</definedName>
    <definedName function="false" hidden="true" name="IQ_PERCENT_CHANGE_EST_EBITDA_6MONTHS_REUT" vbProcedure="false">"c3915"</definedName>
    <definedName function="false" hidden="true" name="IQ_PERCENT_CHANGE_EST_EBITDA_9MONTHS_REUT" vbProcedure="false">"c3916"</definedName>
    <definedName function="false" hidden="true" name="IQ_PERCENT_CHANGE_EST_EBITDA_DAY_REUT" vbProcedure="false">"c3912"</definedName>
    <definedName function="false" hidden="true" name="IQ_PERCENT_CHANGE_EST_EBITDA_MONTH_REUT" vbProcedure="false">"c3913"</definedName>
    <definedName function="false" hidden="true" name="IQ_PERCENT_CHANGE_EST_EBITDA_WEEK_REUT" vbProcedure="false">"c3961"</definedName>
    <definedName function="false" hidden="true" name="IQ_PERCENT_CHANGE_EST_EPS_12MONTHS_REUT" vbProcedure="false">"c3902"</definedName>
    <definedName function="false" hidden="true" name="IQ_PERCENT_CHANGE_EST_EPS_18MONTHS_REUT" vbProcedure="false">"c3903"</definedName>
    <definedName function="false" hidden="true" name="IQ_PERCENT_CHANGE_EST_EPS_3MONTHS_REUT" vbProcedure="false">"c3899"</definedName>
    <definedName function="false" hidden="true" name="IQ_PERCENT_CHANGE_EST_EPS_6MONTHS_REUT" vbProcedure="false">"c3900"</definedName>
    <definedName function="false" hidden="true" name="IQ_PERCENT_CHANGE_EST_EPS_9MONTHS_REUT" vbProcedure="false">"c3901"</definedName>
    <definedName function="false" hidden="true" name="IQ_PERCENT_CHANGE_EST_EPS_DAY_REUT" vbProcedure="false">"c3896"</definedName>
    <definedName function="false" hidden="true" name="IQ_PERCENT_CHANGE_EST_EPS_MONTH_REUT" vbProcedure="false">"c3898"</definedName>
    <definedName function="false" hidden="tru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true" name="IQ_PERCENT_CHANGE_EST_FFO_SHARE_SHARE_12MONTHS" vbProcedure="false">"c1828"</definedName>
    <definedName function="false" hidden="true" name="IQ_PERCENT_CHANGE_EST_FFO_SHARE_SHARE_12MONTHS_CIQ" vbProcedure="false">"c3769"</definedName>
    <definedName function="false" hidden="true" name="IQ_PERCENT_CHANGE_EST_FFO_SHARE_SHARE_12MONTHS_THOM" vbProcedure="false">"c5248"</definedName>
    <definedName function="false" hidden="true" name="IQ_PERCENT_CHANGE_EST_FFO_SHARE_SHARE_18MONTHS" vbProcedure="false">"c1829"</definedName>
    <definedName function="false" hidden="true" name="IQ_PERCENT_CHANGE_EST_FFO_SHARE_SHARE_18MONTHS_CIQ" vbProcedure="false">"c3770"</definedName>
    <definedName function="false" hidden="true" name="IQ_PERCENT_CHANGE_EST_FFO_SHARE_SHARE_18MONTHS_THOM" vbProcedure="false">"c5249"</definedName>
    <definedName function="false" hidden="true" name="IQ_PERCENT_CHANGE_EST_FFO_SHARE_SHARE_3MONTHS" vbProcedure="false">"c1825"</definedName>
    <definedName function="false" hidden="true" name="IQ_PERCENT_CHANGE_EST_FFO_SHARE_SHARE_3MONTHS_CIQ" vbProcedure="false">"c3766"</definedName>
    <definedName function="false" hidden="true" name="IQ_PERCENT_CHANGE_EST_FFO_SHARE_SHARE_3MONTHS_THOM" vbProcedure="false">"c5245"</definedName>
    <definedName function="false" hidden="true" name="IQ_PERCENT_CHANGE_EST_FFO_SHARE_SHARE_6MONTHS" vbProcedure="false">"c1826"</definedName>
    <definedName function="false" hidden="true" name="IQ_PERCENT_CHANGE_EST_FFO_SHARE_SHARE_6MONTHS_CIQ" vbProcedure="false">"c3767"</definedName>
    <definedName function="false" hidden="true" name="IQ_PERCENT_CHANGE_EST_FFO_SHARE_SHARE_6MONTHS_THOM" vbProcedure="false">"c5246"</definedName>
    <definedName function="false" hidden="true" name="IQ_PERCENT_CHANGE_EST_FFO_SHARE_SHARE_9MONTHS" vbProcedure="false">"c1827"</definedName>
    <definedName function="false" hidden="true" name="IQ_PERCENT_CHANGE_EST_FFO_SHARE_SHARE_9MONTHS_CIQ" vbProcedure="false">"c3768"</definedName>
    <definedName function="false" hidden="true" name="IQ_PERCENT_CHANGE_EST_FFO_SHARE_SHARE_9MONTHS_THOM" vbProcedure="false">"c5247"</definedName>
    <definedName function="false" hidden="true" name="IQ_PERCENT_CHANGE_EST_FFO_SHARE_SHARE_DAY" vbProcedure="false">"c1822"</definedName>
    <definedName function="false" hidden="true" name="IQ_PERCENT_CHANGE_EST_FFO_SHARE_SHARE_DAY_CIQ" vbProcedure="false">"c3764"</definedName>
    <definedName function="false" hidden="true" name="IQ_PERCENT_CHANGE_EST_FFO_SHARE_SHARE_DAY_THOM" vbProcedure="false">"c5243"</definedName>
    <definedName function="false" hidden="true" name="IQ_PERCENT_CHANGE_EST_FFO_SHARE_SHARE_MONTH" vbProcedure="false">"c1824"</definedName>
    <definedName function="false" hidden="true" name="IQ_PERCENT_CHANGE_EST_FFO_SHARE_SHARE_MONTH_CIQ" vbProcedure="false">"c3765"</definedName>
    <definedName function="false" hidden="true" name="IQ_PERCENT_CHANGE_EST_FFO_SHARE_SHARE_MONTH_THOM" vbProcedure="false">"c5244"</definedName>
    <definedName function="false" hidden="true" name="IQ_PERCENT_CHANGE_EST_FFO_SHARE_SHARE_WEEK" vbProcedure="false">"c1823"</definedName>
    <definedName function="false" hidden="true" name="IQ_PERCENT_CHANGE_EST_FFO_SHARE_SHARE_WEEK_CIQ" vbProcedure="false">"c3795"</definedName>
    <definedName function="false" hidden="tru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true" name="IQ_PERCENT_CHANGE_EST_PRICE_TARGET_12MONTHS_REUT" vbProcedure="false">"c3952"</definedName>
    <definedName function="false" hidden="true" name="IQ_PERCENT_CHANGE_EST_PRICE_TARGET_18MONTHS_REUT" vbProcedure="false">"c3953"</definedName>
    <definedName function="false" hidden="true" name="IQ_PERCENT_CHANGE_EST_PRICE_TARGET_3MONTHS_REUT" vbProcedure="false">"c3949"</definedName>
    <definedName function="false" hidden="true" name="IQ_PERCENT_CHANGE_EST_PRICE_TARGET_6MONTHS_REUT" vbProcedure="false">"c3950"</definedName>
    <definedName function="false" hidden="true" name="IQ_PERCENT_CHANGE_EST_PRICE_TARGET_9MONTHS_REUT" vbProcedure="false">"c3951"</definedName>
    <definedName function="false" hidden="true" name="IQ_PERCENT_CHANGE_EST_PRICE_TARGET_DAY_REUT" vbProcedure="false">"c3947"</definedName>
    <definedName function="false" hidden="true" name="IQ_PERCENT_CHANGE_EST_PRICE_TARGET_MONTH_REUT" vbProcedure="false">"c3948"</definedName>
    <definedName function="false" hidden="true" name="IQ_PERCENT_CHANGE_EST_PRICE_TARGET_WEEK_REUT" vbProcedure="false">"c3967"</definedName>
    <definedName function="false" hidden="true" name="IQ_PERCENT_CHANGE_EST_RECO_12MONTHS_REUT" vbProcedure="false">"c3945"</definedName>
    <definedName function="false" hidden="true" name="IQ_PERCENT_CHANGE_EST_RECO_18MONTHS_REUT" vbProcedure="false">"c3946"</definedName>
    <definedName function="false" hidden="true" name="IQ_PERCENT_CHANGE_EST_RECO_3MONTHS_REUT" vbProcedure="false">"c3942"</definedName>
    <definedName function="false" hidden="true" name="IQ_PERCENT_CHANGE_EST_RECO_6MONTHS_REUT" vbProcedure="false">"c3943"</definedName>
    <definedName function="false" hidden="true" name="IQ_PERCENT_CHANGE_EST_RECO_9MONTHS_REUT" vbProcedure="false">"c3944"</definedName>
    <definedName function="false" hidden="true" name="IQ_PERCENT_CHANGE_EST_RECO_DAY_REUT" vbProcedure="false">"c3940"</definedName>
    <definedName function="false" hidden="true" name="IQ_PERCENT_CHANGE_EST_RECO_MONTH_REUT" vbProcedure="false">"c3941"</definedName>
    <definedName function="false" hidden="true" name="IQ_PERCENT_CHANGE_EST_RECO_WEEK_REUT" vbProcedure="false">"c3966"</definedName>
    <definedName function="false" hidden="true" name="IQ_PERCENT_CHANGE_EST_REV_12MONTHS_REUT" vbProcedure="false">"c3910"</definedName>
    <definedName function="false" hidden="true" name="IQ_PERCENT_CHANGE_EST_REV_18MONTHS_REUT" vbProcedure="false">"c3911"</definedName>
    <definedName function="false" hidden="true" name="IQ_PERCENT_CHANGE_EST_REV_3MONTHS_REUT" vbProcedure="false">"c3907"</definedName>
    <definedName function="false" hidden="true" name="IQ_PERCENT_CHANGE_EST_REV_6MONTHS_REUT" vbProcedure="false">"c3908"</definedName>
    <definedName function="false" hidden="true" name="IQ_PERCENT_CHANGE_EST_REV_9MONTHS_REUT" vbProcedure="false">"c3909"</definedName>
    <definedName function="false" hidden="true" name="IQ_PERCENT_CHANGE_EST_REV_DAY_REUT" vbProcedure="false">"c3904"</definedName>
    <definedName function="false" hidden="true" name="IQ_PERCENT_CHANGE_EST_REV_MONTH_REUT" vbProcedure="false">"c3906"</definedName>
    <definedName function="false" hidden="true" name="IQ_PERCENT_CHANGE_EST_REV_WEEK_REUT" vbProcedure="false">"c3905"</definedName>
    <definedName function="false" hidden="true" name="IQ_PERCENT_FLOAT" vbProcedure="false">"c227"</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SONAL_CURRENT_TAXES" vbProcedure="false">"c20956"</definedName>
    <definedName function="false" hidden="false" name="IQ_PERSONAL_DISPOSABLE_INCOME" vbProcedure="false">"c20957"</definedName>
    <definedName function="false" hidden="false" name="IQ_PERSONAL_INCOME_ASSETS" vbProcedure="false">"c20958"</definedName>
    <definedName function="false" hidden="false" name="IQ_PERSONAL_INCOME_ASSETS_DIVIDEND" vbProcedure="false">"c20959"</definedName>
    <definedName function="false" hidden="false" name="IQ_PERSONAL_INCOME_ASSETS_INTEREST" vbProcedure="false">"c20960"</definedName>
    <definedName function="false" hidden="false" name="IQ_PERSONAL_INCOME_CHAINED_DOLLARS" vbProcedure="false">"c20961"</definedName>
    <definedName function="false" hidden="false" name="IQ_PERSONAL_INCOME_COMPENSATION" vbProcedure="false">"c20962"</definedName>
    <definedName function="false" hidden="false" name="IQ_PERSONAL_INCOME_EMPLOYER_GOVT_INSURANCE_CONTRIBUTION" vbProcedure="false">"c20963"</definedName>
    <definedName function="false" hidden="false" name="IQ_PERSONAL_INCOME_EMPLOYER_PENSION_CONTRIBUTION" vbProcedure="false">"c20964"</definedName>
    <definedName function="false" hidden="false" name="IQ_PERSONAL_INCOME_EX_TRANSFER_RECEIPTS" vbProcedure="false">"c20965"</definedName>
    <definedName function="false" hidden="false" name="IQ_PERSONAL_INCOME_GOVT_CONTRIBUTION_SOCIAL_INS" vbProcedure="false">"c20966"</definedName>
    <definedName function="false" hidden="false" name="IQ_PERSONAL_INCOME_GOVT_SOCIAL_BENEFITS" vbProcedure="false">"c20967"</definedName>
    <definedName function="false" hidden="false" name="IQ_PERSONAL_INCOME_GOVT_SOCIAL_BENEFITS_FAMILY" vbProcedure="false">"c20968"</definedName>
    <definedName function="false" hidden="false" name="IQ_PERSONAL_INCOME_GOVT_SOCIAL_BENEFITS_OTHER" vbProcedure="false">"c20969"</definedName>
    <definedName function="false" hidden="false" name="IQ_PERSONAL_INCOME_GOVT_SOCIAL_BENEFITS_UNEMPLOYMENT" vbProcedure="false">"c20970"</definedName>
    <definedName function="false" hidden="false" name="IQ_PERSONAL_INCOME_GOVT_SOCIAL_BENEFITS_VETERANS" vbProcedure="false">"c20971"</definedName>
    <definedName function="false" hidden="false" name="IQ_PERSONAL_INCOME_GOVT_SOCIAL_BENEFITS_WELFARE" vbProcedure="false">"c20972"</definedName>
    <definedName function="false" hidden="false" name="IQ_PERSONAL_INCOME_PCT_CHANGE" vbProcedure="false">"c20973"</definedName>
    <definedName function="false" hidden="false" name="IQ_PERSONAL_INCOME_PCT_CHANGE_CHAINED_DOLLARS" vbProcedure="false">"c20974"</definedName>
    <definedName function="false" hidden="false" name="IQ_PERSONAL_INCOME_PER_CAPITA" vbProcedure="false">"c20975"</definedName>
    <definedName function="false" hidden="false" name="IQ_PERSONAL_INCOME_PER_CAPITA_CHAINED_DOLLARS" vbProcedure="false">"c20976"</definedName>
    <definedName function="false" hidden="false" name="IQ_PERSONAL_INCOME_PROPIETOR" vbProcedure="false">"c20977"</definedName>
    <definedName function="false" hidden="false" name="IQ_PERSONAL_INCOME_PROPIETOR_FARM" vbProcedure="false">"c20978"</definedName>
    <definedName function="false" hidden="false" name="IQ_PERSONAL_INCOME_PROPIETOR_NONFARM" vbProcedure="false">"c20979"</definedName>
    <definedName function="false" hidden="false" name="IQ_PERSONAL_INCOME_RENTAL" vbProcedure="false">"c20980"</definedName>
    <definedName function="false" hidden="false" name="IQ_PERSONAL_INCOME_TRANSFER_RECEIPTS" vbProcedure="false">"c20981"</definedName>
    <definedName function="false" hidden="false" name="IQ_PERSONAL_INCOME_TRANSFER_RECEIPTS_OTHER" vbProcedure="false">"c20982"</definedName>
    <definedName function="false" hidden="false" name="IQ_PERSONAL_INCOME_WAGES" vbProcedure="false">"c20984"</definedName>
    <definedName function="false" hidden="false" name="IQ_PERSONAL_INCOME_WAGES_GOVT" vbProcedure="false">"c20985"</definedName>
    <definedName function="false" hidden="false" name="IQ_PERSONAL_INCOME_WAGES_PRIVATE_INDUSTRY" vbProcedure="false">"c20986"</definedName>
    <definedName function="false" hidden="false" name="IQ_PERSONAL_INCOME_WAGE_SUPPLEMENTS" vbProcedure="false">"c20983"</definedName>
    <definedName function="false" hidden="false" name="IQ_PERSONAL_INTEREST_PAYMENTS" vbProcedure="false">"c20987"</definedName>
    <definedName function="false" hidden="false" name="IQ_PERSONAL_OUTLAYS" vbProcedure="false">"c20988"</definedName>
    <definedName function="false" hidden="false" name="IQ_PERSONAL_SAVINGS" vbProcedure="false">"c20989"</definedName>
    <definedName function="false" hidden="false" name="IQ_PERSONAL_SAVINGS_PCT_INCOME" vbProcedure="false">"c20990"</definedName>
    <definedName function="false" hidden="false" name="IQ_PERSONAL_TRANSFER_PAYMENTS" vbProcedure="false">"c20991"</definedName>
    <definedName function="false" hidden="false" name="IQ_PERSONAL_TRANSFER_PAYMENTS_GOVT" vbProcedure="false">"c20992"</definedName>
    <definedName function="false" hidden="false" name="IQ_PERSONAL_TRANSFER_PAYMENTS_WORLD" vbProcedure="false">"c20993"</definedName>
    <definedName function="false" hidden="false" name="IQ_PERSON_INCOME" vbProcedure="false">"c20954"</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tru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EDGED_SECURITIES_FFIEC" vbProcedure="false">"c24743"</definedName>
    <definedName function="false" hidden="false" name="IQ_PLL" vbProcedure="false">"c2114"</definedName>
    <definedName function="false" hidden="false" name="IQ_PMT_FREQ" vbProcedure="false">"c2236"</definedName>
    <definedName function="false" hidden="true" name="IQ_POISON_PUT_EFFECT_DATE" vbProcedure="false">"c2486"</definedName>
    <definedName function="false" hidden="true" name="IQ_POISON_PUT_EXPIRATION_DATE" vbProcedure="false">"c2487"</definedName>
    <definedName function="false" hidden="true" name="IQ_POISON_PUT_PRICE" vbProcedure="false">"c2488"</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PULATION" vbProcedure="false">"c20994"</definedName>
    <definedName function="false" hidden="false" name="IQ_POPULATION_FC" vbProcedure="false">"c20995"</definedName>
    <definedName function="false" hidden="false" name="IQ_PORTFOLIO_INVESTMENT_NET" vbProcedure="false">"c20996"</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true" name="IQ_POTENTIAL_UPSIDE_REUT" vbProcedure="false">"c3968"</definedName>
    <definedName function="false" hidden="true" name="IQ_PREFERRED_DEPOSITS_FFIEC" vbProcedure="false">"c15312"</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CM"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CM"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CM"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true" name="IQ_PRESIDENT_ID" vbProcedure="false">"c15216"</definedName>
    <definedName function="false" hidden="true" name="IQ_PRESIDENT_NAME" vbProcedure="false">"c15215"</definedName>
    <definedName function="false" hidden="true" name="IQ_PRETAX_GW_INC_EST_REUT" vbProcedure="false">"c5354"</definedName>
    <definedName function="false" hidden="true" name="IQ_PRETAX_GW_INC_HIGH_EST_REUT" vbProcedure="false">"c5356"</definedName>
    <definedName function="false" hidden="true" name="IQ_PRETAX_GW_INC_LOW_EST_REUT" vbProcedure="false">"c5357"</definedName>
    <definedName function="false" hidden="true" name="IQ_PRETAX_GW_INC_MEDIAN_EST_REUT" vbProcedure="false">"c5355"</definedName>
    <definedName function="false" hidden="true" name="IQ_PRETAX_GW_INC_NUM_EST_REUT" vbProcedure="false">"c5358"</definedName>
    <definedName function="false" hidden="tru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true" name="IQ_PRETAX_INC_AFTER_CAP_ALLOCATION_FOREIGN_FFIEC" vbProcedure="false">"c15390"</definedName>
    <definedName function="false" hidden="true" name="IQ_PRETAX_INC_BEFORE_CAP_ALLOCATION_FOREIGN_FFIEC" vbProcedure="false">"c15388"</definedName>
    <definedName function="false" hidden="true" name="IQ_PRETAX_INC_EST_REUT" vbProcedure="false">"c5347"</definedName>
    <definedName function="false" hidden="true" name="IQ_PRETAX_INC_HIGH_EST_REUT" vbProcedure="false">"c5349"</definedName>
    <definedName function="false" hidden="true" name="IQ_PRETAX_INC_LOW_EST_REUT" vbProcedure="false">"c5350"</definedName>
    <definedName function="false" hidden="true" name="IQ_PRETAX_INC_MEDIAN_EST_REUT" vbProcedure="false">"c5348"</definedName>
    <definedName function="false" hidden="true" name="IQ_PRETAX_INC_NUM_EST_REUT" vbProcedure="false">"c5351"</definedName>
    <definedName function="false" hidden="true" name="IQ_PRETAX_INC_STDDEV_EST_REUT" vbProcedure="false">"c5352"</definedName>
    <definedName function="false" hidden="true" name="IQ_PRETAX_REPORT_INC_EST_REUT" vbProcedure="false">"c5361"</definedName>
    <definedName function="false" hidden="true" name="IQ_PRETAX_REPORT_INC_HIGH_EST_REUT" vbProcedure="false">"c5363"</definedName>
    <definedName function="false" hidden="true" name="IQ_PRETAX_REPORT_INC_LOW_EST_REUT" vbProcedure="false">"c5364"</definedName>
    <definedName function="false" hidden="true" name="IQ_PRETAX_REPORT_INC_MEDIAN_EST_REUT" vbProcedure="false">"c5362"</definedName>
    <definedName function="false" hidden="true" name="IQ_PRETAX_REPORT_INC_NUM_EST_REUT" vbProcedure="false">"c5365"</definedName>
    <definedName function="false" hidden="tru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tru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tru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true" name="IQ_PRICE_TARGET_BOTTOM_UP_REUT" vbProcedure="false">"c5494"</definedName>
    <definedName function="false" hidden="true" name="IQ_PRICE_TARGET_REUT" vbProcedure="false">"c3631"</definedName>
    <definedName function="false" hidden="false" name="IQ_PRICING_DATE" vbProcedure="false">"c1613"</definedName>
    <definedName function="false" hidden="tru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NCIPAL_AMT" vbProcedure="false">"c2157"</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true" name="IQ_PROFESSIONAL_ASSISTANT_EMAIL" vbProcedure="false">"c15169"</definedName>
    <definedName function="false" hidden="true" name="IQ_PROFESSIONAL_ASSISTANT_FAX" vbProcedure="false">"c15171"</definedName>
    <definedName function="false" hidden="true" name="IQ_PROFESSIONAL_ASSISTANT_NAME" vbProcedure="false">"c15168"</definedName>
    <definedName function="false" hidden="true" name="IQ_PROFESSIONAL_ASSISTANT_PHONE" vbProcedure="false">"c15170"</definedName>
    <definedName function="false" hidden="true" name="IQ_PROFESSIONAL_BACKGROUND" vbProcedure="false">"c15161"</definedName>
    <definedName function="false" hidden="true" name="IQ_PROFESSIONAL_DIRECT_FAX" vbProcedure="false">"c15166"</definedName>
    <definedName function="false" hidden="true" name="IQ_PROFESSIONAL_DIRECT_PHONE" vbProcedure="false">"c15165"</definedName>
    <definedName function="false" hidden="true" name="IQ_PROFESSIONAL_EMAIL" vbProcedure="false">"c15167"</definedName>
    <definedName function="false" hidden="true" name="IQ_PROFESSIONAL_MAIN_FAX" vbProcedure="false">"c15164"</definedName>
    <definedName function="false" hidden="true" name="IQ_PROFESSIONAL_MAIN_PHONE" vbProcedure="false">"c15163"</definedName>
    <definedName function="false" hidden="true" name="IQ_PROFESSIONAL_OFFICE_ADDRESS" vbProcedure="false">"c15162"</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true" name="IQ_PUT_DATE_SCHEDULE" vbProcedure="false">"c2483"</definedName>
    <definedName function="false" hidden="true" name="IQ_PUT_NOTIFICATION" vbProcedure="false">"c2485"</definedName>
    <definedName function="false" hidden="true" name="IQ_PUT_PRICE_SCHEDULE" vbProcedure="false">"c2484"</definedName>
    <definedName function="false" hidden="tru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DOMESTIC_PURCHASES" vbProcedure="false">"c20997"</definedName>
    <definedName function="false" hidden="false" name="IQ_REAL_ESTATE" vbProcedure="false">"c1093"</definedName>
    <definedName function="false" hidden="false" name="IQ_REAL_ESTATE_ASSETS" vbProcedure="false">"c1094"</definedName>
    <definedName function="false" hidden="false" name="IQ_REAL_EXPORT" vbProcedure="false">"c20998"</definedName>
    <definedName function="false" hidden="false" name="IQ_REAL_EXPORT_GOODS" vbProcedure="false">"c20999"</definedName>
    <definedName function="false" hidden="false" name="IQ_REAL_EXPORT_INCOME" vbProcedure="false">"c21000"</definedName>
    <definedName function="false" hidden="false" name="IQ_REAL_EXPORT_SERVICES" vbProcedure="false">"c21001"</definedName>
    <definedName function="false" hidden="false" name="IQ_REAL_FIXED_INVESTMENT" vbProcedure="false">"c21002"</definedName>
    <definedName function="false" hidden="false" name="IQ_REAL_GDP" vbProcedure="false">"c21003"</definedName>
    <definedName function="false" hidden="false" name="IQ_REAL_GDP_FC" vbProcedure="false">"c21004"</definedName>
    <definedName function="false" hidden="false" name="IQ_REAL_GDP_GROWTH" vbProcedure="false">"c21005"</definedName>
    <definedName function="false" hidden="false" name="IQ_REAL_GDP_GROWTH_FC" vbProcedure="false">"c21006"</definedName>
    <definedName function="false" hidden="false" name="IQ_REAL_GDP_USD" vbProcedure="false">"c21007"</definedName>
    <definedName function="false" hidden="false" name="IQ_REAL_GDP_USD_FC" vbProcedure="false">"c21008"</definedName>
    <definedName function="false" hidden="false" name="IQ_REAL_GNP" vbProcedure="false">"c21009"</definedName>
    <definedName function="false" hidden="false" name="IQ_REAL_GOVT_CONSUM_INVEST" vbProcedure="false">"c21010"</definedName>
    <definedName function="false" hidden="false" name="IQ_REAL_GOVT_CONSUM_INVEST_DEF" vbProcedure="false">"c21011"</definedName>
    <definedName function="false" hidden="false" name="IQ_REAL_GOVT_CONSUM_INVEST_DEF_CONSUM" vbProcedure="false">"c21012"</definedName>
    <definedName function="false" hidden="false" name="IQ_REAL_GOVT_CONSUM_INVEST_DEF_INVEST" vbProcedure="false">"c21013"</definedName>
    <definedName function="false" hidden="false" name="IQ_REAL_GOVT_CONSUM_INVEST_FEDERAL" vbProcedure="false">"c21014"</definedName>
    <definedName function="false" hidden="false" name="IQ_REAL_GOVT_CONSUM_INVEST_NONDEF" vbProcedure="false">"c21015"</definedName>
    <definedName function="false" hidden="false" name="IQ_REAL_GOVT_CONSUM_INVEST_NONDEF_CONSUM" vbProcedure="false">"c21016"</definedName>
    <definedName function="false" hidden="false" name="IQ_REAL_GOVT_CONSUM_INVEST_NONDEF_INVEST" vbProcedure="false">"c21017"</definedName>
    <definedName function="false" hidden="false" name="IQ_REAL_GOVT_CONSUM_INVEST_STATE_LOCAL" vbProcedure="false">"c21018"</definedName>
    <definedName function="false" hidden="false" name="IQ_REAL_GOVT_CONSUM_INVEST_STATE_LOCAL_CONSUM" vbProcedure="false">"c21019"</definedName>
    <definedName function="false" hidden="false" name="IQ_REAL_GOVT_CONSUM_INVEST_STATE_LOCAL_INVEST" vbProcedure="false">"c21020"</definedName>
    <definedName function="false" hidden="false" name="IQ_REAL_IMPORT" vbProcedure="false">"c21021"</definedName>
    <definedName function="false" hidden="false" name="IQ_REAL_IMPORT_GOODS" vbProcedure="false">"c21022"</definedName>
    <definedName function="false" hidden="false" name="IQ_REAL_IMPORT_INCOME" vbProcedure="false">"c21023"</definedName>
    <definedName function="false" hidden="false" name="IQ_REAL_IMPORT_SERVICES" vbProcedure="false">"c21024"</definedName>
    <definedName function="false" hidden="false" name="IQ_REAL_NET_DOMESTIC_PRODUCTION" vbProcedure="false">"c21025"</definedName>
    <definedName function="false" hidden="false" name="IQ_REAL_NET_EXPORT" vbProcedure="false">"c21026"</definedName>
    <definedName function="false" hidden="false" name="IQ_REAL_PCE" vbProcedure="false">"c21027"</definedName>
    <definedName function="false" hidden="false" name="IQ_REAL_PCE_CLOTHING" vbProcedure="false">"c21028"</definedName>
    <definedName function="false" hidden="false" name="IQ_REAL_PCE_DUR_GOODS" vbProcedure="false">"c21029"</definedName>
    <definedName function="false" hidden="false" name="IQ_REAL_PCE_DUR_GOODS_OTHER" vbProcedure="false">"c21030"</definedName>
    <definedName function="false" hidden="false" name="IQ_REAL_PCE_FINANCIAL" vbProcedure="false">"c21031"</definedName>
    <definedName function="false" hidden="false" name="IQ_REAL_PCE_FOOD_ACCOMADATIONS" vbProcedure="false">"c21032"</definedName>
    <definedName function="false" hidden="false" name="IQ_REAL_PCE_FOOD_BEVERAGE" vbProcedure="false">"c21033"</definedName>
    <definedName function="false" hidden="false" name="IQ_REAL_PCE_FURNISHINGS" vbProcedure="false">"c21034"</definedName>
    <definedName function="false" hidden="false" name="IQ_REAL_PCE_GAS" vbProcedure="false">"c21035"</definedName>
    <definedName function="false" hidden="false" name="IQ_REAL_PCE_GOOD" vbProcedure="false">"c21036"</definedName>
    <definedName function="false" hidden="false" name="IQ_REAL_PCE_HEALTH_CARE" vbProcedure="false">"c21037"</definedName>
    <definedName function="false" hidden="false" name="IQ_REAL_PCE_HOUSEHOLD_CONSUM" vbProcedure="false">"c21038"</definedName>
    <definedName function="false" hidden="false" name="IQ_REAL_PCE_HOUSEHOLD_CONSUM_OTHER" vbProcedure="false">"c21039"</definedName>
    <definedName function="false" hidden="false" name="IQ_REAL_PCE_HOUSING" vbProcedure="false">"c21040"</definedName>
    <definedName function="false" hidden="false" name="IQ_REAL_PCE_MOTOR_VEHICLE" vbProcedure="false">"c21041"</definedName>
    <definedName function="false" hidden="false" name="IQ_REAL_PCE_NONDUR_GOODS" vbProcedure="false">"c21042"</definedName>
    <definedName function="false" hidden="false" name="IQ_REAL_PCE_NONDUR_GOODS_OTHER" vbProcedure="false">"c21043"</definedName>
    <definedName function="false" hidden="false" name="IQ_REAL_PCE_NONPROFIT_CONSUM" vbProcedure="false">"c21044"</definedName>
    <definedName function="false" hidden="false" name="IQ_REAL_PCE_NONPROFIT_OUTPUT" vbProcedure="false">"c21045"</definedName>
    <definedName function="false" hidden="false" name="IQ_REAL_PCE_NONPROFIT_RECEIPTS" vbProcedure="false">"c21046"</definedName>
    <definedName function="false" hidden="false" name="IQ_REAL_PCE_RECREATION_GOODS" vbProcedure="false">"c21047"</definedName>
    <definedName function="false" hidden="false" name="IQ_REAL_PCE_RECREATION_SERVICES" vbProcedure="false">"c21048"</definedName>
    <definedName function="false" hidden="false" name="IQ_REAL_PCE_SERVICES" vbProcedure="false">"c21049"</definedName>
    <definedName function="false" hidden="false" name="IQ_REAL_PCE_TRANSPORTATION" vbProcedure="false">"c21050"</definedName>
    <definedName function="false" hidden="false" name="IQ_REAL_PRIVATE_CONSUM_GROWTH" vbProcedure="false">"c21051"</definedName>
    <definedName function="false" hidden="false" name="IQ_REAL_PRIVATE_INVEST" vbProcedure="false">"c21052"</definedName>
    <definedName function="false" hidden="false" name="IQ_REAL_PRIVATE_INVEST_EQUIP" vbProcedure="false">"c21053"</definedName>
    <definedName function="false" hidden="false" name="IQ_REAL_PRIVATE_INVEST_EQUIP_OTHER" vbProcedure="false">"c21054"</definedName>
    <definedName function="false" hidden="false" name="IQ_REAL_PRIVATE_INVEST_FIXED" vbProcedure="false">"c21055"</definedName>
    <definedName function="false" hidden="false" name="IQ_REAL_PRIVATE_INVEST_INDUSTRIAL_EQUIP" vbProcedure="false">"c21056"</definedName>
    <definedName function="false" hidden="false" name="IQ_REAL_PRIVATE_INVEST_INFO_EQUIP" vbProcedure="false">"c21057"</definedName>
    <definedName function="false" hidden="false" name="IQ_REAL_PRIVATE_INVEST_INFO_EQUIP_COMPUTERS" vbProcedure="false">"c21058"</definedName>
    <definedName function="false" hidden="false" name="IQ_REAL_PRIVATE_INVEST_INFO_EQUIP_OTHER" vbProcedure="false">"c21059"</definedName>
    <definedName function="false" hidden="false" name="IQ_REAL_PRIVATE_INVEST_INFO_EQUIP_SOFTWARE" vbProcedure="false">"c21060"</definedName>
    <definedName function="false" hidden="false" name="IQ_REAL_PRIVATE_INVEST_NONRES" vbProcedure="false">"c21061"</definedName>
    <definedName function="false" hidden="false" name="IQ_REAL_PRIVATE_INVEST_PRIVATE_INV_CHANGE" vbProcedure="false">"c21062"</definedName>
    <definedName function="false" hidden="false" name="IQ_REAL_PRIVATE_INVEST_PRIVATE_INV_FARMS" vbProcedure="false">"c21063"</definedName>
    <definedName function="false" hidden="false" name="IQ_REAL_PRIVATE_INVEST_PRIVATE_INV_NONFARMS" vbProcedure="false">"c21064"</definedName>
    <definedName function="false" hidden="false" name="IQ_REAL_PRIVATE_INVEST_RES" vbProcedure="false">"c21065"</definedName>
    <definedName function="false" hidden="false" name="IQ_REAL_PRIVATE_INVEST_STRUCTURES" vbProcedure="false">"c21066"</definedName>
    <definedName function="false" hidden="false" name="IQ_REAL_PRIVATE_INVEST_TRANSPORTATION_EQUIP" vbProcedure="false">"c21067"</definedName>
    <definedName function="false" hidden="false" name="IQ_REAL_SALES_TO_DOMESTIC_PURCHASES" vbProcedure="false">"c21068"</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CM" vbProcedure="false">"c1106"</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INV_BUILDING_MATERIAL" vbProcedure="false">"c21069"</definedName>
    <definedName function="false" hidden="false" name="IQ_RETAIL_INV_CLOTHING" vbProcedure="false">"c21070"</definedName>
    <definedName function="false" hidden="false" name="IQ_RETAIL_INV_DEPT_STORE" vbProcedure="false">"c21071"</definedName>
    <definedName function="false" hidden="false" name="IQ_RETAIL_INV_FOOD" vbProcedure="false">"c21072"</definedName>
    <definedName function="false" hidden="false" name="IQ_RETAIL_INV_FURNITURE" vbProcedure="false">"c21073"</definedName>
    <definedName function="false" hidden="false" name="IQ_RETAIL_INV_GENERAL" vbProcedure="false">"c21074"</definedName>
    <definedName function="false" hidden="false" name="IQ_RETAIL_INV_MOTOR_VEHICLE" vbProcedure="false">"c21075"</definedName>
    <definedName function="false" hidden="false" name="IQ_RETAIL_INV_SALES_RATIO_BUILDING" vbProcedure="false">"c21076"</definedName>
    <definedName function="false" hidden="false" name="IQ_RETAIL_INV_SALES_RATIO_CLOTHING" vbProcedure="false">"c21077"</definedName>
    <definedName function="false" hidden="false" name="IQ_RETAIL_INV_SALES_RATIO_DEPT_STORE" vbProcedure="false">"c21078"</definedName>
    <definedName function="false" hidden="false" name="IQ_RETAIL_INV_SALES_RATIO_FOOD" vbProcedure="false">"c21079"</definedName>
    <definedName function="false" hidden="false" name="IQ_RETAIL_INV_SALES_RATIO_FURNITURE" vbProcedure="false">"c21080"</definedName>
    <definedName function="false" hidden="false" name="IQ_RETAIL_INV_SALES_RATIO_GENERAL" vbProcedure="false">"c21081"</definedName>
    <definedName function="false" hidden="false" name="IQ_RETAIL_INV_SALES_RATIO_MV" vbProcedure="false">"c21082"</definedName>
    <definedName function="false" hidden="false" name="IQ_RETAIL_INV_SALES_RATIO_TOTAL" vbProcedure="false">"c21083"</definedName>
    <definedName function="false" hidden="false" name="IQ_RETAIL_INV_SALES_RATIO_TOTAL_EX_MV" vbProcedure="false">"c21084"</definedName>
    <definedName function="false" hidden="false" name="IQ_RETAIL_INV_TOTAL" vbProcedure="false">"c21085"</definedName>
    <definedName function="false" hidden="false" name="IQ_RETAIL_INV_TOTAL_EX_MOTOR_VEHICLE" vbProcedure="false">"c21086"</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BUILDING_MATERIAL" vbProcedure="false">"c21087"</definedName>
    <definedName function="false" hidden="false" name="IQ_RETAIL_SALES_CLOTHING" vbProcedure="false">"c21088"</definedName>
    <definedName function="false" hidden="false" name="IQ_RETAIL_SALES_FOODSTUFF" vbProcedure="false">"c21089"</definedName>
    <definedName function="false" hidden="false" name="IQ_RETAIL_SALES_FURNITURE" vbProcedure="false">"c21090"</definedName>
    <definedName function="false" hidden="false" name="IQ_RETAIL_SALES_GAS" vbProcedure="false">"c21091"</definedName>
    <definedName function="false" hidden="false" name="IQ_RETAIL_SALES_GENERAL" vbProcedure="false">"c21092"</definedName>
    <definedName function="false" hidden="false" name="IQ_RETAIL_SALES_HEALTH" vbProcedure="false">"c21093"</definedName>
    <definedName function="false" hidden="false" name="IQ_RETAIL_SALES_MISC" vbProcedure="false">"c21094"</definedName>
    <definedName function="false" hidden="false" name="IQ_RETAIL_SALES_MOTOR_VEHICLE" vbProcedure="false">"c21095"</definedName>
    <definedName function="false" hidden="false" name="IQ_RETAIL_SALES_NONSTORES" vbProcedure="false">"c21096"</definedName>
    <definedName function="false" hidden="false" name="IQ_RETAIL_SALES_SPORTING_GOODS" vbProcedure="false">"c21097"</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ALES_TOTAL" vbProcedure="false">"c21098"</definedName>
    <definedName function="false" hidden="false" name="IQ_RETAIL_SALES_TOTAL_EX_MOTOR_VEHICLE" vbProcedure="false">"c21099"</definedName>
    <definedName function="false" hidden="false" name="IQ_RETAIL_SALES_YOY_PCT" vbProcedure="false">"c21100"</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tru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CM" vbProcedure="false">"c1115"</definedName>
    <definedName function="false" hidden="tru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true" name="IQ_RETURN_ASSETS_HIGH_EST_REUT" vbProcedure="false">"c3992"</definedName>
    <definedName function="false" hidden="true" name="IQ_RETURN_ASSETS_LOW_EST_REUT" vbProcedure="false">"c3993"</definedName>
    <definedName function="false" hidden="true" name="IQ_RETURN_ASSETS_MEDIAN_EST_REUT" vbProcedure="false">"c3991"</definedName>
    <definedName function="false" hidden="true" name="IQ_RETURN_ASSETS_NUM_EST_REUT" vbProcedure="false">"c3994"</definedName>
    <definedName function="false" hidden="tru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tru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CM" vbProcedure="false">"c1120"</definedName>
    <definedName function="false" hidden="tru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true" name="IQ_RETURN_EQUITY_HIGH_EST_REUT" vbProcedure="false">"c3985"</definedName>
    <definedName function="false" hidden="true" name="IQ_RETURN_EQUITY_LOW_EST_REUT" vbProcedure="false">"c3986"</definedName>
    <definedName function="false" hidden="true" name="IQ_RETURN_EQUITY_MEDIAN_EST_REUT" vbProcedure="false">"c3984"</definedName>
    <definedName function="false" hidden="true" name="IQ_RETURN_EQUITY_NUM_EST_REUT" vbProcedure="false">"c3987"</definedName>
    <definedName function="false" hidden="tru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true" name="IQ_REVENUE_ACT_OR_EST_REUT" vbProcedure="false">"c5461"</definedName>
    <definedName function="false" hidden="false" name="IQ_REVENUE_EST_1" vbProcedure="false">"IQ_REVENUE_EST_1"</definedName>
    <definedName function="false" hidden="true" name="IQ_REVENUE_EST_BOTTOM_UP_REUT" vbProcedure="false">"c5496"</definedName>
    <definedName function="false" hidden="tru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true" name="IQ_REVENUE_HIGH_EST_REUT" vbProcedure="false">"c3636"</definedName>
    <definedName function="false" hidden="true" name="IQ_REVENUE_LOW_EST_REUT" vbProcedure="false">"c3637"</definedName>
    <definedName function="false" hidden="true" name="IQ_REVENUE_MEDIAN_EST_REUT" vbProcedure="false">"c3635"</definedName>
    <definedName function="false" hidden="true" name="IQ_REVENUE_NO_EST" vbProcedure="false">"c263"</definedName>
    <definedName function="false" hidden="true" name="IQ_REVENUE_NUM_EST_REUT" vbProcedure="false">"c3638"</definedName>
    <definedName function="false" hidden="false" name="IQ_REVISION_DATE_" vbProcedure="false">38971.8579513889</definedName>
    <definedName function="false" hidden="true" name="IQ_REVISION_DATE_2" vbProcedure="false">40210.5840740741</definedName>
    <definedName function="false" hidden="true" name="IQ_Revision_Date_guess" vbProcedure="false">38978.3778356481</definedName>
    <definedName function="false" hidden="true" name="IQ_REVISION_DATE__1" vbProcedure="false">39342.6864930556</definedName>
    <definedName function="false" hidden="true" name="IQ_REVOLVING_SECURED_1_4_NON_ACCRUAL_FFIEC" vbProcedure="false">"c13314"</definedName>
    <definedName function="false" hidden="false" name="IQ_REVOLVING_SECURED_1_–4_NON_ACCRUAL_FFIEC" vbProcedure="false">"c15565"</definedName>
    <definedName function="false" hidden="false" name="IQ_REV_BEFORE_LL" vbProcedure="false">"c1123"</definedName>
    <definedName function="false" hidden="true" name="IQ_REV_BEFORE_LOAN_LOSS_FOREIGN_FFIEC" vbProcedure="false">"c15381"</definedName>
    <definedName function="false" hidden="tru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true" name="IQ_RE_LOANS_DOM_QUARTERLY_AVG_FFIEC" vbProcedure="false">"c15476"</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tru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true" name="IQ_SALE_CONVERSION_ACQUISITION_NET_COMMON_FFIEC" vbProcedure="false">"c15351"</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CM"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CM"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CM"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true" name="IQ_SAVINGS_DEPOSITS_NON_TRANS_ACCTS_FFIEC" vbProcedure="false">"c15329"</definedName>
    <definedName function="false" hidden="true" name="IQ_SAVINGS_DEPOSITS_QUARTERLY_AVG_FFIEC" vbProcedure="false">"c15485"</definedName>
    <definedName function="false" hidden="false" name="IQ_SAVING_DEP" vbProcedure="false">"c1150"</definedName>
    <definedName function="false" hidden="false" name="IQ_SECOND_LIEN_BONDS_NOTES" vbProcedure="false">"c17893"</definedName>
    <definedName function="false" hidden="false" name="IQ_SECOND_LIEN_BONDS_NOTES_PCT" vbProcedure="false">"c18007"</definedName>
    <definedName function="false" hidden="false" name="IQ_SECOND_LIEN_DEBT" vbProcedure="false">"c17898"</definedName>
    <definedName function="false" hidden="false" name="IQ_SECOND_LIEN_DEBT_PCT" vbProcedure="false">"c18012"</definedName>
    <definedName function="false" hidden="false" name="IQ_SECOND_LIEN_LOANS" vbProcedure="false">"c17892"</definedName>
    <definedName function="false" hidden="false" name="IQ_SECOND_LIEN_LOANS_PCT" vbProcedure="false">"c18006"</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true" name="IQ_SECURITIES_STATE_POLI_SUBD_QUARTERLY_AVG_FFIEC" vbProcedure="false">"c15470"</definedName>
    <definedName function="false" hidden="false" name="IQ_SECURITIES_UNDERWRITING_FDIC" vbProcedure="false">"c6529"</definedName>
    <definedName function="false" hidden="false" name="IQ_SECURITIZED_DEBT" vbProcedure="false">"c17897"</definedName>
    <definedName function="false" hidden="false" name="IQ_SECURITIZED_DEBT_PCT" vbProcedure="false">"c18011"</definedName>
    <definedName function="false" hidden="true" name="IQ_SECURITY_ACTIVE_STATUS" vbProcedure="false">"c15160"</definedName>
    <definedName function="false" hidden="false" name="IQ_SECURITY_BORROW" vbProcedure="false">"c1152"</definedName>
    <definedName function="false" hidden="false" name="IQ_SECURITY_LEVEL" vbProcedure="false">"c2159"</definedName>
    <definedName function="false" hidden="true" name="IQ_SECURITY_NAME" vbProcedure="false">"c15159"</definedName>
    <definedName function="false" hidden="false" name="IQ_SECURITY_NOTES" vbProcedure="false">"c2202"</definedName>
    <definedName function="false" hidden="false" name="IQ_SECURITY_OWN" vbProcedure="false">"c1153"</definedName>
    <definedName function="false" hidden="false" name="IQ_SECURITY_RESELL" vbProcedure="false">"c1154"</definedName>
    <definedName function="false" hidden="false" name="IQ_SECURITY_TYPE" vbProcedure="false">"c2158"</definedName>
    <definedName function="false" hidden="false" name="IQ_SECUR_RECEIV" vbProcedure="false">"c1151"</definedName>
    <definedName function="false" hidden="true" name="IQ_SEC_OTHER_NONFARM_NONRES_NON_ACCRUAL_FFIEC" vbProcedure="false">"c15462"</definedName>
    <definedName function="false" hidden="true" name="IQ_SEC_OWNER_NONFARM_NONRES_NON_ACCRUAL_FFIEC" vbProcedure="false">"c15461"</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BUSINESS_DESCRIPTION" vbProcedure="false">"c24668"</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true" name="IQ_SHORT_INTEREST_VOLUME" vbProcedure="false">"c228"</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 vbProcedure="false">"c2171"</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CM"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true" name="IQ_SPECIFIC_ALLOWANCE" vbProcedure="false">"c15247"</definedName>
    <definedName function="false" hidden="false" name="IQ_SP_DATE" vbProcedure="false">"c2172"</definedName>
    <definedName function="false" hidden="true" name="IQ_SP_ISSUE_LC_ACTION" vbProcedure="false">"c2644"</definedName>
    <definedName function="false" hidden="true" name="IQ_SP_ISSUE_LC_DATE" vbProcedure="false">"c2643"</definedName>
    <definedName function="false" hidden="true" name="IQ_SP_ISSUE_LC_LT" vbProcedure="false">"c2645"</definedName>
    <definedName function="false" hidden="false" name="IQ_SP_REASON" vbProcedure="false">"c2174"</definedName>
    <definedName function="false" hidden="false" name="IQ_SP_STATUS" vbProcedure="false">"c2173"</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ECURED_BONDS_NOTES" vbProcedure="false">"c17889"</definedName>
    <definedName function="false" hidden="false" name="IQ_SR_SECURED_BONDS_NOTES_PCT" vbProcedure="false">"c18003"</definedName>
    <definedName function="false" hidden="false" name="IQ_SR_SECURED_LOANS" vbProcedure="false">"c17888"</definedName>
    <definedName function="false" hidden="false" name="IQ_SR_SECURED_LOANS_PCT" vbProcedure="false">"c18002"</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R_UNSECURED_BONDS_NOTES" vbProcedure="false">"c17891"</definedName>
    <definedName function="false" hidden="false" name="IQ_SR_UNSECURED_BONDS_NOTES_PCT" vbProcedure="false">"c18005"</definedName>
    <definedName function="false" hidden="true" name="IQ_STANDBY_LOC_FHLB_BANK_BEHALF_OFF_BS_FFIEC" vbProcedure="false">"c15412"</definedName>
    <definedName function="false" hidden="false" name="IQ_STATE" vbProcedure="false">"c1200"</definedName>
    <definedName function="false" hidden="false" name="IQ_STATES_NONTRANSACTION_ACCOUNTS_FDIC" vbProcedure="false">"c6547"</definedName>
    <definedName function="false" hidden="true" name="IQ_STATES_POLI_SUBD_US_NON_TRANS_ACCTS_FFIEC" vbProcedure="false">"c15324"</definedName>
    <definedName function="false" hidden="true" name="IQ_STATES_POLI_SUBD_US_TRANS_ACCTS_FFIEC" vbProcedure="false">"c15316"</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OCK_MARKET_INDEX" vbProcedure="false">"c21101"</definedName>
    <definedName function="false" hidden="false" name="IQ_STRIKE_PRICE_ISSUED" vbProcedure="false">"c1645"</definedName>
    <definedName function="false" hidden="false" name="IQ_STRIKE_PRICE_OS" vbProcedure="false">"c1646"</definedName>
    <definedName function="false" hidden="false" name="IQ_STW" vbProcedure="false">"c2166"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CM"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CM"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CM"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true" name="IQ_SUB_NOTES_DEBENTURES_FAIR_VALUE_TOT_FFIEC" vbProcedure="false">"c15410"</definedName>
    <definedName function="false" hidden="true" name="IQ_SUB_NOTES_DEBENTURES_LEVEL_1_FFIEC" vbProcedure="false">"c15432"</definedName>
    <definedName function="false" hidden="true" name="IQ_SUB_NOTES_DEBENTURES_LEVEL_2_FFIEC" vbProcedure="false">"c15445"</definedName>
    <definedName function="false" hidden="true" name="IQ_SUB_NOTES_DEBENTURES_LEVEL_3_FFIEC" vbProcedure="false">"c15458"</definedName>
    <definedName function="false" hidden="false" name="IQ_SURPLUS_FDIC" vbProcedure="false">"c6351"</definedName>
    <definedName function="false" hidden="false" name="IQ_SVA" vbProcedure="false">"c1214"</definedName>
    <definedName function="false" hidden="true" name="IQ_SYNTHETIC_STRUCTURED_PRODUCTS_AVAIL_SALE_FFIEC" vbProcedure="false">"c15264"</definedName>
    <definedName function="false" hidden="true" name="IQ_SYNTHETIC_STRUCTURED_PRODUCTS_FFIEC" vbProcedure="false">"c15261"</definedName>
    <definedName function="false" hidden="true" name="IQ_TARGET_PRICE_LASTCLOSE" vbProcedure="false">"c1855"</definedName>
    <definedName function="false" hidden="true" name="IQ_TARGET_PRICE_NUM" vbProcedure="false">"c1653"</definedName>
    <definedName function="false" hidden="true" name="IQ_TARGET_PRICE_NUM_REUT" vbProcedure="false">"c5319"</definedName>
    <definedName function="false" hidden="true" name="IQ_TARGET_PRICE_STDDEV" vbProcedure="false">"c1654"</definedName>
    <definedName function="false" hidden="true" name="IQ_TARGET_PRICE_STDDEV_REUT" vbProcedure="false">"c5320"</definedName>
    <definedName function="false" hidden="false" name="IQ_TARP_INIT_INVEST_AMT" vbProcedure="false">"c17863"</definedName>
    <definedName function="false" hidden="false" name="IQ_TARP_INIT_INVEST_DATE_ANN" vbProcedure="false">"c17861"</definedName>
    <definedName function="false" hidden="false" name="IQ_TARP_INIT_INVEST_DATE_CLOSED" vbProcedure="false">"c17862"</definedName>
    <definedName function="false" hidden="false" name="IQ_TARP_INVESTOR_STATUS" vbProcedure="false">"c17865"</definedName>
    <definedName function="false" hidden="false" name="IQ_TARP_REMAINING_AMT" vbProcedure="false">"c17869"</definedName>
    <definedName function="false" hidden="false" name="IQ_TARP_REMAINING_SEC_DES" vbProcedure="false">"c17870"</definedName>
    <definedName function="false" hidden="false" name="IQ_TARP_REPAYMENT_DISP" vbProcedure="false">"c17866"</definedName>
    <definedName function="false" hidden="false" name="IQ_TARP_REPAYMENT_DISP_AMT" vbProcedure="false">"c17868"</definedName>
    <definedName function="false" hidden="false" name="IQ_TARP_REPAYMENT_DISP_DATE" vbProcedure="false">"c17867"</definedName>
    <definedName function="false" hidden="false" name="IQ_TARP_ROUND" vbProcedure="false">"c17859"</definedName>
    <definedName function="false" hidden="false" name="IQ_TARP_STATUS" vbProcedure="false">"c17864"</definedName>
    <definedName function="false" hidden="false" name="IQ_TARP_TRANSACTION_ID" vbProcedure="false">"c17871"</definedName>
    <definedName function="false" hidden="false" name="IQ_TARP_TR_AMT" vbProcedure="false">"c17857"</definedName>
    <definedName function="false" hidden="false" name="IQ_TARP_TR_DATE" vbProcedure="false">"c17856"</definedName>
    <definedName function="false" hidden="false" name="IQ_TARP_TR_TYPE" vbProcedure="false">"c17858"</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true" name="IQ_TEMPLATE_BS" vbProcedure="false">"c1211"</definedName>
    <definedName function="false" hidden="true" name="IQ_TEMPLATE_CF" vbProcedure="false">"c1212"</definedName>
    <definedName function="false" hidden="true" name="IQ_TEMPLATE_IS" vbProcedure="false">"c1213"</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true" name="IQ_TEV_EBITDA_FWD_REUT" vbProcedure="false">"c4050"</definedName>
    <definedName function="false" hidden="false" name="IQ_TEV_EBIT_AVG" vbProcedure="false">"c1221"</definedName>
    <definedName function="false" hidden="tru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tru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true" name="IQ_TIER_TWO_CAPITAL_RATIO" vbProcedure="false">"c15241"</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true" name="IQ_TIME_DEPOSIT_LESS_100000_QUARTERLY_AVG_FFIEC" vbProcedure="false">"c15487"</definedName>
    <definedName function="false" hidden="true" name="IQ_TIME_DEPOSIT_MORE_100000_QUARTERLY_AVG_FFIEC" vbProcedure="false">"c15486"</definedName>
    <definedName function="false" hidden="true" name="IQ_TODAY" vbProcedure="false">0</definedName>
    <definedName function="false" hidden="false" name="IQ_TOTAL_AR_BR" vbProcedure="false">"c1231"</definedName>
    <definedName function="false" hidden="false" name="IQ_TOTAL_AR_CM"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true" name="IQ_TOTAL_ASSETS_FAIR_VALUE_TOT_FFIEC" vbProcedure="false">"c15405"</definedName>
    <definedName function="false" hidden="false" name="IQ_TOTAL_ASSETS_FDIC" vbProcedure="false">"c6339"</definedName>
    <definedName function="false" hidden="true" name="IQ_TOTAL_ASSETS_LEVEL_1_FFIEC" vbProcedure="false">"c15427"</definedName>
    <definedName function="false" hidden="true" name="IQ_TOTAL_ASSETS_LEVEL_2_FFIEC" vbProcedure="false">"c15440"</definedName>
    <definedName function="false" hidden="true" name="IQ_TOTAL_ASSETS_LEVEL_3_FFIEC" vbProcedure="false">"c15453"</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true" name="IQ_TOTAL_BROKERED_DEPOSIT_FFIEC" vbProcedure="false">"c15304"</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true" name="IQ_TOTAL_CASH_DUE_DEPOSITORY_INSTIT_DOM_FFIEC" vbProcedure="false">"c15291"</definedName>
    <definedName function="false" hidden="true" name="IQ_TOTAL_CASH_DUE_DEPOSITORY_INSTIT_FFIEC" vbProcedure="false">"c15285"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tru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CM"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CM"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true" name="IQ_TOTAL_DEPOSITS_DOM_FFIEC" vbProcedure="false">"c15313"</definedName>
    <definedName function="false" hidden="false" name="IQ_TOTAL_DEPOSITS_FDIC" vbProcedure="false">"c6342"</definedName>
    <definedName function="false" hidden="true" name="IQ_TOTAL_DEPOSITS_SUPPLE" vbProcedure="false">"c15253"</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true" name="IQ_TOTAL_EQUITY_INCL_MINORITY_INTEREST_FFIEC" vbProcedure="false">"c15278"</definedName>
    <definedName function="false" hidden="true" name="IQ_TOTAL_FOREIGN_DEPOSITS_FFIEC" vbProcedure="false">"c15348"</definedName>
    <definedName function="false" hidden="true" name="IQ_TOTAL_FOREIGN_LOANS_QUARTERLY_AVG_FFIEC" vbProcedure="false">"c15482"</definedName>
    <definedName function="false" hidden="true" name="IQ_TOTAL_IBF_ASSETS_CONSOL_BANK_FFIEC" vbProcedure="false">"c15299"</definedName>
    <definedName function="false" hidden="true" name="IQ_TOTAL_IBF_LIABILITIES_FFIEC" vbProcedure="false">"c15302"</definedName>
    <definedName function="false" hidden="true" name="IQ_TOTAL_IBF_LL_REC_FFIEC" vbProcedure="false">"c15297"</definedName>
    <definedName function="false" hidden="false" name="IQ_TOTAL_INTEREST_EXP" vbProcedure="false">"c1382"</definedName>
    <definedName function="false" hidden="true" name="IQ_TOTAL_INTEREST_EXP_FOREIGN_FFIEC" vbProcedure="false">"c15374"</definedName>
    <definedName function="false" hidden="true" name="IQ_TOTAL_INTEREST_INC_FOREIGN_FFIEC" vbProcedure="false">"c15373"</definedName>
    <definedName function="false" hidden="false" name="IQ_TOTAL_INVENTORY" vbProcedure="false">"c1385"</definedName>
    <definedName function="false" hidden="false" name="IQ_TOTAL_INVEST" vbProcedure="false">"c1275"</definedName>
    <definedName function="false" hidden="true" name="IQ_TOTAL_IRA_KEOGH_PLAN_ACCOUNTS_FFIEC" vbProcedure="false">"c15303"</definedName>
    <definedName function="false" hidden="false" name="IQ_TOTAL_LIAB" vbProcedure="false">"c1276"</definedName>
    <definedName function="false" hidden="true" name="IQ_TOTAL_LIABILITIES_FAIR_VALUE_TOT_FFIEC" vbProcedure="false">"c15411"</definedName>
    <definedName function="false" hidden="false" name="IQ_TOTAL_LIABILITIES_FDIC" vbProcedure="false">"c6348"</definedName>
    <definedName function="false" hidden="true" name="IQ_TOTAL_LIABILITIES_LEVEL_1_FFIEC" vbProcedure="false">"c15433"</definedName>
    <definedName function="false" hidden="true" name="IQ_TOTAL_LIABILITIES_LEVEL_2_FFIEC" vbProcedure="false">"c15446"</definedName>
    <definedName function="false" hidden="true" name="IQ_TOTAL_LIABILITIES_LEVEL_3_FFIEC" vbProcedure="false">"c15459"</definedName>
    <definedName function="false" hidden="false" name="IQ_TOTAL_LIAB_BNK" vbProcedure="false">"c1277"</definedName>
    <definedName function="false" hidden="false" name="IQ_TOTAL_LIAB_BR" vbProcedure="false">"c1278"</definedName>
    <definedName function="false" hidden="false" name="IQ_TOTAL_LIAB_CM"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true" name="IQ_TOTAL_LOANS_DOM_QUARTERLY_AVG_FFIEC" vbProcedure="false">"c15475"</definedName>
    <definedName function="false" hidden="true" name="IQ_TOTAL_LOANS_LEASES_AND_OTHER_DUE_30_89_FFIEC" vbProcedure="false">"c15416"</definedName>
    <definedName function="false" hidden="true" name="IQ_TOTAL_LOANS_LEASES_AND_OTHER_DUE_90_FFIEC" vbProcedure="false">"c15420"</definedName>
    <definedName function="false" hidden="true" name="IQ_TOTAL_LOANS_LEASES_AND_OTHER_NON_ACCRUAL_FFIEC" vbProcedure="false">"c15466"</definedName>
    <definedName function="false" hidden="true" name="IQ_TOTAL_LOANS_LEASES_NON_ACCRUAL_FFIEC" vbProcedure="false">"c13757"</definedName>
    <definedName function="false" hidden="false" name="IQ_TOTAL_LONG_DEBT" vbProcedure="false">"c1617"</definedName>
    <definedName function="false" hidden="true" name="IQ_TOTAL_NONINTEREST_EXPENSE_FOREIGN_FFIEC" vbProcedure="false">"c15386"</definedName>
    <definedName function="false" hidden="false" name="IQ_TOTAL_NON_REC" vbProcedure="false">"c1444"</definedName>
    <definedName function="false" hidden="true" name="IQ_TOTAL_NON_TRANS_ACCTS_FFIEC" vbProcedure="false">"c15328"</definedName>
    <definedName function="false" hidden="false" name="IQ_TOTAL_OPER_EXPEN" vbProcedure="false">"c1445"</definedName>
    <definedName function="false" hidden="false" name="IQ_TOTAL_OPER_EXP_BR" vbProcedure="false">"c1284"</definedName>
    <definedName function="false" hidden="false" name="IQ_TOTAL_OPER_EXP_CM"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SERVES" vbProcedure="false">"c21102"</definedName>
    <definedName function="false" hidden="false" name="IQ_TOTAL_REV" vbProcedure="false">"c1294"</definedName>
    <definedName function="false" hidden="false" name="IQ_TOTAL_REVENUE" vbProcedure="false">"c1436"</definedName>
    <definedName function="false" hidden="true" name="IQ_TOTAL_REVENUE_FOREIGN_FFIEC" vbProcedure="false">"c15383"</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CM"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R_SECURED" vbProcedure="false">"c17890"</definedName>
    <definedName function="false" hidden="false" name="IQ_TOTAL_SR_SECURED_EBITDA" vbProcedure="false">"c17901"</definedName>
    <definedName function="false" hidden="false" name="IQ_TOTAL_SR_SECURED_EBITDA_CAPEX" vbProcedure="false">"c17902"</definedName>
    <definedName function="false" hidden="false" name="IQ_TOTAL_SR_SECURED_PCT" vbProcedure="false">"c18004"</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true" name="IQ_TOTAL_TIME_LESS_100000_1_TO_3_YEARS_FFIEC" vbProcedure="false">"c15335"</definedName>
    <definedName function="false" hidden="true" name="IQ_TOTAL_TIME_LESS_100000_3_MONTHS_LESS_FFIEC" vbProcedure="false">"c15333"</definedName>
    <definedName function="false" hidden="true" name="IQ_TOTAL_TIME_LESS_100000_3_TO_12_MONTHS_FFIEC" vbProcedure="false">"c15334"</definedName>
    <definedName function="false" hidden="true" name="IQ_TOTAL_TIME_LESS_100000_FFIEC" vbProcedure="false">"c15332"</definedName>
    <definedName function="false" hidden="true" name="IQ_TOTAL_TIME_LESS_100000_OVER_3_YEARS_FFIEC" vbProcedure="false">"c15336"</definedName>
    <definedName function="false" hidden="true" name="IQ_TOTAL_TIME_MORE_100000_1_TO_3_YEARS_FFIEC" vbProcedure="false">"c15340"</definedName>
    <definedName function="false" hidden="true" name="IQ_TOTAL_TIME_MORE_100000_3_MONTHS_LESS_FFIEC" vbProcedure="false">"c15338"</definedName>
    <definedName function="false" hidden="true" name="IQ_TOTAL_TIME_MORE_100000_3_TO_12_MONTHS_FFIEC" vbProcedure="false">"c15339"</definedName>
    <definedName function="false" hidden="true" name="IQ_TOTAL_TIME_MORE_100000_FFIEC" vbProcedure="false">"c15337"</definedName>
    <definedName function="false" hidden="true" name="IQ_TOTAL_TIME_MORE_100000_OVER_3_YEARS_FFIEC" vbProcedure="false">"c15341"</definedName>
    <definedName function="false" hidden="false" name="IQ_TOTAL_TIME_SAVINGS_DEPOSITS_FDIC" vbProcedure="false">"c6498"</definedName>
    <definedName function="false" hidden="true" name="IQ_TOTAL_TRADING_LIAB_FOREIGN_FFIEC" vbProcedure="false">"c15296"</definedName>
    <definedName function="false" hidden="true" name="IQ_TOTAL_TRANS_ACCTS_FFIEC" vbProcedure="false">"c15321"</definedName>
    <definedName function="false" hidden="true" name="IQ_TOTAL_UNUSAL" vbProcedure="false">"c1308"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UNUSUAL_CM"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BALANCE_USD" vbProcedure="false">"c21103"</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true" name="IQ_TRADING_REV_FOREIGN_FFIEC" vbProcedure="false">"c15377"</definedName>
    <definedName function="false" hidden="false" name="IQ_TRANSACTION_ACCOUNTS_FDIC" vbProcedure="false">"c6544"</definedName>
    <definedName function="false" hidden="true" name="IQ_TRANSACTION_LIST" vbProcedure="false">"c15126"</definedName>
    <definedName function="false" hidden="true" name="IQ_TRANSACTION_LIST_BANKRUPTCY" vbProcedure="false">"c15131"</definedName>
    <definedName function="false" hidden="true" name="IQ_TRANSACTION_LIST_BUYBACK" vbProcedure="false">"c15129"</definedName>
    <definedName function="false" hidden="true" name="IQ_TRANSACTION_LIST_INCL_SUBS" vbProcedure="false">"c15132"</definedName>
    <definedName function="false" hidden="true" name="IQ_TRANSACTION_LIST_INCL_SUBS_BANKRUPTCY" vbProcedure="false">"c15137"</definedName>
    <definedName function="false" hidden="true" name="IQ_TRANSACTION_LIST_INCL_SUBS_BUYBACK" vbProcedure="false">"c15135"</definedName>
    <definedName function="false" hidden="true" name="IQ_TRANSACTION_LIST_INCL_SUBS_MA" vbProcedure="false">"c15133"</definedName>
    <definedName function="false" hidden="true" name="IQ_TRANSACTION_LIST_INCL_SUBS_PO" vbProcedure="false">"c15136"</definedName>
    <definedName function="false" hidden="true" name="IQ_TRANSACTION_LIST_INCL_SUBS_PP" vbProcedure="false">"c15134"</definedName>
    <definedName function="false" hidden="true" name="IQ_TRANSACTION_LIST_MA" vbProcedure="false">"c15127"</definedName>
    <definedName function="false" hidden="true" name="IQ_TRANSACTION_LIST_PO" vbProcedure="false">"c15130"</definedName>
    <definedName function="false" hidden="true" name="IQ_TRANSACTION_LIST_PP" vbProcedure="false">"c15128"</definedName>
    <definedName function="false" hidden="true" name="IQ_TREASURER_ID" vbProcedure="false">"c15214"</definedName>
    <definedName function="false" hidden="true" name="IQ_TREASURER_NAME" vbProcedure="false">"c15213"</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CM"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true" name="IQ_TREASURY_STOCK_TRANSACTIONS_FFIEC" vbProcedure="false">"c15352"</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tru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EBITDA_FWD" vbProcedure="false">"c17877"</definedName>
    <definedName function="false" hidden="false" name="IQ_TR_IMPLIED_EV_EBIT_FWD" vbProcedure="false">"c17878"</definedName>
    <definedName function="false" hidden="false" name="IQ_TR_IMPLIED_EV_NI_LTM" vbProcedure="false">"c2307"</definedName>
    <definedName function="false" hidden="false" name="IQ_TR_IMPLIED_EV_REV" vbProcedure="false">"c2304"</definedName>
    <definedName function="false" hidden="false" name="IQ_TR_IMPLIED_EV_REV_FWD" vbProcedure="false">"c17876"</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FFER_PRICE_BV_FWD" vbProcedure="false">"c17880"</definedName>
    <definedName function="false" hidden="false" name="IQ_TR_OFFER_PRICE_EARNINGS_FWD" vbProcedure="false">"c17879"</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DILUT_EPS_EXCL" vbProcedure="false">"c17703"</definedName>
    <definedName function="false" hidden="false" name="IQ_TR_SELLER_EARNING_CO" vbProcedure="false">"c17702"</definedName>
    <definedName function="false" hidden="false" name="IQ_TR_SELLER_EBIT" vbProcedure="false">"c17700"</definedName>
    <definedName function="false" hidden="false" name="IQ_TR_SELLER_EBITDA" vbProcedure="false">"c17699"</definedName>
    <definedName function="false" hidden="false" name="IQ_TR_SELLER_ID" vbProcedure="false">"c2406"</definedName>
    <definedName function="false" hidden="false" name="IQ_TR_SELLER_MIN_INT" vbProcedure="false">"c17707"</definedName>
    <definedName function="false" hidden="false" name="IQ_TR_SELLER_NET_DEBT" vbProcedure="false">"c17709"</definedName>
    <definedName function="false" hidden="false" name="IQ_TR_SELLER_NI" vbProcedure="false">"c17701"</definedName>
    <definedName function="false" hidden="false" name="IQ_TR_SELLER_TOTAL_ASSETS" vbProcedure="false">"c17710"</definedName>
    <definedName function="false" hidden="false" name="IQ_TR_SELLER_TOTAL_CASH_ST_INVEST" vbProcedure="false">"c17708"</definedName>
    <definedName function="false" hidden="false" name="IQ_TR_SELLER_TOTAL_COMMON_EQ" vbProcedure="false">"c17704"</definedName>
    <definedName function="false" hidden="false" name="IQ_TR_SELLER_TOTAL_DEBT" vbProcedure="false">"c17705"</definedName>
    <definedName function="false" hidden="false" name="IQ_TR_SELLER_TOTAL_PREF" vbProcedure="false">"c17706"</definedName>
    <definedName function="false" hidden="false" name="IQ_TR_SELLER_TOTAL_REV" vbProcedure="false">"c17698"</definedName>
    <definedName function="false" hidden="false" name="IQ_TR_SELL_ACC_ADVISORS" vbProcedure="false">"c3049"</definedName>
    <definedName function="false" hidden="tru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PIN_DEF_AGRMT_DATE" vbProcedure="false">"c17696"</definedName>
    <definedName function="false" hidden="false" name="IQ_TR_SPIN_DIST_RATIO_FINAL" vbProcedure="false">"c17734"</definedName>
    <definedName function="false" hidden="false" name="IQ_TR_SPIN_DIST_RATIO_OFFER" vbProcedure="false">"c17728"</definedName>
    <definedName function="false" hidden="false" name="IQ_TR_SPIN_DIST_SHARES_FINAL" vbProcedure="false">"c17852"</definedName>
    <definedName function="false" hidden="false" name="IQ_TR_SPIN_DIST_SHARES_OFFER" vbProcedure="false">"c17729"</definedName>
    <definedName function="false" hidden="false" name="IQ_TR_SPIN_DIST_VALUE" vbProcedure="false">"c17711"</definedName>
    <definedName function="false" hidden="false" name="IQ_TR_SPIN_DIST_VALUE_FINAL" vbProcedure="false">"c17722"</definedName>
    <definedName function="false" hidden="false" name="IQ_TR_SPIN_DIST_VALUE_OFFER" vbProcedure="false">"c17712"</definedName>
    <definedName function="false" hidden="false" name="IQ_TR_SPIN_IMPLIED_EQ_BV_OFFER" vbProcedure="false">"c17721"</definedName>
    <definedName function="false" hidden="false" name="IQ_TR_SPIN_IMPLIED_EQ_NI_LTM_OFFER" vbProcedure="false">"c17720"</definedName>
    <definedName function="false" hidden="false" name="IQ_TR_SPIN_IMPLIED_EQ_OFFER" vbProcedure="false">"c17714"</definedName>
    <definedName function="false" hidden="false" name="IQ_TR_SPIN_IMPLIED_EV_EBITDA_OFFER" vbProcedure="false">"c17718"</definedName>
    <definedName function="false" hidden="false" name="IQ_TR_SPIN_IMPLIED_EV_EBIT_OFFER" vbProcedure="false">"c17719"</definedName>
    <definedName function="false" hidden="false" name="IQ_TR_SPIN_IMPLIED_EV_OFFER" vbProcedure="false">"c17716"</definedName>
    <definedName function="false" hidden="false" name="IQ_TR_SPIN_IMPLIED_EV_REV_OFFER" vbProcedure="false">"c17717"</definedName>
    <definedName function="false" hidden="false" name="IQ_TR_SPIN_NET_ASSUM_LIAB_OFFER" vbProcedure="false">"c17715"</definedName>
    <definedName function="false" hidden="false" name="IQ_TR_SPIN_PARENT_SHARES_OUT_FINAL" vbProcedure="false">"c17733"</definedName>
    <definedName function="false" hidden="false" name="IQ_TR_SPIN_PARENT_SHARES_OUT_OFFER" vbProcedure="false">"c17727"</definedName>
    <definedName function="false" hidden="false" name="IQ_TR_SPIN_PCT_DIST_FINAL" vbProcedure="false">"c17723"</definedName>
    <definedName function="false" hidden="false" name="IQ_TR_SPIN_PCT_DIST_OFFER" vbProcedure="false">"c17713"</definedName>
    <definedName function="false" hidden="false" name="IQ_TR_SPIN_RECORD_DATE" vbProcedure="false">"c17697"</definedName>
    <definedName function="false" hidden="false" name="IQ_TR_SPIN_SECURITY_CIQID" vbProcedure="false">"c17724"</definedName>
    <definedName function="false" hidden="false" name="IQ_TR_SPIN_SECURITY_PCT_DIST_FINAL" vbProcedure="false">"c17732"</definedName>
    <definedName function="false" hidden="false" name="IQ_TR_SPIN_SECURITY_PCT_DIST_OFFER" vbProcedure="false">"c17726"</definedName>
    <definedName function="false" hidden="false" name="IQ_TR_SPIN_SECURITY_PRICE_FINAL" vbProcedure="false">"c17731"</definedName>
    <definedName function="false" hidden="false" name="IQ_TR_SPIN_SECURITY_PRICE_OFFER" vbProcedure="false">"c17725"</definedName>
    <definedName function="false" hidden="false" name="IQ_TR_SPIN_VALUE_CONSID_FINAL" vbProcedure="false">"c17853"</definedName>
    <definedName function="false" hidden="false" name="IQ_TR_SPIN_VALUE_CONSID_OFFER" vbProcedure="false">"c17730"</definedName>
    <definedName function="false" hidden="false" name="IQ_TR_STATUS" vbProcedure="false">"c2399"</definedName>
    <definedName function="false" hidden="false" name="IQ_TR_STOCK_CONSID_PCT" vbProcedure="false">"c2312"</definedName>
    <definedName function="false" hidden="tru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true" name="IQ_TR_TARGET_ADVISORS" vbProcedure="false">"c2386"</definedName>
    <definedName function="false" hidden="false" name="IQ_TR_TARGET_BV_SHARE_EST" vbProcedure="false">"c17885"</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EBITDA_EST" vbProcedure="false">"c17882"</definedName>
    <definedName function="false" hidden="false" name="IQ_TR_TARGET_EBIT_EST" vbProcedure="false">"c17883"</definedName>
    <definedName function="false" hidden="false" name="IQ_TR_TARGET_EPS_EST" vbProcedure="false">"c17884"</definedName>
    <definedName function="false" hidden="false" name="IQ_TR_TARGET_EST_CURRENCY" vbProcedure="false">"c17886"</definedName>
    <definedName function="false" hidden="false" name="IQ_TR_TARGET_EST_DATE" vbProcedure="false">"c17887"</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REVENUE_EST" vbProcedure="false">"c17881"</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true" name="IQ_ULT_PARENT" vbProcedure="false">"c3037"</definedName>
    <definedName function="false" hidden="true" name="IQ_ULT_PARENT_CIQID" vbProcedure="false">"c3039"</definedName>
    <definedName function="false" hidden="true" name="IQ_ULT_PARENT_TICKER" vbProcedure="false">"c3038"</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SECURITIZED" vbProcedure="false">"c17900"</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CM"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EMPLOY_RATE" vbProcedure="false">"c21104"</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true" name="IQ_UST_SECURITIES_GOVT_AGENCY_QUARTERLY_AVG_FFIEC" vbProcedure="false">"c15468"</definedName>
    <definedName function="false" hidden="true" name="IQ_UST_SEC_GOVT_AGENCY_CORP_QUARTERLY_AVG_FFIEC" vbProcedure="false">"c15469"</definedName>
    <definedName function="false" hidden="true" name="IQ_US_BANKS_OTHER_INST_FOREIGN_DEP_FFIEC" vbProcedure="false">"c15343"</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tru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true" name="IQ_US_GAAP_CL" vbProcedure="false">"c2932"</definedName>
    <definedName function="false" hidden="false" name="IQ_US_GAAP_CL_ADJ" vbProcedure="false">"c2927"</definedName>
    <definedName function="false" hidden="tru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true" name="IQ_US_GAAP_DO" vbProcedure="false">"c2973"</definedName>
    <definedName function="false" hidden="false" name="IQ_US_GAAP_DO_ADJ" vbProcedure="false">"c2959"</definedName>
    <definedName function="false" hidden="true" name="IQ_US_GAAP_EXTRA_ACC_ITEMS" vbProcedure="false">"c2972"</definedName>
    <definedName function="false" hidden="false" name="IQ_US_GAAP_EXTRA_ACC_ITEMS_ADJ" vbProcedure="false">"c2958"</definedName>
    <definedName function="false" hidden="true" name="IQ_US_GAAP_INC_TAX" vbProcedure="false">"c2975"</definedName>
    <definedName function="false" hidden="false" name="IQ_US_GAAP_INC_TAX_ADJ" vbProcedure="false">"c2961"</definedName>
    <definedName function="false" hidden="true" name="IQ_US_GAAP_INTEREST_EXP" vbProcedure="false">"c2971"</definedName>
    <definedName function="false" hidden="false" name="IQ_US_GAAP_INTEREST_EXP_ADJ" vbProcedure="false">"c2957"</definedName>
    <definedName function="false" hidden="tru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true" name="IQ_US_GAAP_MINORITY_INTEREST_IS" vbProcedure="false">"c2974"</definedName>
    <definedName function="false" hidden="false" name="IQ_US_GAAP_MINORITY_INTEREST_IS_ADJ" vbProcedure="false">"c2960"</definedName>
    <definedName function="false" hidden="tru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tru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true" name="IQ_US_GAAP_OTHER_NON_OPER" vbProcedure="false">"c2969"</definedName>
    <definedName function="false" hidden="false" name="IQ_US_GAAP_OTHER_NON_OPER_ADJ" vbProcedure="false">"c2955"</definedName>
    <definedName function="false" hidden="true" name="IQ_US_GAAP_OTHER_OPER" vbProcedure="false">"c2968"</definedName>
    <definedName function="false" hidden="false" name="IQ_US_GAAP_OTHER_OPER_ADJ" vbProcedure="false">"c2954"</definedName>
    <definedName function="false" hidden="true" name="IQ_US_GAAP_RD" vbProcedure="false">"c2967"</definedName>
    <definedName function="false" hidden="false" name="IQ_US_GAAP_RD_ADJ" vbProcedure="false">"c2953"</definedName>
    <definedName function="false" hidden="tru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true" name="IQ_US_GAAP_TOTAL_REV" vbProcedure="false">"c2964"</definedName>
    <definedName function="false" hidden="false" name="IQ_US_GAAP_TOTAL_REV_ADJ" vbProcedure="false">"c2950"</definedName>
    <definedName function="false" hidden="true" name="IQ_US_GAAP_TOTAL_UNUSUAL" vbProcedure="false">"c2970"</definedName>
    <definedName function="false" hidden="false" name="IQ_US_GAAP_TOTAL_UNUSUAL_ADJ" vbProcedure="false">"c2956"</definedName>
    <definedName function="false" hidden="true" name="IQ_US_GOVT_NON_TRANS_ACCTS_FFIEC" vbProcedure="false">"c15323"</definedName>
    <definedName function="false" hidden="true" name="IQ_US_GOVT_STATE_POLI_SUBD_IN_US_FOREIGN_DEP_FFIEC" vbProcedure="false">"c15346"</definedName>
    <definedName function="false" hidden="true" name="IQ_US_GOVT_TRANS_ACCTS_FFIEC" vbProcedure="false">"c15315"</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ARIABLE_RATE_DEBT" vbProcedure="false">"c17895"</definedName>
    <definedName function="false" hidden="false" name="IQ_VARIABLE_RATE_DEBT_PCT" vbProcedure="false">"c18009"</definedName>
    <definedName function="false" hidden="false" name="IQ_VC_REVENUE_FDIC" vbProcedure="false">"c6667"</definedName>
    <definedName function="false" hidden="true" name="IQ_VEHICLE_LOANS" vbProcedure="false">"c15249"</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HOLESALE_INV_ALCOHOL" vbProcedure="false">"c21105"</definedName>
    <definedName function="false" hidden="false" name="IQ_WHOLESALE_INV_APPAREL" vbProcedure="false">"c21106"</definedName>
    <definedName function="false" hidden="false" name="IQ_WHOLESALE_INV_CHEMICALS" vbProcedure="false">"c21107"</definedName>
    <definedName function="false" hidden="false" name="IQ_WHOLESALE_INV_COMPUTER" vbProcedure="false">"c21108"</definedName>
    <definedName function="false" hidden="false" name="IQ_WHOLESALE_INV_DRUGS" vbProcedure="false">"c21109"</definedName>
    <definedName function="false" hidden="false" name="IQ_WHOLESALE_INV_DUR" vbProcedure="false">"c21110"</definedName>
    <definedName function="false" hidden="false" name="IQ_WHOLESALE_INV_DUR_MISC" vbProcedure="false">"c21111"</definedName>
    <definedName function="false" hidden="false" name="IQ_WHOLESALE_INV_ELECTRIC" vbProcedure="false">"c21112"</definedName>
    <definedName function="false" hidden="false" name="IQ_WHOLESALE_INV_EQUIP" vbProcedure="false">"c21113"</definedName>
    <definedName function="false" hidden="false" name="IQ_WHOLESALE_INV_FARM_PRODUCT" vbProcedure="false">"c21114"</definedName>
    <definedName function="false" hidden="false" name="IQ_WHOLESALE_INV_FURNITURE" vbProcedure="false">"c21115"</definedName>
    <definedName function="false" hidden="false" name="IQ_WHOLESALE_INV_GROCERIES" vbProcedure="false">"c21116"</definedName>
    <definedName function="false" hidden="false" name="IQ_WHOLESALE_INV_HARDWARE" vbProcedure="false">"c21117"</definedName>
    <definedName function="false" hidden="false" name="IQ_WHOLESALE_INV_LUMBER" vbProcedure="false">"c21118"</definedName>
    <definedName function="false" hidden="false" name="IQ_WHOLESALE_INV_MACHINERY" vbProcedure="false">"c21119"</definedName>
    <definedName function="false" hidden="false" name="IQ_WHOLESALE_INV_METALS_MINERALS" vbProcedure="false">"c21120"</definedName>
    <definedName function="false" hidden="false" name="IQ_WHOLESALE_INV_MOTOR_VEHICLE" vbProcedure="false">"c21121"</definedName>
    <definedName function="false" hidden="false" name="IQ_WHOLESALE_INV_NONDUR" vbProcedure="false">"c21122"</definedName>
    <definedName function="false" hidden="false" name="IQ_WHOLESALE_INV_NONDUR_MISC" vbProcedure="false">"c21123"</definedName>
    <definedName function="false" hidden="false" name="IQ_WHOLESALE_INV_PAPER" vbProcedure="false">"c21124"</definedName>
    <definedName function="false" hidden="false" name="IQ_WHOLESALE_INV_PETROLEUM" vbProcedure="false">"c21125"</definedName>
    <definedName function="false" hidden="false" name="IQ_WHOLESALE_INV_SALES_RATIO_ALCOHOL" vbProcedure="false">"c21126"</definedName>
    <definedName function="false" hidden="false" name="IQ_WHOLESALE_INV_SALES_RATIO_APPAREL" vbProcedure="false">"c21127"</definedName>
    <definedName function="false" hidden="false" name="IQ_WHOLESALE_INV_SALES_RATIO_CHEMICALS" vbProcedure="false">"c21128"</definedName>
    <definedName function="false" hidden="false" name="IQ_WHOLESALE_INV_SALES_RATIO_COMPUTER" vbProcedure="false">"c21129"</definedName>
    <definedName function="false" hidden="false" name="IQ_WHOLESALE_INV_SALES_RATIO_DRUGS" vbProcedure="false">"c21130"</definedName>
    <definedName function="false" hidden="false" name="IQ_WHOLESALE_INV_SALES_RATIO_DUR" vbProcedure="false">"c21131"</definedName>
    <definedName function="false" hidden="false" name="IQ_WHOLESALE_INV_SALES_RATIO_DUR_MISC" vbProcedure="false">"c21132"</definedName>
    <definedName function="false" hidden="false" name="IQ_WHOLESALE_INV_SALES_RATIO_ELECTRIC" vbProcedure="false">"c21133"</definedName>
    <definedName function="false" hidden="false" name="IQ_WHOLESALE_INV_SALES_RATIO_EQUIP" vbProcedure="false">"c21134"</definedName>
    <definedName function="false" hidden="false" name="IQ_WHOLESALE_INV_SALES_RATIO_FARM_PRODUCT" vbProcedure="false">"c21135"</definedName>
    <definedName function="false" hidden="false" name="IQ_WHOLESALE_INV_SALES_RATIO_FURNITURE" vbProcedure="false">"c21136"</definedName>
    <definedName function="false" hidden="false" name="IQ_WHOLESALE_INV_SALES_RATIO_GROCERIES" vbProcedure="false">"c21137"</definedName>
    <definedName function="false" hidden="false" name="IQ_WHOLESALE_INV_SALES_RATIO_HARDWARE" vbProcedure="false">"c21138"</definedName>
    <definedName function="false" hidden="false" name="IQ_WHOLESALE_INV_SALES_RATIO_LUMBER" vbProcedure="false">"c21139"</definedName>
    <definedName function="false" hidden="false" name="IQ_WHOLESALE_INV_SALES_RATIO_MACHINERY" vbProcedure="false">"c21140"</definedName>
    <definedName function="false" hidden="false" name="IQ_WHOLESALE_INV_SALES_RATIO_METALS_MINERALS" vbProcedure="false">"c21141"</definedName>
    <definedName function="false" hidden="false" name="IQ_WHOLESALE_INV_SALES_RATIO_MOTOR_VEHICLE" vbProcedure="false">"c21142"</definedName>
    <definedName function="false" hidden="false" name="IQ_WHOLESALE_INV_SALES_RATIO_NONDUR" vbProcedure="false">"c21143"</definedName>
    <definedName function="false" hidden="false" name="IQ_WHOLESALE_INV_SALES_RATIO_NONDUR_MISC" vbProcedure="false">"c21144"</definedName>
    <definedName function="false" hidden="false" name="IQ_WHOLESALE_INV_SALES_RATIO_PAPER" vbProcedure="false">"c21145"</definedName>
    <definedName function="false" hidden="false" name="IQ_WHOLESALE_INV_SALES_RATIO_PETROLEUM" vbProcedure="false">"c21146"</definedName>
    <definedName function="false" hidden="false" name="IQ_WHOLESALE_INV_SALES_RATIO_TOTAL" vbProcedure="false">"c21147"</definedName>
    <definedName function="false" hidden="false" name="IQ_WHOLESALE_INV_TOTAL" vbProcedure="false">"c21148"</definedName>
    <definedName function="false" hidden="false" name="IQ_WHOLESALE_SALES_ALCOHOL" vbProcedure="false">"c21149"</definedName>
    <definedName function="false" hidden="false" name="IQ_WHOLESALE_SALES_APPAREL" vbProcedure="false">"c21150"</definedName>
    <definedName function="false" hidden="false" name="IQ_WHOLESALE_SALES_CHEMICALS" vbProcedure="false">"c21151"</definedName>
    <definedName function="false" hidden="false" name="IQ_WHOLESALE_SALES_COMPUTER" vbProcedure="false">"c21152"</definedName>
    <definedName function="false" hidden="false" name="IQ_WHOLESALE_SALES_DRUGS" vbProcedure="false">"c21153"</definedName>
    <definedName function="false" hidden="false" name="IQ_WHOLESALE_SALES_DUR" vbProcedure="false">"c21154"</definedName>
    <definedName function="false" hidden="false" name="IQ_WHOLESALE_SALES_DUR_MISC" vbProcedure="false">"c21155"</definedName>
    <definedName function="false" hidden="false" name="IQ_WHOLESALE_SALES_ELECTRIC" vbProcedure="false">"c21156"</definedName>
    <definedName function="false" hidden="false" name="IQ_WHOLESALE_SALES_EQUIP" vbProcedure="false">"c21157"</definedName>
    <definedName function="false" hidden="false" name="IQ_WHOLESALE_SALES_FARM_PRODUCT" vbProcedure="false">"c21158"</definedName>
    <definedName function="false" hidden="false" name="IQ_WHOLESALE_SALES_FURNITURE" vbProcedure="false">"c21159"</definedName>
    <definedName function="false" hidden="false" name="IQ_WHOLESALE_SALES_GROCERIES" vbProcedure="false">"c21160"</definedName>
    <definedName function="false" hidden="false" name="IQ_WHOLESALE_SALES_HARDWARE" vbProcedure="false">"c21161"</definedName>
    <definedName function="false" hidden="false" name="IQ_WHOLESALE_SALES_LUMBER" vbProcedure="false">"c21162"</definedName>
    <definedName function="false" hidden="false" name="IQ_WHOLESALE_SALES_MACHINERY" vbProcedure="false">"c21163"</definedName>
    <definedName function="false" hidden="false" name="IQ_WHOLESALE_SALES_METALS_MINERALS" vbProcedure="false">"c21164"</definedName>
    <definedName function="false" hidden="false" name="IQ_WHOLESALE_SALES_MOTOR_VEHICLE" vbProcedure="false">"c21165"</definedName>
    <definedName function="false" hidden="false" name="IQ_WHOLESALE_SALES_NONDUR" vbProcedure="false">"c21166"</definedName>
    <definedName function="false" hidden="false" name="IQ_WHOLESALE_SALES_NONDUR_MISC" vbProcedure="false">"c21167"</definedName>
    <definedName function="false" hidden="false" name="IQ_WHOLESALE_SALES_PAPER" vbProcedure="false">"c21168"</definedName>
    <definedName function="false" hidden="false" name="IQ_WHOLESALE_SALES_PETROLEUM" vbProcedure="false">"c21169"</definedName>
    <definedName function="false" hidden="false" name="IQ_WHOLESALE_SALES_TOTAL" vbProcedure="false">"c21170"</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"c2203"</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true" name="IQ_YTDMONTH" vbProcedure="false">130000</definedName>
    <definedName function="false" hidden="false" name="IQ_YTW" vbProcedure="false">"c2163"</definedName>
    <definedName function="false" hidden="false" name="IQ_YTW_DATE" vbProcedure="false">"c2164"</definedName>
    <definedName function="false" hidden="false" name="IQ_YTW_DATE_TYPE" vbProcedure="false">"c2165"</definedName>
    <definedName function="false" hidden="false" name="IQ_ZERO_COUPON_DEBT" vbProcedure="false">"c17896"</definedName>
    <definedName function="false" hidden="false" name="IQ_ZERO_COUPON_DEBT_PCT" vbProcedure="false">"c18010"</definedName>
    <definedName function="false" hidden="false" name="IQ_Z_SCORE" vbProcedure="false">"c1339"</definedName>
    <definedName function="false" hidden="true" name="Irbe" vbProcedure="false">{#N/A,#N/A,FALSE,"Pharm";#N/A,#N/A,FALSE,"WWCM"}</definedName>
    <definedName function="false" hidden="false" name="IRR" vbProcedure="false">#REF!</definedName>
    <definedName function="false" hidden="false" name="IRRReturns" vbProcedure="false">#REF!</definedName>
    <definedName function="false" hidden="false" name="IRR_Sum" vbProcedure="false">#REF!</definedName>
    <definedName function="false" hidden="false" name="isbsdata" vbProcedure="false">#REF!</definedName>
    <definedName function="false" hidden="true" name="IsColHidden" vbProcedure="false">FALSE()</definedName>
    <definedName function="false" hidden="false" name="ISDetail" vbProcedure="false">#REF!</definedName>
    <definedName function="false" hidden="false" name="ISDetailBSF" vbProcedure="false">#REF!</definedName>
    <definedName function="false" hidden="false" name="ishideend" vbProcedure="false">#REF!</definedName>
    <definedName function="false" hidden="false" name="ishidestart" vbProcedure="false">#REF!</definedName>
    <definedName function="false" hidden="true" name="IsLTMColHidden" vbProcedure="false">FALSE()</definedName>
    <definedName function="false" hidden="false" name="IS_and_BS" vbProcedure="false">#REF!,#REF!,#REF!</definedName>
    <definedName function="false" hidden="false" name="IS_and_Cashflows" vbProcedure="false">#REF!,#REF!,#REF!</definedName>
    <definedName function="false" hidden="false" name="IS_BS" vbProcedure="false">#REF!,#REF!,#REF!</definedName>
    <definedName function="false" hidden="false" name="IS_Budget_Monthly" vbProcedure="false">#REF!</definedName>
    <definedName function="false" hidden="false" name="IS_CashFlow_Financing" vbProcedure="false">#REF!,#REF!,#REF!</definedName>
    <definedName function="false" hidden="false" name="IS_PY_Actual" vbProcedure="false">#REF!</definedName>
    <definedName function="false" hidden="false" name="iTeam_CPU_License" vbProcedure="false">#REF!</definedName>
    <definedName function="false" hidden="false" name="ItemList" vbProcedure="false">#REF!</definedName>
    <definedName function="false" hidden="false" name="ITW" vbProcedure="false">{"bs",#N/A,FALSE,"SCF"}</definedName>
    <definedName function="false" hidden="tru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true" name="j" vbProcedure="false">{"'Consolidated Inventory'!$A$1:$O$187"}</definedName>
    <definedName function="false" hidden="false" name="JanData" vbProcedure="false">#REF!</definedName>
    <definedName function="false" hidden="true" name="jazz" vbProcedure="false">{#N/A,#N/A,FALSE,"Approval Form"}</definedName>
    <definedName function="false" hidden="tru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true" name="jfjfj" vbProcedure="false">{#N/A,#N/A,FALSE,"AE detail rpt"}</definedName>
    <definedName function="false" hidden="true" name="jfkasdjfkas" vbProcedure="false">{#N/A,#N/A,TRUE,"Index";#N/A,#N/A,TRUE,"Income Statement vs Original Pl";#N/A,#N/A,TRUE,"Income Statement vs Reproj";#N/A,#N/A,TRUE,"Dental Care DHMO Original Plan";#N/A,#N/A,TRUE,"Dental Care DHMO Revised";#N/A,#N/A,TRUE,"Premium Analysis vs Prior Month";#N/A,#N/A,TRUE,"CURRENT AR";#N/A,#N/A,TRUE,"MO TO MO UNEARNED PREM";#N/A,#N/A,TRUE,"MO TO MO AR ANALYSIS";#N/A,#N/A,TRUE,"MO BY MO SG&amp;A FULL YR";#N/A,#N/A,TRUE,"Book of Business"}</definedName>
    <definedName function="false" hidden="true" name="jh" vbProcedure="false">{#N/A,#N/A,FALSE,"AE detail rpt"}</definedName>
    <definedName function="false" hidden="true" name="jhh" vbProcedure="false">{#N/A,#N/A,FALSE,"Table of Contents";#N/A,#N/A,FALSE,"Cover Page";#N/A,#N/A,FALSE,"Paid Claim Experience";#N/A,#N/A,FALSE,"1998 Renewal Normalized";#N/A,#N/A,FALSE,"1998 Actual Annualized";#N/A,#N/A,FALSE,"1999 Renewal";#N/A,#N/A,FALSE,"1999 Dental";#N/A,#N/A,FALSE,"Stop Loss Exhibit";#N/A,#N/A,FALSE,"Claim Projection Comparisons";#N/A,#N/A,FALSE,"Fee Comparisons"}</definedName>
    <definedName function="false" hidden="true" name="jhjlk" vbProcedure="false">{#N/A,#N/A,FALSE,"Admin - PS 98";#N/A,#N/A,FALSE,"Dep Ratio Adj"}</definedName>
    <definedName function="false" hidden="true" name="jhkjhlkl" vbProcedure="false">{#N/A,#N/A,FALSE,"AE detail rpt"}</definedName>
    <definedName function="false" hidden="true" name="jjj" vbProcedure="false">{#N/A,#N/A,FALSE,"Medical Ratio"}</definedName>
    <definedName function="false" hidden="true" name="jjjj" vbProcedure="false">{#N/A,#N/A,FALSE,"Approval Form";#N/A,#N/A,FALSE,"Renewal";#N/A,#N/A,FALSE,"Cosmos Report"}</definedName>
    <definedName function="false" hidden="false" name="jk" vbProcedure="false">{#N/A,#N/A,FALSE,"FY97";#N/A,#N/A,FALSE,"FY98";#N/A,#N/A,FALSE,"FY99";#N/A,#N/A,FALSE,"FY00";#N/A,#N/A,FALSE,"FY01"}</definedName>
    <definedName function="false" hidden="true" name="jkh" vbProcedure="false">{#N/A,#N/A,TRUE,"Table of Contents";#N/A,#N/A,TRUE,"Cover Page";#N/A,#N/A,TRUE,"Paid Claim Experience";#N/A,#N/A,TRUE,"1998 Renewal Normalized";#N/A,#N/A,TRUE,"1998 Actual Annualized";#N/A,#N/A,TRUE,"1999 Renewal";#N/A,#N/A,TRUE,"Stop Loss Exhibit";#N/A,#N/A,TRUE,"Claim Projection Comparisons";#N/A,#N/A,TRUE,"Fee Comparisons";#N/A,#N/A,TRUE,"Admin - PS 98";#N/A,#N/A,TRUE,"Dep Ratio Adj"}</definedName>
    <definedName function="false" hidden="true" name="jkl" vbProcedure="false">{#N/A,#N/A,FALSE,"REPORT"}</definedName>
    <definedName function="false" hidden="true" name="jns" vbProcedure="false">{#N/A,#N/A,FALSE,"Medical Ratio"}</definedName>
    <definedName function="false" hidden="true" name="job_id" vbProcedure="false">#REF!</definedName>
    <definedName function="false" hidden="true" name="joe" vbProcedure="false">{#N/A,#N/A,FALSE,"Cosmos Report"}</definedName>
    <definedName function="false" hidden="true" name="jou" vbProcedure="false">{#N/A,#N/A,FALSE,"Renewal"}</definedName>
    <definedName function="false" hidden="true" name="jr" vbProcedure="false">{#N/A,#N/A,FALSE,"TFX Med. Europe Full Year in $"}</definedName>
    <definedName function="false" hidden="true" name="js" vbProcedure="false">{"'Consolidated Inventory'!$A$1:$O$187"}</definedName>
    <definedName function="false" hidden="true" name="JT" vbProcedure="false">#REF!</definedName>
    <definedName function="false" hidden="tru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true" name="judy" vbProcedure="false">{#N/A,#N/A,FALSE,"Pharm";#N/A,#N/A,FALSE,"WWCM"}</definedName>
    <definedName function="false" hidden="true" name="judy1" vbProcedure="false">{#N/A,#N/A,FALSE,"Pharm";#N/A,#N/A,FALSE,"WWCM"}</definedName>
    <definedName function="false" hidden="false" name="JulData" vbProcedure="false">#REF!</definedName>
    <definedName function="false" hidden="false" name="JunData" vbProcedure="false">#REF!</definedName>
    <definedName function="false" hidden="false" name="June_1998" vbProcedure="false">"mon"</definedName>
    <definedName function="false" hidden="true" name="K2_WBEVMODE" vbProcedure="false">0</definedName>
    <definedName function="false" hidden="true" name="keya" vbProcedure="false">#REF!</definedName>
    <definedName function="false" hidden="true" name="KeyAnaly_Header" vbProcedure="false">#REF!</definedName>
    <definedName function="false" hidden="true" name="keybookltm" vbProcedure="false">#REF!</definedName>
    <definedName function="false" hidden="true" name="keybookty" vbProcedure="false">#REF!</definedName>
    <definedName function="false" hidden="true" name="keyearnltm" vbProcedure="false">#REF!</definedName>
    <definedName function="false" hidden="true" name="keyearnty" vbProcedure="false">#REF!</definedName>
    <definedName function="false" hidden="true" name="keyebitdaty" vbProcedure="false">#REF!</definedName>
    <definedName function="false" hidden="true" name="keyebitltm" vbProcedure="false">#REF!</definedName>
    <definedName function="false" hidden="true" name="keyebitty" vbProcedure="false">#REF!</definedName>
    <definedName function="false" hidden="true" name="keyformrow" vbProcedure="false">#REF!</definedName>
    <definedName function="false" hidden="true" name="keyformrow2" vbProcedure="false">#REF!</definedName>
    <definedName function="false" hidden="true" name="keypebitdaltm" vbProcedure="false">#REF!</definedName>
    <definedName function="false" hidden="true" name="keypebitdaty" vbProcedure="false">#REF!</definedName>
    <definedName function="false" hidden="true" name="keyprefeqtyty" vbProcedure="false">#REF!</definedName>
    <definedName function="false" hidden="true" name="keyrevty" vbProcedure="false">#REF!</definedName>
    <definedName function="false" hidden="true" name="keyshareoutty" vbProcedure="false">#REF!</definedName>
    <definedName function="false" hidden="true" name="keysharepricety" vbProcedure="false">#REF!</definedName>
    <definedName function="false" hidden="true" name="keytotdebtty" vbProcedure="false">#REF!</definedName>
    <definedName function="false" hidden="true" name="keytyrange" vbProcedure="false">#REF!</definedName>
    <definedName function="false" hidden="true" name="keytyrangeone" vbProcedure="false">#REF!</definedName>
    <definedName function="false" hidden="true" name="Key_Statistics_Dental_Range" vbProcedure="false">#REF!</definedName>
    <definedName function="false" hidden="true" name="Key_Statistics_Medical_Range" vbProcedure="false">#REF!</definedName>
    <definedName function="false" hidden="true" name="kghkgh" vbProcedure="false">{#N/A,#N/A,FALSE,"AE summary rpt";#N/A,#N/A,FALSE,"CopySummary";#N/A,#N/A,FALSE,"CopySummary"}</definedName>
    <definedName function="false" hidden="true" name="kj" vbProcedure="false">{#N/A,#N/A,FALSE,"Cosmos Report"}</definedName>
    <definedName function="false" hidden="true" name="kjh" vbProcedure="false">{#N/A,#N/A,FALSE,"Medical Ratio"}</definedName>
    <definedName function="false" hidden="true" name="kkk" vbProcedure="false">{#N/A,#N/A,FALSE,"Renewal"}</definedName>
    <definedName function="false" hidden="false" name="kl" vbProcedure="false">{#N/A,#N/A,FALSE,"FY97";#N/A,#N/A,FALSE,"FY98";#N/A,#N/A,FALSE,"FY99";#N/A,#N/A,FALSE,"FY00";#N/A,#N/A,FALSE,"FY01"}</definedName>
    <definedName function="false" hidden="false" name="klk"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true" name="km" vbProcedure="false">{#N/A,#N/A,FALSE,"AE detail rpt"}</definedName>
    <definedName function="false" hidden="true" name="kmmmmm" vbProcedure="false">{#N/A,#N/A,FALSE,"AE detail rpt"}</definedName>
    <definedName function="false" hidden="true" name="kslkjkjlkjd" vbProcedure="false">{#N/A,#N/A,FALSE,"REPORT"}</definedName>
    <definedName function="false" hidden="true" name="kyd.ChngCell.01." vbProcedure="false">#REF!</definedName>
    <definedName function="false" hidden="true" name="kyd.Dim.02." vbProcedure="false">"currency"</definedName>
    <definedName function="false" hidden="true" name="kyd.ElementType.01." vbProcedure="false">3</definedName>
    <definedName function="false" hidden="true" name="kyd.ElementType.02." vbProcedure="false">3</definedName>
    <definedName function="false" hidden="true" name="kyd.FileSaveDir." vbProcedure="false">"C:\My Documents\2003 Q2\A06-MD&amp;A\"</definedName>
    <definedName function="false" hidden="true" name="kyd.MemoSortHide." vbProcedure="false">FALSE()</definedName>
    <definedName function="false" hidden="true" name="kyd.NumLevels.02." vbProcedure="false">999</definedName>
    <definedName function="false" hidden="true" name="kyd.ParentName.02." vbProcedure="false">"AUD"</definedName>
    <definedName function="false" hidden="true" name="kyd.PreScreenData." vbProcedure="false">FALSE()</definedName>
    <definedName function="false" hidden="true" name="kyd.PrintMemo." vbProcedure="false">FALSE()</definedName>
    <definedName function="false" hidden="true" name="kyd.PrintParent.02." vbProcedure="false">TRUE()</definedName>
    <definedName function="false" hidden="true" name="kyd.PrintStdWhen." vbProcedure="false">3</definedName>
    <definedName function="false" hidden="true" name="kyd.SaveAsFile." vbProcedure="false">FALSE()</definedName>
    <definedName function="false" hidden="true" name="kyd.SaveMemo." vbProcedure="false">FALSE()</definedName>
    <definedName function="false" hidden="true" name="kyd.SelectString.01." vbProcedure="false">"*"</definedName>
    <definedName function="false" hidden="true" name="kyd.SelectString.02." vbProcedure="false">"*"</definedName>
    <definedName function="false" hidden="true" name="kyd.StdSortHide." vbProcedure="false">FALSE()</definedName>
    <definedName function="false" hidden="true" name="kyd.StopRow." vbProcedure="false">16384</definedName>
    <definedName function="false" hidden="true" name="kyd.WriteMemWhenOptn." vbProcedure="false">3</definedName>
    <definedName function="false" hidden="true" name="l" vbProcedure="false">#REF!</definedName>
    <definedName function="false" hidden="true" name="ladro" vbProcedure="false">{"FY97Q1",#N/A,FALSE,"FY97 - Q1";"FY97Q2",#N/A,FALSE,"FY97 - Q2";"FY97Q3",#N/A,FALSE,"FY97 - Q3";"FY97Q4",#N/A,FALSE,"FY97 - Q4"}</definedName>
    <definedName function="false" hidden="true" name="last" vbProcedure="false">#REF!</definedName>
    <definedName function="false" hidden="false" name="LastListUpdate" vbProcedure="false">0</definedName>
    <definedName function="false" hidden="false" name="Last_Row" vbProcedure="false">#N/A</definedName>
    <definedName function="false" hidden="true" name="laura1" vbProcedure="false">{"Statements",#N/A,TRUE,"Income Statement";"Statements",#N/A,TRUE,"Cash Flow Statement";"Statements",#N/A,TRUE,"Balance Sheet ";#N/A,#N/A,TRUE,"Revenue Data Table";#N/A,#N/A,TRUE,"Costs &amp; Expenses Data Table";#N/A,#N/A,TRUE,"Cash Flow Data Table ";#N/A,#N/A,TRUE,"Shor-term Interest Expense"}</definedName>
    <definedName function="false" hidden="true" name="laura11" vbProcedure="false">{"F8P2",#N/A,TRUE,"F8";"F8P1",#N/A,TRUE,"F8";"F8P3",#N/A,TRUE,"F8"}</definedName>
    <definedName function="false" hidden="true" name="laura12" vbProcedure="false">{#N/A,#N/A,TRUE,"Cover";#N/A,#N/A,TRUE,"Contents";"Statements",#N/A,TRUE,"Income Statement";"Statements",#N/A,TRUE,"Cash Flow Statement";"Statements",#N/A,TRUE,"Balance Sheet ";#N/A,#N/A,TRUE,"Revenue Data Table";#N/A,#N/A,TRUE,"Costs &amp; Expenses Data Table";#N/A,#N/A,TRUE,"Cash Flow Data Table ";#N/A,#N/A,TRUE,"Shor-term Interest Expense";#N/A,#N/A,TRUE,"Income Taxes";#N/A,#N/A,TRUE,"New Issue Test";#N/A,#N/A,TRUE,"Ratios"}</definedName>
    <definedName function="false" hidden="true" name="laura13" vbProcedure="false">{#N/A,#N/A,TRUE,"Shor-term Interest Expense"}</definedName>
    <definedName function="false" hidden="true" name="laura14" vbProcedure="false">{"Statements",#N/A,TRUE,"Income Statement";"Statements",#N/A,TRUE,"Cash Flow Statement";"Statements",#N/A,TRUE,"Balance Sheet ";#N/A,#N/A,TRUE,"Revenue Data Table";#N/A,#N/A,TRUE,"Costs &amp; Expenses Data Table";#N/A,#N/A,TRUE,"Cash Flow Data Table ";#N/A,#N/A,TRUE,"Shor-term Interest Expense"}</definedName>
    <definedName function="false" hidden="true" name="laura2" vbProcedure="false">{"Statements",#N/A,TRUE,"Income Statement";"Statements",#N/A,TRUE,"Cash Flow Statement";"Statements",#N/A,TRUE,"Balance Sheet ";#N/A,#N/A,TRUE,"Revenue Data Table";#N/A,#N/A,TRUE,"Costs &amp; Expenses Data Table";#N/A,#N/A,TRUE,"Cash Flow Data Table ";#N/A,#N/A,TRUE,"Shor-term Interest Expense"}</definedName>
    <definedName function="false" hidden="true" name="laura4" vbProcedure="false">{"Statements",#N/A,TRUE,"Income Statement";"Statements",#N/A,TRUE,"Cash Flow Statement";"Statements",#N/A,TRUE,"Balance Sheet ";#N/A,#N/A,TRUE,"Revenue Data Table";#N/A,#N/A,TRUE,"Costs &amp; Expenses Data Table";#N/A,#N/A,TRUE,"Cash Flow Data Table ";#N/A,#N/A,TRUE,"Shor-term Interest Expense"}</definedName>
    <definedName function="false" hidden="true" name="laura5" vbProcedure="false">{#N/A,#N/A,FALSE,"5900 WIP"}</definedName>
    <definedName function="false" hidden="true" name="laura6" vbProcedure="false">{#N/A,#N/A,TRUE,"Balance Sheet "}</definedName>
    <definedName function="false" hidden="true" name="laura7" vbProcedure="false">{"CHART2",#N/A,FALSE,"D2"}</definedName>
    <definedName function="false" hidden="true" name="laura8" vbProcedure="false">{"CHART1",#N/A,FALSE,"D2"}</definedName>
    <definedName function="false" hidden="true" name="laura9" vbProcedure="false">{#N/A,#N/A,TRUE,"Cash Flow Statement"}</definedName>
    <definedName function="false" hidden="true" name="lee" vbProcedure="false">{#N/A,#N/A,FALSE,"Pharm";#N/A,#N/A,FALSE,"WWCM"}</definedName>
    <definedName function="false" hidden="false" name="Legend" vbProcedure="false">#REF!</definedName>
    <definedName function="false" hidden="true" name="level_c_d_user_ind" vbProcedure="false">#REF!</definedName>
    <definedName function="false" hidden="false" name="LH_BegDealYear" vbProcedure="false">#REF!</definedName>
    <definedName function="false" hidden="false" name="LH_CapStructure" vbProcedure="false">#REF!</definedName>
    <definedName function="false" hidden="false" name="LH_CIRC" vbProcedure="false">#REF!</definedName>
    <definedName function="false" hidden="false" name="LH_CloseDate" vbProcedure="false">#REF!</definedName>
    <definedName function="false" hidden="false" name="LH_EndDealYear" vbProcedure="false">#REF!</definedName>
    <definedName function="false" hidden="false" name="LH_ExitDate" vbProcedure="false">#REF!</definedName>
    <definedName function="false" hidden="false" name="LH_ExitMultiple" vbProcedure="false">#REF!</definedName>
    <definedName function="false" hidden="false" name="LH_ExitYear" vbProcedure="false">#REF!</definedName>
    <definedName function="false" hidden="false" name="LH_FundCarryRate" vbProcedure="false">#REF!</definedName>
    <definedName function="false" hidden="false" name="LH_FundName" vbProcedure="false">#REF!</definedName>
    <definedName function="false" hidden="false" name="LH_FYE" vbProcedure="false">#REF!</definedName>
    <definedName function="false" hidden="true" name="LH_IQ_NAMES_REVISION_DATE_" vbProcedure="false">41569.7897222222</definedName>
    <definedName function="false" hidden="false" name="LH_PreCloseMonths" vbProcedure="false">#REF!</definedName>
    <definedName function="false" hidden="false" name="LH_QuarterClose" vbProcedure="false">#REF!</definedName>
    <definedName function="false" hidden="false" name="LH_TaxRate" vbProcedure="false">#REF!</definedName>
    <definedName function="false" hidden="false" name="LH_YearFraction" vbProcedure="false">#REF!</definedName>
    <definedName function="false" hidden="true" name="Library" vbProcedure="false">"a1"</definedName>
    <definedName function="false" hidden="false" name="Lifecycle_Management_License" vbProcedure="false">#REF!</definedName>
    <definedName function="false" hidden="true" name="limcount" vbProcedure="false">2</definedName>
    <definedName function="false" hidden="true" name="limone" vbProcedure="false">{"FY97Q1 var",#N/A,FALSE,"FY97 - Q1";"FY97Q2 var",#N/A,FALSE,"FY97 - Q2";"FY97Q3 var",#N/A,FALSE,"FY97 - Q3";"FY97Q4 var",#N/A,FALSE,"FY97 - Q4"}</definedName>
    <definedName function="false" hidden="false" name="line_chart" vbProcedure="false">#REF!</definedName>
    <definedName function="false" hidden="false" name="line_chart3d" vbProcedure="false">#REF!</definedName>
    <definedName function="false" hidden="false" name="ListOffset" vbProcedure="false">1</definedName>
    <definedName function="false" hidden="false" name="List_Day" vbProcedure="false">#REF!</definedName>
    <definedName function="false" hidden="false" name="List_Month" vbProcedure="false">#REF!</definedName>
    <definedName function="false" hidden="false" name="List_Period" vbProcedure="false">#REF!</definedName>
    <definedName function="false" hidden="false" name="list_rxben" vbProcedure="false">#REF!</definedName>
    <definedName function="false" hidden="false" name="List_Year" vbProcedure="false">#REF!</definedName>
    <definedName function="false" hidden="false" name="lkjlkj" vbProcedure="false">{"Final",#N/A,FALSE,"Feb-96"}</definedName>
    <definedName function="false" hidden="false" name="lklkl" vbProcedure="false">{"consolidated",#N/A,FALSE,"Sheet1";"cms",#N/A,FALSE,"Sheet1";"fse",#N/A,FALSE,"Sheet1"}</definedName>
    <definedName function="false" hidden="true" name="lll" vbProcedure="false">{#N/A,#N/A,FALSE,"Summary";#N/A,#N/A,FALSE,"proj1";#N/A,#N/A,FALSE,"proj2"}</definedName>
    <definedName function="false" hidden="true" name="lnk_rData_Start_Driver" vbProcedure="false">#REF!</definedName>
    <definedName function="false" hidden="true" name="lnk_rYearRow_Driver" vbProcedure="false">#REF!</definedName>
    <definedName function="false" hidden="true" name="LOCAL_MYSQL_DATE_FORMAT" vbProcedure="false">#N/A</definedName>
    <definedName function="false" hidden="true" name="lookup_report_name" vbProcedure="false">#REF!</definedName>
    <definedName function="false" hidden="false" name="lorenz" vbProcedure="false">{"'Cover'!$B$11"}</definedName>
    <definedName function="false" hidden="true" name="Low_Threshold" vbProcedure="false">#REF!</definedName>
    <definedName function="false" hidden="false" name="LR" vbProcedure="false">#REF!</definedName>
    <definedName function="false" hidden="false" name="LTM" vbProcedure="false">#REF!</definedName>
    <definedName function="false" hidden="false" name="ltmnonasset1" vbProcedure="false">#REF!</definedName>
    <definedName function="false" hidden="true" name="ltmnonasset2" vbProcedure="false">#REF!</definedName>
    <definedName function="false" hidden="false" name="ltmnonliab1" vbProcedure="false">#REF!</definedName>
    <definedName function="false" hidden="true" name="ltmnonliab2" vbProcedure="false">#REF!</definedName>
    <definedName function="false" hidden="false" name="LY" vbProcedure="false">#REF!</definedName>
    <definedName function="false" hidden="true" name="m" vbProcedure="false">{#N/A,#N/A,FALSE,"Aging Summary";#N/A,#N/A,FALSE,"Ratio Analysis";#N/A,#N/A,FALSE,"Test 120 Day Accts";#N/A,#N/A,FALSE,"Tickmarks"}</definedName>
    <definedName function="false" hidden="true" name="MANHRS" vbProcedure="false">{"LCCOST",#N/A,FALSE,"FC-3 "}</definedName>
    <definedName function="false" hidden="false" name="MansellBegDealYear" vbProcedure="false">#REF!</definedName>
    <definedName function="false" hidden="false" name="MansellCloseDate" vbProcedure="false">#REF!</definedName>
    <definedName function="false" hidden="false" name="MansellDealYear" vbProcedure="false">#REF!</definedName>
    <definedName function="false" hidden="false" name="MansellEndDealYear" vbProcedure="false">#REF!</definedName>
    <definedName function="false" hidden="false" name="MansellExitDate" vbProcedure="false">#REF!</definedName>
    <definedName function="false" hidden="false" name="MansellExitMultiple" vbProcedure="false">#REF!</definedName>
    <definedName function="false" hidden="false" name="MansellExitYear" vbProcedure="false">#REF!</definedName>
    <definedName function="false" hidden="false" name="MansellFYE" vbProcedure="false">#REF!</definedName>
    <definedName function="false" hidden="false" name="MansellISDetail" vbProcedure="false">#REF!</definedName>
    <definedName function="false" hidden="false" name="MansellPreCloseMonths" vbProcedure="false">#REF!</definedName>
    <definedName function="false" hidden="false" name="MansellPrintVersion" vbProcedure="false">#REF!</definedName>
    <definedName function="false" hidden="false" name="MansellQuarterExit" vbProcedure="false">#REF!</definedName>
    <definedName function="false" hidden="false" name="MansellScenario" vbProcedure="false">#REF!</definedName>
    <definedName function="false" hidden="false" name="MansellTaxRate" vbProcedure="false">#REF!</definedName>
    <definedName function="false" hidden="false" name="MansellYearFraction" vbProcedure="false">#REF!</definedName>
    <definedName function="false" hidden="false" name="Mapping" vbProcedure="false">#REF!</definedName>
    <definedName function="false" hidden="false" name="Mapping_BS" vbProcedure="false">#REF!</definedName>
    <definedName function="false" hidden="false" name="Mapping_PL" vbProcedure="false">#REF!</definedName>
    <definedName function="false" hidden="true" name="marcapty" vbProcedure="false">#REF!</definedName>
    <definedName function="false" hidden="false" name="MarData" vbProcedure="false">#REF!</definedName>
    <definedName function="false" hidden="true" name="marearntwo" vbProcedure="false">#REF!</definedName>
    <definedName function="false" hidden="true" name="marebitdaty" vbProcedure="false">#REF!</definedName>
    <definedName function="false" hidden="true" name="marebitty" vbProcedure="false">#REF!</definedName>
    <definedName function="false" hidden="true" name="marformrow2" vbProcedure="false">#REF!</definedName>
    <definedName function="false" hidden="true" name="margrossty" vbProcedure="false">#REF!</definedName>
    <definedName function="false" hidden="true" name="marnwcty" vbProcedure="false">#REF!</definedName>
    <definedName function="false" hidden="true" name="marrevtwo" vbProcedure="false">#REF!</definedName>
    <definedName function="false" hidden="true" name="martyrange" vbProcedure="false">#REF!</definedName>
    <definedName function="false" hidden="true" name="martyrangeone" vbProcedure="false">#REF!</definedName>
    <definedName function="false" hidden="false" name="Mary_Sample" vbProcedure="false">#REF!</definedName>
    <definedName function="false" hidden="false" name="MasterMonth" vbProcedure="false">#REF!</definedName>
    <definedName function="false" hidden="false" name="MasterQuarter" vbProcedure="false">#REF!</definedName>
    <definedName function="false" hidden="true" name="matrix" vbProcedure="false">{#N/A,#N/A,FALSE,"COVER";#N/A,#N/A,FALSE,"SUMMARY";#N/A,#N/A,FALSE,"INCOME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function="false" hidden="false" name="maxmntl" vbProcedure="false">#REF!</definedName>
    <definedName function="false" hidden="false" name="MayData" vbProcedure="false">#REF!</definedName>
    <definedName function="false" hidden="true" name="MDC_Analysis_Medical_Range" vbProcedure="false">#REF!</definedName>
    <definedName function="false" hidden="true" name="MDC_CD_00" vbProcedure="false">#REF!</definedName>
    <definedName function="false" hidden="true" name="MDC_CD_01" vbProcedure="false">#REF!</definedName>
    <definedName function="false" hidden="true" name="MDC_CD_02" vbProcedure="false">#REF!</definedName>
    <definedName function="false" hidden="true" name="MDC_CD_03" vbProcedure="false">#REF!</definedName>
    <definedName function="false" hidden="true" name="MDC_CD_04" vbProcedure="false">#REF!</definedName>
    <definedName function="false" hidden="true" name="MDC_CD_05" vbProcedure="false">#REF!</definedName>
    <definedName function="false" hidden="true" name="MDC_CD_06" vbProcedure="false">#REF!</definedName>
    <definedName function="false" hidden="true" name="MDC_CD_07" vbProcedure="false">#REF!</definedName>
    <definedName function="false" hidden="true" name="MDC_CD_08" vbProcedure="false">#REF!</definedName>
    <definedName function="false" hidden="true" name="MDC_CD_09" vbProcedure="false">#REF!</definedName>
    <definedName function="false" hidden="true" name="MDC_CD_10" vbProcedure="false">#REF!</definedName>
    <definedName function="false" hidden="true" name="MDC_CD_11" vbProcedure="false">#REF!</definedName>
    <definedName function="false" hidden="true" name="MDC_CD_12" vbProcedure="false">#REF!</definedName>
    <definedName function="false" hidden="true" name="MDC_CD_13" vbProcedure="false">#REF!</definedName>
    <definedName function="false" hidden="true" name="MDC_CD_14" vbProcedure="false">#REF!</definedName>
    <definedName function="false" hidden="true" name="MDC_CD_15" vbProcedure="false">#REF!</definedName>
    <definedName function="false" hidden="true" name="MDC_CD_16" vbProcedure="false">#REF!</definedName>
    <definedName function="false" hidden="true" name="MDC_CD_17" vbProcedure="false">#REF!</definedName>
    <definedName function="false" hidden="true" name="MDC_CD_18" vbProcedure="false">#REF!</definedName>
    <definedName function="false" hidden="true" name="MDC_CD_19" vbProcedure="false">#REF!</definedName>
    <definedName function="false" hidden="true" name="MDC_CD_20" vbProcedure="false">#REF!</definedName>
    <definedName function="false" hidden="true" name="MDC_CD_21" vbProcedure="false">#REF!</definedName>
    <definedName function="false" hidden="true" name="MDC_CD_22" vbProcedure="false">#REF!</definedName>
    <definedName function="false" hidden="true" name="MDC_CD_23" vbProcedure="false">#REF!</definedName>
    <definedName function="false" hidden="true" name="MDC_MDC_Label" vbProcedure="false">#REF!</definedName>
    <definedName function="false" hidden="true" name="MDC_MDC_Label_Paste" vbProcedure="false">#REF!</definedName>
    <definedName function="false" hidden="true" name="mdc_na_bob_column1" vbProcedure="false">#REF!</definedName>
    <definedName function="false" hidden="true" name="mdc_na_bob_column2" vbProcedure="false">#REF!</definedName>
    <definedName function="false" hidden="true" name="mdc_na_bob_column3" vbProcedure="false">#REF!</definedName>
    <definedName function="false" hidden="true" name="MDC_Range_C7_G8" vbProcedure="false">#REF!</definedName>
    <definedName function="false" hidden="true" name="MDC_Range_I7" vbProcedure="false">#REF!</definedName>
    <definedName function="false" hidden="true" name="MDC_Range_I7_S8" vbProcedure="false">#REF!</definedName>
    <definedName function="false" hidden="true" name="MDC_Range_I8" vbProcedure="false">#REF!</definedName>
    <definedName function="false" hidden="true" name="MDC_Range_J9_K33" vbProcedure="false">#REF!</definedName>
    <definedName function="false" hidden="true" name="MDC_Range_L9_M33" vbProcedure="false">#REF!</definedName>
    <definedName function="false" hidden="true" name="MDC_Range_N9_O33" vbProcedure="false">#REF!</definedName>
    <definedName function="false" hidden="true" name="MDC_Range_Row8" vbProcedure="false">#REF!</definedName>
    <definedName function="false" hidden="true" name="MDC_Row9_Range" vbProcedure="false">#REF!</definedName>
    <definedName function="false" hidden="true" name="me" vbProcedure="false">{#N/A,#N/A,FALSE,"AE detail rpt"}</definedName>
    <definedName function="false" hidden="false" name="MED" vbProcedure="false">#REF!</definedName>
    <definedName function="false" hidden="true" name="MedicalIndemnityProduct" vbProcedure="false">#REF!</definedName>
    <definedName function="false" hidden="true" name="Medical_Catastrophic_Current_Range" vbProcedure="false">#REF!</definedName>
    <definedName function="false" hidden="true" name="Medical_Catastrophic_Prior_Range" vbProcedure="false">#REF!</definedName>
    <definedName function="false" hidden="true" name="medical_sort1" vbProcedure="false">#REF!</definedName>
    <definedName function="false" hidden="true" name="medical_sort2" vbProcedure="false">#REF!</definedName>
    <definedName function="false" hidden="true" name="medical_sort3" vbProcedure="false">#REF!</definedName>
    <definedName function="false" hidden="true" name="medical_sort4" vbProcedure="false">#REF!</definedName>
    <definedName function="false" hidden="true" name="medical_sort5" vbProcedure="false">#REF!</definedName>
    <definedName function="false" hidden="true" name="medical_sorta" vbProcedure="false">#REF!</definedName>
    <definedName function="false" hidden="true" name="medical_sortb" vbProcedure="false">#REF!</definedName>
    <definedName function="false" hidden="true" name="medical_sortc" vbProcedure="false">#REF!</definedName>
    <definedName function="false" hidden="true" name="medical_sortd" vbProcedure="false">#REF!</definedName>
    <definedName function="false" hidden="true" name="medical_sorte" vbProcedure="false">#REF!</definedName>
    <definedName function="false" hidden="true" name="medmult" vbProcedure="false">#REF!</definedName>
    <definedName function="false" hidden="true" name="Med_admin_savings_amt_curr" vbProcedure="false">#REF!</definedName>
    <definedName function="false" hidden="true" name="Med_admin_savings_amt_prior" vbProcedure="false">#REF!</definedName>
    <definedName function="false" hidden="true" name="Med_admit_count_curr" vbProcedure="false">#REF!</definedName>
    <definedName function="false" hidden="true" name="Med_admit_count_prior" vbProcedure="false">#REF!</definedName>
    <definedName function="false" hidden="true" name="Med_allowed_amt_curr" vbProcedure="false">#REF!</definedName>
    <definedName function="false" hidden="true" name="Med_allowed_amt_prior" vbProcedure="false">#REF!</definedName>
    <definedName function="false" hidden="true" name="Med_amb_billed_amt_curr" vbProcedure="false">#REF!</definedName>
    <definedName function="false" hidden="true" name="Med_amb_billed_amt_prior" vbProcedure="false">#REF!</definedName>
    <definedName function="false" hidden="true" name="Med_amb_billed_network_curr" vbProcedure="false">#REF!</definedName>
    <definedName function="false" hidden="true" name="Med_amb_billed_network_prior" vbProcedure="false">#REF!</definedName>
    <definedName function="false" hidden="true" name="Med_amb_network_discount_curr" vbProcedure="false">#REF!</definedName>
    <definedName function="false" hidden="true" name="Med_amb_network_discount_prior" vbProcedure="false">#REF!</definedName>
    <definedName function="false" hidden="true" name="Med_amb_paid_amt_above_threshold_curr" vbProcedure="false">#REF!</definedName>
    <definedName function="false" hidden="true" name="Med_amb_paid_amt_above_threshold_prior" vbProcedure="false">#REF!</definedName>
    <definedName function="false" hidden="true" name="Med_amb_paid_amt_curr" vbProcedure="false">#REF!</definedName>
    <definedName function="false" hidden="true" name="Med_amb_paid_amt_prior" vbProcedure="false">#REF!</definedName>
    <definedName function="false" hidden="true" name="Med_amb_surgery_count_curr" vbProcedure="false">#REF!</definedName>
    <definedName function="false" hidden="true" name="Med_amb_surgery_count_prior" vbProcedure="false">#REF!</definedName>
    <definedName function="false" hidden="true" name="Med_avg_age_members_curr" vbProcedure="false">#REF!</definedName>
    <definedName function="false" hidden="true" name="Med_avg_age_members_prior" vbProcedure="false">#REF!</definedName>
    <definedName function="false" hidden="true" name="Med_billed_amt_amb_surgeries_curr" vbProcedure="false">#REF!</definedName>
    <definedName function="false" hidden="true" name="Med_billed_amt_amb_surgeries_prior" vbProcedure="false">#REF!</definedName>
    <definedName function="false" hidden="true" name="Med_billed_amt_amb_visits_curr" vbProcedure="false">#REF!</definedName>
    <definedName function="false" hidden="true" name="Med_billed_amt_amb_visits_prior" vbProcedure="false">#REF!</definedName>
    <definedName function="false" hidden="true" name="Med_billed_amt_curr" vbProcedure="false">#REF!</definedName>
    <definedName function="false" hidden="true" name="Med_billed_amt_er_visits_curr" vbProcedure="false">#REF!</definedName>
    <definedName function="false" hidden="true" name="Med_billed_amt_er_visits_prior" vbProcedure="false">#REF!</definedName>
    <definedName function="false" hidden="true" name="Med_billed_amt_female_0_19_curr" vbProcedure="false">#REF!</definedName>
    <definedName function="false" hidden="true" name="Med_billed_amt_female_0_19_prior" vbProcedure="false">#REF!</definedName>
    <definedName function="false" hidden="true" name="Med_billed_amt_female_20_44_curr" vbProcedure="false">#REF!</definedName>
    <definedName function="false" hidden="true" name="Med_billed_amt_female_20_44_prior" vbProcedure="false">#REF!</definedName>
    <definedName function="false" hidden="true" name="Med_billed_amt_female_45_64_curr" vbProcedure="false">#REF!</definedName>
    <definedName function="false" hidden="true" name="Med_billed_amt_female_45_64_prior" vbProcedure="false">#REF!</definedName>
    <definedName function="false" hidden="true" name="Med_billed_amt_female_65_over_curr" vbProcedure="false">#REF!</definedName>
    <definedName function="false" hidden="true" name="Med_billed_amt_female_65_over_prior" vbProcedure="false">#REF!</definedName>
    <definedName function="false" hidden="true" name="Med_billed_amt_home_health_curr" vbProcedure="false">#REF!</definedName>
    <definedName function="false" hidden="true" name="Med_billed_amt_home_health_prior" vbProcedure="false">#REF!</definedName>
    <definedName function="false" hidden="true" name="Med_billed_amt_inp_days_curr" vbProcedure="false">#REF!</definedName>
    <definedName function="false" hidden="true" name="Med_billed_amt_inp_days_prior" vbProcedure="false">#REF!</definedName>
    <definedName function="false" hidden="true" name="Med_billed_amt_inp_surgeries_curr" vbProcedure="false">#REF!</definedName>
    <definedName function="false" hidden="true" name="Med_billed_amt_inp_surgeries_prior" vbProcedure="false">#REF!</definedName>
    <definedName function="false" hidden="true" name="Med_billed_amt_lab_serv_curr" vbProcedure="false">#REF!</definedName>
    <definedName function="false" hidden="true" name="Med_billed_amt_lab_serv_prior" vbProcedure="false">#REF!</definedName>
    <definedName function="false" hidden="true" name="Med_billed_amt_male_0_19_curr" vbProcedure="false">#REF!</definedName>
    <definedName function="false" hidden="true" name="Med_billed_amt_male_0_19_prior" vbProcedure="false">#REF!</definedName>
    <definedName function="false" hidden="true" name="Med_billed_amt_male_20_44_curr" vbProcedure="false">#REF!</definedName>
    <definedName function="false" hidden="true" name="Med_billed_amt_male_20_44_prior" vbProcedure="false">#REF!</definedName>
    <definedName function="false" hidden="true" name="Med_billed_amt_male_45_64_curr" vbProcedure="false">#REF!</definedName>
    <definedName function="false" hidden="true" name="Med_billed_amt_male_45_64_prior" vbProcedure="false">#REF!</definedName>
    <definedName function="false" hidden="true" name="Med_billed_amt_male_65_over_curr" vbProcedure="false">#REF!</definedName>
    <definedName function="false" hidden="true" name="Med_billed_amt_male_65_over_prior" vbProcedure="false">#REF!</definedName>
    <definedName function="false" hidden="true" name="Med_billed_amt_med_rx_curr" vbProcedure="false">#REF!</definedName>
    <definedName function="false" hidden="true" name="Med_billed_amt_med_rx_prior" vbProcedure="false">#REF!</definedName>
    <definedName function="false" hidden="true" name="Med_billed_amt_med_visits_curr" vbProcedure="false">#REF!</definedName>
    <definedName function="false" hidden="true" name="Med_billed_amt_med_visits_prior" vbProcedure="false">#REF!</definedName>
    <definedName function="false" hidden="true" name="Med_billed_amt_mental_health_curr" vbProcedure="false">#REF!</definedName>
    <definedName function="false" hidden="true" name="Med_billed_amt_mental_health_prior" vbProcedure="false">#REF!</definedName>
    <definedName function="false" hidden="true" name="Med_billed_amt_misc_med_curr" vbProcedure="false">#REF!</definedName>
    <definedName function="false" hidden="true" name="Med_billed_amt_misc_med_prior" vbProcedure="false">#REF!</definedName>
    <definedName function="false" hidden="true" name="Med_billed_amt_office_surgeries_curr" vbProcedure="false">#REF!</definedName>
    <definedName function="false" hidden="true" name="Med_billed_amt_office_surgeries_prior" vbProcedure="false">#REF!</definedName>
    <definedName function="false" hidden="true" name="Med_billed_amt_prim_off_visits_curr" vbProcedure="false">#REF!</definedName>
    <definedName function="false" hidden="true" name="Med_billed_amt_prim_off_visits_prior" vbProcedure="false">#REF!</definedName>
    <definedName function="false" hidden="true" name="Med_billed_amt_prior" vbProcedure="false">#REF!</definedName>
    <definedName function="false" hidden="true" name="Med_billed_amt_rad_serv_curr" vbProcedure="false">#REF!</definedName>
    <definedName function="false" hidden="true" name="Med_billed_amt_rad_serv_prior" vbProcedure="false">#REF!</definedName>
    <definedName function="false" hidden="true" name="Med_billed_amt_spec_office_visits_curr" vbProcedure="false">#REF!</definedName>
    <definedName function="false" hidden="true" name="Med_billed_amt_spec_office_visits_prior" vbProcedure="false">#REF!</definedName>
    <definedName function="false" hidden="true" name="Med_billed_amt_unknown_0_19_curr" vbProcedure="false">#REF!</definedName>
    <definedName function="false" hidden="true" name="Med_billed_amt_unknown_0_19_prior" vbProcedure="false">#REF!</definedName>
    <definedName function="false" hidden="true" name="Med_billed_amt_unknown_20_44_curr" vbProcedure="false">#REF!</definedName>
    <definedName function="false" hidden="true" name="Med_billed_amt_unknown_20_44_prior" vbProcedure="false">#REF!</definedName>
    <definedName function="false" hidden="true" name="Med_billed_amt_unknown_45_64_curr" vbProcedure="false">#REF!</definedName>
    <definedName function="false" hidden="true" name="Med_billed_amt_unknown_45_64_prior" vbProcedure="false">#REF!</definedName>
    <definedName function="false" hidden="true" name="Med_billed_amt_unknown_65_over_curr" vbProcedure="false">#REF!</definedName>
    <definedName function="false" hidden="true" name="Med_billed_amt_unknown_65_over_prior" vbProcedure="false">#REF!</definedName>
    <definedName function="false" hidden="true" name="Med_billed_encounter_lab_rad_curr" vbProcedure="false">#REF!</definedName>
    <definedName function="false" hidden="true" name="Med_billed_encounter_lab_rad_prior" vbProcedure="false">#REF!</definedName>
    <definedName function="false" hidden="true" name="Med_billed_encounter_other_curr" vbProcedure="false">#REF!</definedName>
    <definedName function="false" hidden="true" name="Med_billed_encounter_other_prior" vbProcedure="false">#REF!</definedName>
    <definedName function="false" hidden="true" name="Med_billed_encounter_prim_phys_curr" vbProcedure="false">#REF!</definedName>
    <definedName function="false" hidden="true" name="Med_billed_encounter_prim_phys_prior" vbProcedure="false">#REF!</definedName>
    <definedName function="false" hidden="true" name="Med_billed_encounter_spec_phys_curr" vbProcedure="false">#REF!</definedName>
    <definedName function="false" hidden="true" name="Med_billed_encounter_spec_phys_prior" vbProcedure="false">#REF!</definedName>
    <definedName function="false" hidden="true" name="Med_billed_other_curr" vbProcedure="false">#REF!</definedName>
    <definedName function="false" hidden="true" name="Med_billed_other_prior" vbProcedure="false">#REF!</definedName>
    <definedName function="false" hidden="true" name="Med_Catastrophic_Current_Home" vbProcedure="false">#REF!</definedName>
    <definedName function="false" hidden="true" name="Med_Catastrophic_Prior_Home" vbProcedure="false">#REF!</definedName>
    <definedName function="false" hidden="true" name="Med_claim_count_above_threshold_curr" vbProcedure="false">#REF!</definedName>
    <definedName function="false" hidden="true" name="Med_claim_count_above_threshold_prior" vbProcedure="false">#REF!</definedName>
    <definedName function="false" hidden="true" name="Med_claim_count_curr" vbProcedure="false">#REF!</definedName>
    <definedName function="false" hidden="true" name="Med_claim_count_female_0_19_curr" vbProcedure="false">#REF!</definedName>
    <definedName function="false" hidden="true" name="Med_claim_count_female_0_19_prior" vbProcedure="false">#REF!</definedName>
    <definedName function="false" hidden="true" name="Med_claim_count_female_20_44_curr" vbProcedure="false">#REF!</definedName>
    <definedName function="false" hidden="true" name="Med_claim_count_female_20_44_prior" vbProcedure="false">#REF!</definedName>
    <definedName function="false" hidden="true" name="Med_claim_count_female_45_64_curr" vbProcedure="false">#REF!</definedName>
    <definedName function="false" hidden="true" name="Med_claim_count_female_45_64_prior" vbProcedure="false">#REF!</definedName>
    <definedName function="false" hidden="true" name="Med_claim_count_female_65_over_curr" vbProcedure="false">#REF!</definedName>
    <definedName function="false" hidden="true" name="Med_claim_count_female_65_over_prior" vbProcedure="false">#REF!</definedName>
    <definedName function="false" hidden="true" name="Med_claim_count_male_0_19_curr" vbProcedure="false">#REF!</definedName>
    <definedName function="false" hidden="true" name="Med_claim_count_male_0_19_prior" vbProcedure="false">#REF!</definedName>
    <definedName function="false" hidden="true" name="Med_claim_count_male_20_44_curr" vbProcedure="false">#REF!</definedName>
    <definedName function="false" hidden="true" name="Med_claim_count_male_20_44_prior" vbProcedure="false">#REF!</definedName>
    <definedName function="false" hidden="true" name="Med_claim_count_male_45_64_curr" vbProcedure="false">#REF!</definedName>
    <definedName function="false" hidden="true" name="Med_claim_count_male_45_64_prior" vbProcedure="false">#REF!</definedName>
    <definedName function="false" hidden="true" name="Med_claim_count_male_65_over_curr" vbProcedure="false">#REF!</definedName>
    <definedName function="false" hidden="true" name="Med_claim_count_male_65_over_prior" vbProcedure="false">#REF!</definedName>
    <definedName function="false" hidden="true" name="Med_claim_count_prior" vbProcedure="false">#REF!</definedName>
    <definedName function="false" hidden="true" name="Med_claim_count_unknown_0_19_curr" vbProcedure="false">#REF!</definedName>
    <definedName function="false" hidden="true" name="Med_claim_count_unknown_0_19_prior" vbProcedure="false">#REF!</definedName>
    <definedName function="false" hidden="true" name="Med_claim_count_unknown_20_44_curr" vbProcedure="false">#REF!</definedName>
    <definedName function="false" hidden="true" name="Med_claim_count_unknown_20_44_prior" vbProcedure="false">#REF!</definedName>
    <definedName function="false" hidden="true" name="Med_claim_count_unknown_45_64_curr" vbProcedure="false">#REF!</definedName>
    <definedName function="false" hidden="true" name="Med_claim_count_unknown_45_64_prior" vbProcedure="false">#REF!</definedName>
    <definedName function="false" hidden="true" name="Med_claim_count_unknown_65_over_curr" vbProcedure="false">#REF!</definedName>
    <definedName function="false" hidden="true" name="Med_claim_count_unknown_65_over_prior" vbProcedure="false">#REF!</definedName>
    <definedName function="false" hidden="true" name="Med_cob_amt_curr" vbProcedure="false">#REF!</definedName>
    <definedName function="false" hidden="true" name="Med_cob_amt_prior" vbProcedure="false">#REF!</definedName>
    <definedName function="false" hidden="true" name="Med_coinsurance_amt_curr" vbProcedure="false">#REF!</definedName>
    <definedName function="false" hidden="true" name="Med_coinsurance_amt_prior" vbProcedure="false">#REF!</definedName>
    <definedName function="false" hidden="true" name="Med_copay_amt_curr" vbProcedure="false">#REF!</definedName>
    <definedName function="false" hidden="true" name="Med_copay_amt_prior" vbProcedure="false">#REF!</definedName>
    <definedName function="false" hidden="true" name="Med_Cost_Rows8_19_Range" vbProcedure="false">#REF!</definedName>
    <definedName function="false" hidden="true" name="Med_Cost_Sharing_Medical_Range" vbProcedure="false">#REF!</definedName>
    <definedName function="false" hidden="true" name="med_cost_space_range1" vbProcedure="false">#REF!</definedName>
    <definedName function="false" hidden="true" name="med_cost_space_range2" vbProcedure="false">#REF!</definedName>
    <definedName function="false" hidden="true" name="Med_count_amb_surgeries_curr" vbProcedure="false">#REF!</definedName>
    <definedName function="false" hidden="true" name="Med_count_amb_surgeries_prior" vbProcedure="false">#REF!</definedName>
    <definedName function="false" hidden="true" name="Med_count_amb_visits_curr" vbProcedure="false">#REF!</definedName>
    <definedName function="false" hidden="true" name="Med_count_amb_visits_prior" vbProcedure="false">#REF!</definedName>
    <definedName function="false" hidden="true" name="Med_count_encounter_lab_rad_curr" vbProcedure="false">#REF!</definedName>
    <definedName function="false" hidden="true" name="Med_count_encounter_lab_rad_prior" vbProcedure="false">#REF!</definedName>
    <definedName function="false" hidden="true" name="Med_count_encounter_other_curr" vbProcedure="false">#REF!</definedName>
    <definedName function="false" hidden="true" name="Med_count_encounter_other_prior" vbProcedure="false">#REF!</definedName>
    <definedName function="false" hidden="true" name="Med_count_encounter_prim_phys_curr" vbProcedure="false">#REF!</definedName>
    <definedName function="false" hidden="true" name="Med_count_encounter_prim_phys_prior" vbProcedure="false">#REF!</definedName>
    <definedName function="false" hidden="true" name="Med_count_encounter_spec_phys_curr" vbProcedure="false">#REF!</definedName>
    <definedName function="false" hidden="true" name="Med_count_encounter_spec_phys_prior" vbProcedure="false">#REF!</definedName>
    <definedName function="false" hidden="true" name="Med_count_er_visits_curr" vbProcedure="false">#REF!</definedName>
    <definedName function="false" hidden="true" name="Med_count_er_visits_prior" vbProcedure="false">#REF!</definedName>
    <definedName function="false" hidden="true" name="Med_count_home_health_curr" vbProcedure="false">#REF!</definedName>
    <definedName function="false" hidden="true" name="Med_count_home_health_prior" vbProcedure="false">#REF!</definedName>
    <definedName function="false" hidden="true" name="Med_count_inp_days_curr" vbProcedure="false">#REF!</definedName>
    <definedName function="false" hidden="true" name="Med_count_inp_days_prior" vbProcedure="false">#REF!</definedName>
    <definedName function="false" hidden="true" name="Med_count_inp_surgeries_curr" vbProcedure="false">#REF!</definedName>
    <definedName function="false" hidden="true" name="Med_count_inp_surgeries_prior" vbProcedure="false">#REF!</definedName>
    <definedName function="false" hidden="true" name="Med_count_lab_serv_curr" vbProcedure="false">#REF!</definedName>
    <definedName function="false" hidden="true" name="Med_count_lab_serv_prior" vbProcedure="false">#REF!</definedName>
    <definedName function="false" hidden="true" name="Med_count_med_rx_curr" vbProcedure="false">#REF!</definedName>
    <definedName function="false" hidden="true" name="Med_count_med_rx_prior" vbProcedure="false">#REF!</definedName>
    <definedName function="false" hidden="true" name="Med_count_med_visits_curr" vbProcedure="false">#REF!</definedName>
    <definedName function="false" hidden="true" name="Med_count_med_visits_prior" vbProcedure="false">#REF!</definedName>
    <definedName function="false" hidden="true" name="Med_count_mental_health_curr" vbProcedure="false">#REF!</definedName>
    <definedName function="false" hidden="true" name="Med_count_mental_health_prior" vbProcedure="false">#REF!</definedName>
    <definedName function="false" hidden="true" name="Med_count_misc_med_curr" vbProcedure="false">#REF!</definedName>
    <definedName function="false" hidden="true" name="Med_count_misc_med_prior" vbProcedure="false">#REF!</definedName>
    <definedName function="false" hidden="true" name="Med_count_office_surgeries_curr" vbProcedure="false">#REF!</definedName>
    <definedName function="false" hidden="true" name="Med_count_office_surgeries_prior" vbProcedure="false">#REF!</definedName>
    <definedName function="false" hidden="true" name="Med_count_other_curr" vbProcedure="false">#REF!</definedName>
    <definedName function="false" hidden="true" name="Med_count_other_prior" vbProcedure="false">#REF!</definedName>
    <definedName function="false" hidden="true" name="Med_count_prim_off_visits_curr" vbProcedure="false">#REF!</definedName>
    <definedName function="false" hidden="true" name="Med_count_prim_off_visits_prior" vbProcedure="false">#REF!</definedName>
    <definedName function="false" hidden="true" name="Med_count_rad_serv_curr" vbProcedure="false">#REF!</definedName>
    <definedName function="false" hidden="true" name="Med_count_rad_serv_prior" vbProcedure="false">#REF!</definedName>
    <definedName function="false" hidden="true" name="Med_count_spec_office_visits_curr" vbProcedure="false">#REF!</definedName>
    <definedName function="false" hidden="true" name="Med_count_spec_office_visits_prior" vbProcedure="false">#REF!</definedName>
    <definedName function="false" hidden="true" name="Med_days_count_curr" vbProcedure="false">#REF!</definedName>
    <definedName function="false" hidden="true" name="Med_days_count_prior" vbProcedure="false">#REF!</definedName>
    <definedName function="false" hidden="true" name="Med_deductible_amt_curr" vbProcedure="false">#REF!</definedName>
    <definedName function="false" hidden="true" name="Med_deductible_amt_prior" vbProcedure="false">#REF!</definedName>
    <definedName function="false" hidden="true" name="Med_er_visits_count_curr" vbProcedure="false">#REF!</definedName>
    <definedName function="false" hidden="true" name="Med_er_visits_count_prior" vbProcedure="false">#REF!</definedName>
    <definedName function="false" hidden="true" name="Med_female_members_curr" vbProcedure="false">#REF!</definedName>
    <definedName function="false" hidden="true" name="Med_female_members_prior" vbProcedure="false">#REF!</definedName>
    <definedName function="false" hidden="true" name="Med_female_mem_0_19_curr" vbProcedure="false">#REF!</definedName>
    <definedName function="false" hidden="true" name="Med_female_mem_0_19_prior" vbProcedure="false">#REF!</definedName>
    <definedName function="false" hidden="true" name="Med_female_mem_20_44_curr" vbProcedure="false">#REF!</definedName>
    <definedName function="false" hidden="true" name="Med_female_mem_20_44_prior" vbProcedure="false">#REF!</definedName>
    <definedName function="false" hidden="true" name="Med_female_mem_45_64_curr" vbProcedure="false">#REF!</definedName>
    <definedName function="false" hidden="true" name="Med_female_mem_45_64_prior" vbProcedure="false">#REF!</definedName>
    <definedName function="false" hidden="true" name="Med_female_mem_65_over_curr" vbProcedure="false">#REF!</definedName>
    <definedName function="false" hidden="true" name="Med_female_mem_65_over_prior" vbProcedure="false">#REF!</definedName>
    <definedName function="false" hidden="true" name="Med_hospital_amb_paid_amt_curr" vbProcedure="false">#REF!</definedName>
    <definedName function="false" hidden="true" name="Med_hospital_amb_paid_amt_prior" vbProcedure="false">#REF!</definedName>
    <definedName function="false" hidden="true" name="Med_hospital_inp_paid_amt_curr" vbProcedure="false">#REF!</definedName>
    <definedName function="false" hidden="true" name="Med_hospital_inp_paid_amt_prior" vbProcedure="false">#REF!</definedName>
    <definedName function="false" hidden="true" name="Med_hospital_paid_amt_curr" vbProcedure="false">#REF!</definedName>
    <definedName function="false" hidden="true" name="Med_hospital_paid_amt_prior" vbProcedure="false">#REF!</definedName>
    <definedName function="false" hidden="true" name="Med_inp_billed_amt_curr" vbProcedure="false">#REF!</definedName>
    <definedName function="false" hidden="true" name="Med_inp_billed_amt_prior" vbProcedure="false">#REF!</definedName>
    <definedName function="false" hidden="true" name="Med_inp_billed_network_curr" vbProcedure="false">#REF!</definedName>
    <definedName function="false" hidden="true" name="Med_inp_billed_network_prior" vbProcedure="false">#REF!</definedName>
    <definedName function="false" hidden="true" name="Med_inp_network_discount_curr" vbProcedure="false">#REF!</definedName>
    <definedName function="false" hidden="true" name="Med_inp_network_discount_prior" vbProcedure="false">#REF!</definedName>
    <definedName function="false" hidden="true" name="Med_inp_paid_amt_above_threshold_curr" vbProcedure="false">#REF!</definedName>
    <definedName function="false" hidden="true" name="Med_inp_paid_amt_above_threshold_prior" vbProcedure="false">#REF!</definedName>
    <definedName function="false" hidden="true" name="Med_inp_paid_amt_curr" vbProcedure="false">#REF!</definedName>
    <definedName function="false" hidden="true" name="Med_inp_paid_amt_prior" vbProcedure="false">#REF!</definedName>
    <definedName function="false" hidden="true" name="Med_inp_surgery_count_curr" vbProcedure="false">#REF!</definedName>
    <definedName function="false" hidden="true" name="Med_inp_surgery_count_prior" vbProcedure="false">#REF!</definedName>
    <definedName function="false" hidden="true" name="Med_male_members_curr" vbProcedure="false">#REF!</definedName>
    <definedName function="false" hidden="true" name="Med_male_members_prior" vbProcedure="false">#REF!</definedName>
    <definedName function="false" hidden="true" name="Med_male_mem_0_19_curr" vbProcedure="false">#REF!</definedName>
    <definedName function="false" hidden="true" name="Med_male_mem_0_19_prior" vbProcedure="false">#REF!</definedName>
    <definedName function="false" hidden="true" name="Med_male_mem_20_44_curr" vbProcedure="false">#REF!</definedName>
    <definedName function="false" hidden="true" name="Med_male_mem_20_44_prior" vbProcedure="false">#REF!</definedName>
    <definedName function="false" hidden="true" name="Med_male_mem_45_64_curr" vbProcedure="false">#REF!</definedName>
    <definedName function="false" hidden="true" name="Med_male_mem_45_64_prior" vbProcedure="false">#REF!</definedName>
    <definedName function="false" hidden="true" name="Med_male_mem_65_over_curr" vbProcedure="false">#REF!</definedName>
    <definedName function="false" hidden="true" name="Med_male_mem_65_over_prior" vbProcedure="false">#REF!</definedName>
    <definedName function="false" hidden="true" name="Med_MDC_admits_00_curr" vbProcedure="false">#REF!</definedName>
    <definedName function="false" hidden="true" name="Med_MDC_admits_00_prior" vbProcedure="false">#REF!</definedName>
    <definedName function="false" hidden="true" name="Med_MDC_admits_01_curr" vbProcedure="false">#REF!</definedName>
    <definedName function="false" hidden="true" name="Med_MDC_admits_01_prior" vbProcedure="false">#REF!</definedName>
    <definedName function="false" hidden="true" name="Med_MDC_admits_02_curr" vbProcedure="false">#REF!</definedName>
    <definedName function="false" hidden="true" name="Med_MDC_admits_02_prior" vbProcedure="false">#REF!</definedName>
    <definedName function="false" hidden="true" name="Med_MDC_admits_03_curr" vbProcedure="false">#REF!</definedName>
    <definedName function="false" hidden="true" name="Med_MDC_admits_03_prior" vbProcedure="false">#REF!</definedName>
    <definedName function="false" hidden="true" name="Med_MDC_admits_04_curr" vbProcedure="false">#REF!</definedName>
    <definedName function="false" hidden="true" name="Med_MDC_admits_04_prior" vbProcedure="false">#REF!</definedName>
    <definedName function="false" hidden="true" name="Med_MDC_admits_05_curr" vbProcedure="false">#REF!</definedName>
    <definedName function="false" hidden="true" name="Med_MDC_admits_05_prior" vbProcedure="false">#REF!</definedName>
    <definedName function="false" hidden="true" name="Med_MDC_admits_06_curr" vbProcedure="false">#REF!</definedName>
    <definedName function="false" hidden="true" name="Med_MDC_admits_06_prior" vbProcedure="false">#REF!</definedName>
    <definedName function="false" hidden="true" name="Med_MDC_admits_07_curr" vbProcedure="false">#REF!</definedName>
    <definedName function="false" hidden="true" name="Med_MDC_admits_07_prior" vbProcedure="false">#REF!</definedName>
    <definedName function="false" hidden="true" name="Med_MDC_admits_08_curr" vbProcedure="false">#REF!</definedName>
    <definedName function="false" hidden="true" name="Med_MDC_admits_08_prior" vbProcedure="false">#REF!</definedName>
    <definedName function="false" hidden="true" name="Med_MDC_admits_09_curr" vbProcedure="false">#REF!</definedName>
    <definedName function="false" hidden="true" name="Med_MDC_admits_09_prior" vbProcedure="false">#REF!</definedName>
    <definedName function="false" hidden="true" name="Med_MDC_admits_10_curr" vbProcedure="false">#REF!</definedName>
    <definedName function="false" hidden="true" name="Med_MDC_admits_10_prior" vbProcedure="false">#REF!</definedName>
    <definedName function="false" hidden="true" name="Med_MDC_admits_11_curr" vbProcedure="false">#REF!</definedName>
    <definedName function="false" hidden="true" name="Med_MDC_admits_11_prior" vbProcedure="false">#REF!</definedName>
    <definedName function="false" hidden="true" name="Med_MDC_admits_12_curr" vbProcedure="false">#REF!</definedName>
    <definedName function="false" hidden="true" name="Med_MDC_admits_12_prior" vbProcedure="false">#REF!</definedName>
    <definedName function="false" hidden="true" name="Med_MDC_admits_13_curr" vbProcedure="false">#REF!</definedName>
    <definedName function="false" hidden="true" name="Med_MDC_admits_13_prior" vbProcedure="false">#REF!</definedName>
    <definedName function="false" hidden="true" name="Med_MDC_admits_14_curr" vbProcedure="false">#REF!</definedName>
    <definedName function="false" hidden="true" name="Med_MDC_admits_14_prior" vbProcedure="false">#REF!</definedName>
    <definedName function="false" hidden="true" name="Med_MDC_admits_15_curr" vbProcedure="false">#REF!</definedName>
    <definedName function="false" hidden="true" name="Med_MDC_admits_15_prior" vbProcedure="false">#REF!</definedName>
    <definedName function="false" hidden="true" name="Med_MDC_admits_16_curr" vbProcedure="false">#REF!</definedName>
    <definedName function="false" hidden="true" name="Med_MDC_admits_16_prior" vbProcedure="false">#REF!</definedName>
    <definedName function="false" hidden="true" name="Med_MDC_admits_17_curr" vbProcedure="false">#REF!</definedName>
    <definedName function="false" hidden="true" name="Med_MDC_admits_17_prior" vbProcedure="false">#REF!</definedName>
    <definedName function="false" hidden="true" name="Med_MDC_admits_18_curr" vbProcedure="false">#REF!</definedName>
    <definedName function="false" hidden="true" name="Med_MDC_admits_18_prior" vbProcedure="false">#REF!</definedName>
    <definedName function="false" hidden="true" name="Med_MDC_admits_19_curr" vbProcedure="false">#REF!</definedName>
    <definedName function="false" hidden="true" name="Med_MDC_admits_19_prior" vbProcedure="false">#REF!</definedName>
    <definedName function="false" hidden="true" name="Med_MDC_admits_20_curr" vbProcedure="false">#REF!</definedName>
    <definedName function="false" hidden="true" name="Med_MDC_admits_20_prior" vbProcedure="false">#REF!</definedName>
    <definedName function="false" hidden="true" name="Med_MDC_admits_21_curr" vbProcedure="false">#REF!</definedName>
    <definedName function="false" hidden="true" name="Med_MDC_admits_21_prior" vbProcedure="false">#REF!</definedName>
    <definedName function="false" hidden="true" name="Med_MDC_admits_22_curr" vbProcedure="false">#REF!</definedName>
    <definedName function="false" hidden="true" name="Med_MDC_admits_22_prior" vbProcedure="false">#REF!</definedName>
    <definedName function="false" hidden="true" name="Med_MDC_admits_23_curr" vbProcedure="false">#REF!</definedName>
    <definedName function="false" hidden="true" name="Med_MDC_admits_23_prior" vbProcedure="false">#REF!</definedName>
    <definedName function="false" hidden="true" name="Med_MDC_admits_999_curr" vbProcedure="false">#REF!</definedName>
    <definedName function="false" hidden="true" name="Med_MDC_admits_999_prior" vbProcedure="false">#REF!</definedName>
    <definedName function="false" hidden="true" name="Med_MDC_amb_billed_00_curr" vbProcedure="false">#REF!</definedName>
    <definedName function="false" hidden="true" name="Med_MDC_amb_billed_00_prior" vbProcedure="false">#REF!</definedName>
    <definedName function="false" hidden="true" name="Med_MDC_amb_billed_01_curr" vbProcedure="false">#REF!</definedName>
    <definedName function="false" hidden="true" name="Med_MDC_amb_billed_01_prior" vbProcedure="false">#REF!</definedName>
    <definedName function="false" hidden="true" name="Med_MDC_amb_billed_02_curr" vbProcedure="false">#REF!</definedName>
    <definedName function="false" hidden="true" name="Med_MDC_amb_billed_02_prior" vbProcedure="false">#REF!</definedName>
    <definedName function="false" hidden="true" name="Med_MDC_amb_billed_03_curr" vbProcedure="false">#REF!</definedName>
    <definedName function="false" hidden="true" name="Med_MDC_amb_billed_03_prior" vbProcedure="false">#REF!</definedName>
    <definedName function="false" hidden="true" name="Med_MDC_amb_billed_04_curr" vbProcedure="false">#REF!</definedName>
    <definedName function="false" hidden="true" name="Med_MDC_amb_billed_04_prior" vbProcedure="false">#REF!</definedName>
    <definedName function="false" hidden="true" name="Med_MDC_amb_billed_05_curr" vbProcedure="false">#REF!</definedName>
    <definedName function="false" hidden="true" name="Med_MDC_amb_billed_05_prior" vbProcedure="false">#REF!</definedName>
    <definedName function="false" hidden="true" name="Med_MDC_amb_billed_06_curr" vbProcedure="false">#REF!</definedName>
    <definedName function="false" hidden="true" name="Med_MDC_amb_billed_06_prior" vbProcedure="false">#REF!</definedName>
    <definedName function="false" hidden="true" name="Med_MDC_amb_billed_07_curr" vbProcedure="false">#REF!</definedName>
    <definedName function="false" hidden="true" name="Med_MDC_amb_billed_07_prior" vbProcedure="false">#REF!</definedName>
    <definedName function="false" hidden="true" name="Med_MDC_amb_billed_08_curr" vbProcedure="false">#REF!</definedName>
    <definedName function="false" hidden="true" name="Med_MDC_amb_billed_08_prior" vbProcedure="false">#REF!</definedName>
    <definedName function="false" hidden="true" name="Med_MDC_amb_billed_09_curr" vbProcedure="false">#REF!</definedName>
    <definedName function="false" hidden="true" name="Med_MDC_amb_billed_09_prior" vbProcedure="false">#REF!</definedName>
    <definedName function="false" hidden="true" name="Med_MDC_amb_billed_10_curr" vbProcedure="false">#REF!</definedName>
    <definedName function="false" hidden="true" name="Med_MDC_amb_billed_10_prior" vbProcedure="false">#REF!</definedName>
    <definedName function="false" hidden="true" name="Med_MDC_amb_billed_11_curr" vbProcedure="false">#REF!</definedName>
    <definedName function="false" hidden="true" name="Med_MDC_amb_billed_11_prior" vbProcedure="false">#REF!</definedName>
    <definedName function="false" hidden="true" name="Med_MDC_amb_billed_12_curr" vbProcedure="false">#REF!</definedName>
    <definedName function="false" hidden="true" name="Med_MDC_amb_billed_12_prior" vbProcedure="false">#REF!</definedName>
    <definedName function="false" hidden="true" name="Med_MDC_amb_billed_13_curr" vbProcedure="false">#REF!</definedName>
    <definedName function="false" hidden="true" name="Med_MDC_amb_billed_13_prior" vbProcedure="false">#REF!</definedName>
    <definedName function="false" hidden="true" name="Med_MDC_amb_billed_14_curr" vbProcedure="false">#REF!</definedName>
    <definedName function="false" hidden="true" name="Med_MDC_amb_billed_14_prior" vbProcedure="false">#REF!</definedName>
    <definedName function="false" hidden="true" name="Med_MDC_amb_billed_15_curr" vbProcedure="false">#REF!</definedName>
    <definedName function="false" hidden="true" name="Med_MDC_amb_billed_15_prior" vbProcedure="false">#REF!</definedName>
    <definedName function="false" hidden="true" name="Med_MDC_amb_billed_16_curr" vbProcedure="false">#REF!</definedName>
    <definedName function="false" hidden="true" name="Med_MDC_amb_billed_16_prior" vbProcedure="false">#REF!</definedName>
    <definedName function="false" hidden="true" name="Med_MDC_amb_billed_17_curr" vbProcedure="false">#REF!</definedName>
    <definedName function="false" hidden="true" name="Med_MDC_amb_billed_17_prior" vbProcedure="false">#REF!</definedName>
    <definedName function="false" hidden="true" name="Med_MDC_amb_billed_18_curr" vbProcedure="false">#REF!</definedName>
    <definedName function="false" hidden="true" name="Med_MDC_amb_billed_18_prior" vbProcedure="false">#REF!</definedName>
    <definedName function="false" hidden="true" name="Med_MDC_amb_billed_19_curr" vbProcedure="false">#REF!</definedName>
    <definedName function="false" hidden="true" name="Med_MDC_amb_billed_19_prior" vbProcedure="false">#REF!</definedName>
    <definedName function="false" hidden="true" name="Med_MDC_amb_billed_20_curr" vbProcedure="false">#REF!</definedName>
    <definedName function="false" hidden="true" name="Med_MDC_amb_billed_20_prior" vbProcedure="false">#REF!</definedName>
    <definedName function="false" hidden="true" name="Med_MDC_amb_billed_21_curr" vbProcedure="false">#REF!</definedName>
    <definedName function="false" hidden="true" name="Med_MDC_amb_billed_21_prior" vbProcedure="false">#REF!</definedName>
    <definedName function="false" hidden="true" name="Med_MDC_amb_billed_22_curr" vbProcedure="false">#REF!</definedName>
    <definedName function="false" hidden="true" name="Med_MDC_amb_billed_22_prior" vbProcedure="false">#REF!</definedName>
    <definedName function="false" hidden="true" name="Med_MDC_amb_billed_23_curr" vbProcedure="false">#REF!</definedName>
    <definedName function="false" hidden="true" name="Med_MDC_amb_billed_23_prior" vbProcedure="false">#REF!</definedName>
    <definedName function="false" hidden="true" name="Med_MDC_amb_billed_999_curr" vbProcedure="false">#REF!</definedName>
    <definedName function="false" hidden="true" name="Med_MDC_amb_billed_999_prior" vbProcedure="false">#REF!</definedName>
    <definedName function="false" hidden="true" name="Med_MDC_amb_paid_00_curr" vbProcedure="false">#REF!</definedName>
    <definedName function="false" hidden="true" name="Med_MDC_amb_paid_00_prior" vbProcedure="false">#REF!</definedName>
    <definedName function="false" hidden="true" name="Med_MDC_amb_paid_01_curr" vbProcedure="false">#REF!</definedName>
    <definedName function="false" hidden="true" name="Med_MDC_amb_paid_01_prior" vbProcedure="false">#REF!</definedName>
    <definedName function="false" hidden="true" name="Med_MDC_amb_paid_02_curr" vbProcedure="false">#REF!</definedName>
    <definedName function="false" hidden="true" name="Med_MDC_amb_paid_02_prior" vbProcedure="false">#REF!</definedName>
    <definedName function="false" hidden="true" name="Med_MDC_amb_paid_03_curr" vbProcedure="false">#REF!</definedName>
    <definedName function="false" hidden="true" name="Med_MDC_amb_paid_03_prior" vbProcedure="false">#REF!</definedName>
    <definedName function="false" hidden="true" name="Med_MDC_amb_paid_04_curr" vbProcedure="false">#REF!</definedName>
    <definedName function="false" hidden="true" name="Med_MDC_amb_paid_04_prior" vbProcedure="false">#REF!</definedName>
    <definedName function="false" hidden="true" name="Med_MDC_amb_paid_05_curr" vbProcedure="false">#REF!</definedName>
    <definedName function="false" hidden="true" name="Med_MDC_amb_paid_05_prior" vbProcedure="false">#REF!</definedName>
    <definedName function="false" hidden="true" name="Med_MDC_amb_paid_06_curr" vbProcedure="false">#REF!</definedName>
    <definedName function="false" hidden="true" name="Med_MDC_amb_paid_06_prior" vbProcedure="false">#REF!</definedName>
    <definedName function="false" hidden="true" name="Med_MDC_amb_paid_07_curr" vbProcedure="false">#REF!</definedName>
    <definedName function="false" hidden="true" name="Med_MDC_amb_paid_07_prior" vbProcedure="false">#REF!</definedName>
    <definedName function="false" hidden="true" name="Med_MDC_amb_paid_08_curr" vbProcedure="false">#REF!</definedName>
    <definedName function="false" hidden="true" name="Med_MDC_amb_paid_08_prior" vbProcedure="false">#REF!</definedName>
    <definedName function="false" hidden="true" name="Med_MDC_amb_paid_09_curr" vbProcedure="false">#REF!</definedName>
    <definedName function="false" hidden="true" name="Med_MDC_amb_paid_09_prior" vbProcedure="false">#REF!</definedName>
    <definedName function="false" hidden="true" name="Med_MDC_amb_paid_10_curr" vbProcedure="false">#REF!</definedName>
    <definedName function="false" hidden="true" name="Med_MDC_amb_paid_10_prior" vbProcedure="false">#REF!</definedName>
    <definedName function="false" hidden="true" name="Med_MDC_amb_paid_11_curr" vbProcedure="false">#REF!</definedName>
    <definedName function="false" hidden="true" name="Med_MDC_amb_paid_11_prior" vbProcedure="false">#REF!</definedName>
    <definedName function="false" hidden="true" name="Med_MDC_amb_paid_12_curr" vbProcedure="false">#REF!</definedName>
    <definedName function="false" hidden="true" name="Med_MDC_amb_paid_12_prior" vbProcedure="false">#REF!</definedName>
    <definedName function="false" hidden="true" name="Med_MDC_amb_paid_13_curr" vbProcedure="false">#REF!</definedName>
    <definedName function="false" hidden="true" name="Med_MDC_amb_paid_13_prior" vbProcedure="false">#REF!</definedName>
    <definedName function="false" hidden="true" name="Med_MDC_amb_paid_14_curr" vbProcedure="false">#REF!</definedName>
    <definedName function="false" hidden="true" name="Med_MDC_amb_paid_14_prior" vbProcedure="false">#REF!</definedName>
    <definedName function="false" hidden="true" name="Med_MDC_amb_paid_15_curr" vbProcedure="false">#REF!</definedName>
    <definedName function="false" hidden="true" name="Med_MDC_amb_paid_15_prior" vbProcedure="false">#REF!</definedName>
    <definedName function="false" hidden="true" name="Med_MDC_amb_paid_16_curr" vbProcedure="false">#REF!</definedName>
    <definedName function="false" hidden="true" name="Med_MDC_amb_paid_16_prior" vbProcedure="false">#REF!</definedName>
    <definedName function="false" hidden="true" name="Med_MDC_amb_paid_17_curr" vbProcedure="false">#REF!</definedName>
    <definedName function="false" hidden="true" name="Med_MDC_amb_paid_17_prior" vbProcedure="false">#REF!</definedName>
    <definedName function="false" hidden="true" name="Med_MDC_amb_paid_18_curr" vbProcedure="false">#REF!</definedName>
    <definedName function="false" hidden="true" name="Med_MDC_amb_paid_18_prior" vbProcedure="false">#REF!</definedName>
    <definedName function="false" hidden="true" name="Med_MDC_amb_paid_19_curr" vbProcedure="false">#REF!</definedName>
    <definedName function="false" hidden="true" name="Med_MDC_amb_paid_19_prior" vbProcedure="false">#REF!</definedName>
    <definedName function="false" hidden="true" name="Med_MDC_amb_paid_20_curr" vbProcedure="false">#REF!</definedName>
    <definedName function="false" hidden="true" name="Med_MDC_amb_paid_20_prior" vbProcedure="false">#REF!</definedName>
    <definedName function="false" hidden="true" name="Med_MDC_amb_paid_21_curr" vbProcedure="false">#REF!</definedName>
    <definedName function="false" hidden="true" name="Med_MDC_amb_paid_21_prior" vbProcedure="false">#REF!</definedName>
    <definedName function="false" hidden="true" name="Med_MDC_amb_paid_22_curr" vbProcedure="false">#REF!</definedName>
    <definedName function="false" hidden="true" name="Med_MDC_amb_paid_22_prior" vbProcedure="false">#REF!</definedName>
    <definedName function="false" hidden="true" name="Med_MDC_amb_paid_23_curr" vbProcedure="false">#REF!</definedName>
    <definedName function="false" hidden="true" name="Med_MDC_amb_paid_23_prior" vbProcedure="false">#REF!</definedName>
    <definedName function="false" hidden="true" name="Med_MDC_amb_paid_999_curr" vbProcedure="false">#REF!</definedName>
    <definedName function="false" hidden="true" name="Med_MDC_amb_paid_999_prior" vbProcedure="false">#REF!</definedName>
    <definedName function="false" hidden="true" name="Med_MDC_billed_00_curr" vbProcedure="false">#REF!</definedName>
    <definedName function="false" hidden="true" name="Med_MDC_billed_00_prior" vbProcedure="false">#REF!</definedName>
    <definedName function="false" hidden="true" name="Med_MDC_billed_01_curr" vbProcedure="false">#REF!</definedName>
    <definedName function="false" hidden="true" name="Med_MDC_billed_01_prior" vbProcedure="false">#REF!</definedName>
    <definedName function="false" hidden="true" name="Med_MDC_billed_02_curr" vbProcedure="false">#REF!</definedName>
    <definedName function="false" hidden="true" name="Med_MDC_billed_02_prior" vbProcedure="false">#REF!</definedName>
    <definedName function="false" hidden="true" name="Med_MDC_billed_03_curr" vbProcedure="false">#REF!</definedName>
    <definedName function="false" hidden="true" name="Med_MDC_billed_03_prior" vbProcedure="false">#REF!</definedName>
    <definedName function="false" hidden="true" name="Med_MDC_billed_04_curr" vbProcedure="false">#REF!</definedName>
    <definedName function="false" hidden="true" name="Med_MDC_billed_04_prior" vbProcedure="false">#REF!</definedName>
    <definedName function="false" hidden="true" name="Med_MDC_billed_05_curr" vbProcedure="false">#REF!</definedName>
    <definedName function="false" hidden="true" name="Med_MDC_billed_05_prior" vbProcedure="false">#REF!</definedName>
    <definedName function="false" hidden="true" name="Med_MDC_billed_06_curr" vbProcedure="false">#REF!</definedName>
    <definedName function="false" hidden="true" name="Med_MDC_billed_06_prior" vbProcedure="false">#REF!</definedName>
    <definedName function="false" hidden="true" name="Med_MDC_billed_07_curr" vbProcedure="false">#REF!</definedName>
    <definedName function="false" hidden="true" name="Med_MDC_billed_07_prior" vbProcedure="false">#REF!</definedName>
    <definedName function="false" hidden="true" name="Med_MDC_billed_08_curr" vbProcedure="false">#REF!</definedName>
    <definedName function="false" hidden="true" name="Med_MDC_billed_08_prior" vbProcedure="false">#REF!</definedName>
    <definedName function="false" hidden="true" name="Med_MDC_billed_09_curr" vbProcedure="false">#REF!</definedName>
    <definedName function="false" hidden="true" name="Med_MDC_billed_09_prior" vbProcedure="false">#REF!</definedName>
    <definedName function="false" hidden="true" name="Med_MDC_billed_10_curr" vbProcedure="false">#REF!</definedName>
    <definedName function="false" hidden="true" name="Med_MDC_billed_10_prior" vbProcedure="false">#REF!</definedName>
    <definedName function="false" hidden="true" name="Med_MDC_billed_11_curr" vbProcedure="false">#REF!</definedName>
    <definedName function="false" hidden="true" name="Med_MDC_billed_11_prior" vbProcedure="false">#REF!</definedName>
    <definedName function="false" hidden="true" name="Med_MDC_billed_12_curr" vbProcedure="false">#REF!</definedName>
    <definedName function="false" hidden="true" name="Med_MDC_billed_12_prior" vbProcedure="false">#REF!</definedName>
    <definedName function="false" hidden="true" name="Med_MDC_billed_13_curr" vbProcedure="false">#REF!</definedName>
    <definedName function="false" hidden="true" name="Med_MDC_billed_13_prior" vbProcedure="false">#REF!</definedName>
    <definedName function="false" hidden="true" name="Med_MDC_billed_14_curr" vbProcedure="false">#REF!</definedName>
    <definedName function="false" hidden="true" name="Med_MDC_billed_14_prior" vbProcedure="false">#REF!</definedName>
    <definedName function="false" hidden="true" name="Med_MDC_billed_15_curr" vbProcedure="false">#REF!</definedName>
    <definedName function="false" hidden="true" name="Med_MDC_billed_15_prior" vbProcedure="false">#REF!</definedName>
    <definedName function="false" hidden="true" name="Med_MDC_billed_16_curr" vbProcedure="false">#REF!</definedName>
    <definedName function="false" hidden="true" name="Med_MDC_billed_16_prior" vbProcedure="false">#REF!</definedName>
    <definedName function="false" hidden="true" name="Med_MDC_billed_17_curr" vbProcedure="false">#REF!</definedName>
    <definedName function="false" hidden="true" name="Med_MDC_billed_17_prior" vbProcedure="false">#REF!</definedName>
    <definedName function="false" hidden="true" name="Med_MDC_billed_18_curr" vbProcedure="false">#REF!</definedName>
    <definedName function="false" hidden="true" name="Med_MDC_billed_18_prior" vbProcedure="false">#REF!</definedName>
    <definedName function="false" hidden="true" name="Med_MDC_billed_19_curr" vbProcedure="false">#REF!</definedName>
    <definedName function="false" hidden="true" name="Med_MDC_billed_19_prior" vbProcedure="false">#REF!</definedName>
    <definedName function="false" hidden="true" name="Med_MDC_billed_20_curr" vbProcedure="false">#REF!</definedName>
    <definedName function="false" hidden="true" name="Med_MDC_billed_20_prior" vbProcedure="false">#REF!</definedName>
    <definedName function="false" hidden="true" name="Med_MDC_billed_21_curr" vbProcedure="false">#REF!</definedName>
    <definedName function="false" hidden="true" name="Med_MDC_billed_21_prior" vbProcedure="false">#REF!</definedName>
    <definedName function="false" hidden="true" name="Med_MDC_billed_22_curr" vbProcedure="false">#REF!</definedName>
    <definedName function="false" hidden="true" name="Med_MDC_billed_22_prior" vbProcedure="false">#REF!</definedName>
    <definedName function="false" hidden="true" name="Med_MDC_billed_23_curr" vbProcedure="false">#REF!</definedName>
    <definedName function="false" hidden="true" name="Med_MDC_billed_23_prior" vbProcedure="false">#REF!</definedName>
    <definedName function="false" hidden="true" name="Med_MDC_billed_999_curr" vbProcedure="false">#REF!</definedName>
    <definedName function="false" hidden="true" name="Med_MDC_billed_999_prior" vbProcedure="false">#REF!</definedName>
    <definedName function="false" hidden="true" name="Med_MDC_cd_00_curr" vbProcedure="false">#REF!</definedName>
    <definedName function="false" hidden="true" name="Med_MDC_cd_00_prior" vbProcedure="false">#REF!</definedName>
    <definedName function="false" hidden="true" name="Med_MDC_cd_01_curr" vbProcedure="false">#REF!</definedName>
    <definedName function="false" hidden="true" name="Med_MDC_cd_01_prior" vbProcedure="false">#REF!</definedName>
    <definedName function="false" hidden="true" name="Med_MDC_cd_02_curr" vbProcedure="false">#REF!</definedName>
    <definedName function="false" hidden="true" name="Med_MDC_cd_02_prior" vbProcedure="false">#REF!</definedName>
    <definedName function="false" hidden="true" name="Med_MDC_cd_03_curr" vbProcedure="false">#REF!</definedName>
    <definedName function="false" hidden="true" name="Med_MDC_cd_03_prior" vbProcedure="false">#REF!</definedName>
    <definedName function="false" hidden="true" name="Med_MDC_cd_04_curr" vbProcedure="false">#REF!</definedName>
    <definedName function="false" hidden="true" name="Med_MDC_cd_04_prior" vbProcedure="false">#REF!</definedName>
    <definedName function="false" hidden="true" name="Med_MDC_cd_05_curr" vbProcedure="false">#REF!</definedName>
    <definedName function="false" hidden="true" name="Med_MDC_cd_05_prior" vbProcedure="false">#REF!</definedName>
    <definedName function="false" hidden="true" name="Med_MDC_cd_06_curr" vbProcedure="false">#REF!</definedName>
    <definedName function="false" hidden="true" name="Med_MDC_cd_06_prior" vbProcedure="false">#REF!</definedName>
    <definedName function="false" hidden="true" name="Med_MDC_cd_07_curr" vbProcedure="false">#REF!</definedName>
    <definedName function="false" hidden="true" name="Med_MDC_cd_07_prior" vbProcedure="false">#REF!</definedName>
    <definedName function="false" hidden="true" name="Med_MDC_cd_08_curr" vbProcedure="false">#REF!</definedName>
    <definedName function="false" hidden="true" name="Med_MDC_cd_08_prior" vbProcedure="false">#REF!</definedName>
    <definedName function="false" hidden="true" name="Med_MDC_cd_09_curr" vbProcedure="false">#REF!</definedName>
    <definedName function="false" hidden="true" name="Med_MDC_cd_09_prior" vbProcedure="false">#REF!</definedName>
    <definedName function="false" hidden="true" name="Med_MDC_cd_10_curr" vbProcedure="false">#REF!</definedName>
    <definedName function="false" hidden="true" name="Med_MDC_cd_10_prior" vbProcedure="false">#REF!</definedName>
    <definedName function="false" hidden="true" name="Med_MDC_cd_11_curr" vbProcedure="false">#REF!</definedName>
    <definedName function="false" hidden="true" name="Med_MDC_cd_11_prior" vbProcedure="false">#REF!</definedName>
    <definedName function="false" hidden="true" name="Med_MDC_cd_12_curr" vbProcedure="false">#REF!</definedName>
    <definedName function="false" hidden="true" name="Med_MDC_cd_12_prior" vbProcedure="false">#REF!</definedName>
    <definedName function="false" hidden="true" name="Med_MDC_cd_13_curr" vbProcedure="false">#REF!</definedName>
    <definedName function="false" hidden="true" name="Med_MDC_cd_13_prior" vbProcedure="false">#REF!</definedName>
    <definedName function="false" hidden="true" name="Med_MDC_cd_14_curr" vbProcedure="false">#REF!</definedName>
    <definedName function="false" hidden="true" name="Med_MDC_cd_14_prior" vbProcedure="false">#REF!</definedName>
    <definedName function="false" hidden="true" name="Med_MDC_cd_15_curr" vbProcedure="false">#REF!</definedName>
    <definedName function="false" hidden="true" name="Med_MDC_cd_15_prior" vbProcedure="false">#REF!</definedName>
    <definedName function="false" hidden="true" name="Med_MDC_cd_16_curr" vbProcedure="false">#REF!</definedName>
    <definedName function="false" hidden="true" name="Med_MDC_cd_16_prior" vbProcedure="false">#REF!</definedName>
    <definedName function="false" hidden="true" name="Med_MDC_cd_17_curr" vbProcedure="false">#REF!</definedName>
    <definedName function="false" hidden="true" name="Med_MDC_cd_17_prior" vbProcedure="false">#REF!</definedName>
    <definedName function="false" hidden="true" name="Med_MDC_cd_18_curr" vbProcedure="false">#REF!</definedName>
    <definedName function="false" hidden="true" name="Med_MDC_cd_18_prior" vbProcedure="false">#REF!</definedName>
    <definedName function="false" hidden="true" name="Med_MDC_cd_19_curr" vbProcedure="false">#REF!</definedName>
    <definedName function="false" hidden="true" name="Med_MDC_cd_19_prior" vbProcedure="false">#REF!</definedName>
    <definedName function="false" hidden="true" name="Med_MDC_cd_20_curr" vbProcedure="false">#REF!</definedName>
    <definedName function="false" hidden="true" name="Med_MDC_cd_20_prior" vbProcedure="false">#REF!</definedName>
    <definedName function="false" hidden="true" name="Med_MDC_cd_21_curr" vbProcedure="false">#REF!</definedName>
    <definedName function="false" hidden="true" name="Med_MDC_cd_21_prior" vbProcedure="false">#REF!</definedName>
    <definedName function="false" hidden="true" name="Med_MDC_cd_22_curr" vbProcedure="false">#REF!</definedName>
    <definedName function="false" hidden="true" name="Med_MDC_cd_22_prior" vbProcedure="false">#REF!</definedName>
    <definedName function="false" hidden="true" name="Med_MDC_cd_23_curr" vbProcedure="false">#REF!</definedName>
    <definedName function="false" hidden="true" name="Med_MDC_cd_23_prior" vbProcedure="false">#REF!</definedName>
    <definedName function="false" hidden="true" name="Med_MDC_cd_999_curr" vbProcedure="false">#REF!</definedName>
    <definedName function="false" hidden="true" name="Med_MDC_cd_999_prior" vbProcedure="false">#REF!</definedName>
    <definedName function="false" hidden="true" name="Med_MDC_claimants_00_curr" vbProcedure="false">#REF!</definedName>
    <definedName function="false" hidden="true" name="Med_MDC_claimants_00_prior" vbProcedure="false">#REF!</definedName>
    <definedName function="false" hidden="true" name="Med_MDC_claimants_01_curr" vbProcedure="false">#REF!</definedName>
    <definedName function="false" hidden="true" name="Med_MDC_claimants_01_prior" vbProcedure="false">#REF!</definedName>
    <definedName function="false" hidden="true" name="Med_MDC_claimants_02_curr" vbProcedure="false">#REF!</definedName>
    <definedName function="false" hidden="true" name="Med_MDC_claimants_02_prior" vbProcedure="false">#REF!</definedName>
    <definedName function="false" hidden="true" name="Med_MDC_claimants_03_curr" vbProcedure="false">#REF!</definedName>
    <definedName function="false" hidden="true" name="Med_MDC_claimants_03_prior" vbProcedure="false">#REF!</definedName>
    <definedName function="false" hidden="true" name="Med_MDC_claimants_04_curr" vbProcedure="false">#REF!</definedName>
    <definedName function="false" hidden="true" name="Med_MDC_claimants_04_prior" vbProcedure="false">#REF!</definedName>
    <definedName function="false" hidden="true" name="Med_MDC_claimants_05_curr" vbProcedure="false">#REF!</definedName>
    <definedName function="false" hidden="true" name="Med_MDC_claimants_05_prior" vbProcedure="false">#REF!</definedName>
    <definedName function="false" hidden="true" name="Med_MDC_claimants_06_curr" vbProcedure="false">#REF!</definedName>
    <definedName function="false" hidden="true" name="Med_MDC_claimants_06_prior" vbProcedure="false">#REF!</definedName>
    <definedName function="false" hidden="true" name="Med_MDC_claimants_07_curr" vbProcedure="false">#REF!</definedName>
    <definedName function="false" hidden="true" name="Med_MDC_claimants_07_prior" vbProcedure="false">#REF!</definedName>
    <definedName function="false" hidden="true" name="Med_MDC_claimants_08_curr" vbProcedure="false">#REF!</definedName>
    <definedName function="false" hidden="true" name="Med_MDC_claimants_08_prior" vbProcedure="false">#REF!</definedName>
    <definedName function="false" hidden="true" name="Med_MDC_claimants_09_curr" vbProcedure="false">#REF!</definedName>
    <definedName function="false" hidden="true" name="Med_MDC_claimants_09_prior" vbProcedure="false">#REF!</definedName>
    <definedName function="false" hidden="true" name="Med_MDC_claimants_10_curr" vbProcedure="false">#REF!</definedName>
    <definedName function="false" hidden="true" name="Med_MDC_claimants_10_prior" vbProcedure="false">#REF!</definedName>
    <definedName function="false" hidden="true" name="Med_MDC_claimants_11_curr" vbProcedure="false">#REF!</definedName>
    <definedName function="false" hidden="true" name="Med_MDC_claimants_11_prior" vbProcedure="false">#REF!</definedName>
    <definedName function="false" hidden="true" name="Med_MDC_claimants_12_curr" vbProcedure="false">#REF!</definedName>
    <definedName function="false" hidden="true" name="Med_MDC_claimants_12_prior" vbProcedure="false">#REF!</definedName>
    <definedName function="false" hidden="true" name="Med_MDC_claimants_13_curr" vbProcedure="false">#REF!</definedName>
    <definedName function="false" hidden="true" name="Med_MDC_claimants_13_prior" vbProcedure="false">#REF!</definedName>
    <definedName function="false" hidden="true" name="Med_MDC_claimants_14_curr" vbProcedure="false">#REF!</definedName>
    <definedName function="false" hidden="true" name="Med_MDC_claimants_14_prior" vbProcedure="false">#REF!</definedName>
    <definedName function="false" hidden="true" name="Med_MDC_claimants_15_curr" vbProcedure="false">#REF!</definedName>
    <definedName function="false" hidden="true" name="Med_MDC_claimants_15_prior" vbProcedure="false">#REF!</definedName>
    <definedName function="false" hidden="true" name="Med_MDC_claimants_16_curr" vbProcedure="false">#REF!</definedName>
    <definedName function="false" hidden="true" name="Med_MDC_claimants_16_prior" vbProcedure="false">#REF!</definedName>
    <definedName function="false" hidden="true" name="Med_MDC_claimants_17_curr" vbProcedure="false">#REF!</definedName>
    <definedName function="false" hidden="true" name="Med_MDC_claimants_17_prior" vbProcedure="false">#REF!</definedName>
    <definedName function="false" hidden="true" name="Med_MDC_claimants_18_curr" vbProcedure="false">#REF!</definedName>
    <definedName function="false" hidden="true" name="Med_MDC_claimants_18_prior" vbProcedure="false">#REF!</definedName>
    <definedName function="false" hidden="true" name="Med_MDC_claimants_19_curr" vbProcedure="false">#REF!</definedName>
    <definedName function="false" hidden="true" name="Med_MDC_claimants_19_prior" vbProcedure="false">#REF!</definedName>
    <definedName function="false" hidden="true" name="Med_MDC_claimants_20_curr" vbProcedure="false">#REF!</definedName>
    <definedName function="false" hidden="true" name="Med_MDC_claimants_20_prior" vbProcedure="false">#REF!</definedName>
    <definedName function="false" hidden="true" name="Med_MDC_claimants_21_curr" vbProcedure="false">#REF!</definedName>
    <definedName function="false" hidden="true" name="Med_MDC_claimants_21_prior" vbProcedure="false">#REF!</definedName>
    <definedName function="false" hidden="true" name="Med_MDC_claimants_22_curr" vbProcedure="false">#REF!</definedName>
    <definedName function="false" hidden="true" name="Med_MDC_claimants_22_prior" vbProcedure="false">#REF!</definedName>
    <definedName function="false" hidden="true" name="Med_MDC_claimants_23_curr" vbProcedure="false">#REF!</definedName>
    <definedName function="false" hidden="true" name="Med_MDC_claimants_23_prior" vbProcedure="false">#REF!</definedName>
    <definedName function="false" hidden="true" name="Med_MDC_claimants_999_curr" vbProcedure="false">#REF!</definedName>
    <definedName function="false" hidden="true" name="Med_MDC_claimants_999_prior" vbProcedure="false">#REF!</definedName>
    <definedName function="false" hidden="true" name="Med_MDC_days_00_curr" vbProcedure="false">#REF!</definedName>
    <definedName function="false" hidden="true" name="Med_MDC_days_00_prior" vbProcedure="false">#REF!</definedName>
    <definedName function="false" hidden="true" name="Med_MDC_days_01_curr" vbProcedure="false">#REF!</definedName>
    <definedName function="false" hidden="true" name="Med_MDC_days_01_prior" vbProcedure="false">#REF!</definedName>
    <definedName function="false" hidden="true" name="Med_MDC_days_02_curr" vbProcedure="false">#REF!</definedName>
    <definedName function="false" hidden="true" name="Med_MDC_days_02_prior" vbProcedure="false">#REF!</definedName>
    <definedName function="false" hidden="true" name="Med_MDC_days_03_curr" vbProcedure="false">#REF!</definedName>
    <definedName function="false" hidden="true" name="Med_MDC_days_03_prior" vbProcedure="false">#REF!</definedName>
    <definedName function="false" hidden="true" name="Med_MDC_days_04_curr" vbProcedure="false">#REF!</definedName>
    <definedName function="false" hidden="true" name="Med_MDC_days_04_prior" vbProcedure="false">#REF!</definedName>
    <definedName function="false" hidden="true" name="Med_MDC_days_05_curr" vbProcedure="false">#REF!</definedName>
    <definedName function="false" hidden="true" name="Med_MDC_days_05_prior" vbProcedure="false">#REF!</definedName>
    <definedName function="false" hidden="true" name="Med_MDC_days_06_curr" vbProcedure="false">#REF!</definedName>
    <definedName function="false" hidden="true" name="Med_MDC_days_06_prior" vbProcedure="false">#REF!</definedName>
    <definedName function="false" hidden="true" name="Med_MDC_days_07_curr" vbProcedure="false">#REF!</definedName>
    <definedName function="false" hidden="true" name="Med_MDC_days_07_prior" vbProcedure="false">#REF!</definedName>
    <definedName function="false" hidden="true" name="Med_MDC_days_08_curr" vbProcedure="false">#REF!</definedName>
    <definedName function="false" hidden="true" name="Med_MDC_days_08_prior" vbProcedure="false">#REF!</definedName>
    <definedName function="false" hidden="true" name="Med_MDC_days_09_curr" vbProcedure="false">#REF!</definedName>
    <definedName function="false" hidden="true" name="Med_MDC_days_09_prior" vbProcedure="false">#REF!</definedName>
    <definedName function="false" hidden="true" name="Med_MDC_days_10_curr" vbProcedure="false">#REF!</definedName>
    <definedName function="false" hidden="true" name="Med_MDC_days_10_prior" vbProcedure="false">#REF!</definedName>
    <definedName function="false" hidden="true" name="Med_MDC_days_11_curr" vbProcedure="false">#REF!</definedName>
    <definedName function="false" hidden="true" name="Med_MDC_days_11_prior" vbProcedure="false">#REF!</definedName>
    <definedName function="false" hidden="true" name="Med_MDC_days_12_curr" vbProcedure="false">#REF!</definedName>
    <definedName function="false" hidden="true" name="Med_MDC_days_12_prior" vbProcedure="false">#REF!</definedName>
    <definedName function="false" hidden="true" name="Med_MDC_days_13_curr" vbProcedure="false">#REF!</definedName>
    <definedName function="false" hidden="true" name="Med_MDC_days_13_prior" vbProcedure="false">#REF!</definedName>
    <definedName function="false" hidden="true" name="Med_MDC_days_14_curr" vbProcedure="false">#REF!</definedName>
    <definedName function="false" hidden="true" name="Med_MDC_days_14_prior" vbProcedure="false">#REF!</definedName>
    <definedName function="false" hidden="true" name="Med_MDC_days_15_curr" vbProcedure="false">#REF!</definedName>
    <definedName function="false" hidden="true" name="Med_MDC_days_15_prior" vbProcedure="false">#REF!</definedName>
    <definedName function="false" hidden="true" name="Med_MDC_days_16_curr" vbProcedure="false">#REF!</definedName>
    <definedName function="false" hidden="true" name="Med_MDC_days_16_prior" vbProcedure="false">#REF!</definedName>
    <definedName function="false" hidden="true" name="Med_MDC_days_17_curr" vbProcedure="false">#REF!</definedName>
    <definedName function="false" hidden="true" name="Med_MDC_days_17_prior" vbProcedure="false">#REF!</definedName>
    <definedName function="false" hidden="true" name="Med_MDC_days_18_curr" vbProcedure="false">#REF!</definedName>
    <definedName function="false" hidden="true" name="Med_MDC_days_18_prior" vbProcedure="false">#REF!</definedName>
    <definedName function="false" hidden="true" name="Med_MDC_days_19_curr" vbProcedure="false">#REF!</definedName>
    <definedName function="false" hidden="true" name="Med_MDC_days_19_prior" vbProcedure="false">#REF!</definedName>
    <definedName function="false" hidden="true" name="Med_MDC_days_20_curr" vbProcedure="false">#REF!</definedName>
    <definedName function="false" hidden="true" name="Med_MDC_days_20_prior" vbProcedure="false">#REF!</definedName>
    <definedName function="false" hidden="true" name="Med_MDC_days_21_curr" vbProcedure="false">#REF!</definedName>
    <definedName function="false" hidden="true" name="Med_MDC_days_21_prior" vbProcedure="false">#REF!</definedName>
    <definedName function="false" hidden="true" name="Med_MDC_days_22_curr" vbProcedure="false">#REF!</definedName>
    <definedName function="false" hidden="true" name="Med_MDC_days_22_prior" vbProcedure="false">#REF!</definedName>
    <definedName function="false" hidden="true" name="Med_MDC_days_23_curr" vbProcedure="false">#REF!</definedName>
    <definedName function="false" hidden="true" name="Med_MDC_days_23_prior" vbProcedure="false">#REF!</definedName>
    <definedName function="false" hidden="true" name="Med_MDC_days_999_curr" vbProcedure="false">#REF!</definedName>
    <definedName function="false" hidden="true" name="Med_MDC_days_999_prior" vbProcedure="false">#REF!</definedName>
    <definedName function="false" hidden="true" name="Med_MDC_inp_billed_00_curr" vbProcedure="false">#REF!</definedName>
    <definedName function="false" hidden="true" name="Med_MDC_inp_billed_00_prior" vbProcedure="false">#REF!</definedName>
    <definedName function="false" hidden="true" name="Med_MDC_inp_billed_01_curr" vbProcedure="false">#REF!</definedName>
    <definedName function="false" hidden="true" name="Med_MDC_inp_billed_01_prior" vbProcedure="false">#REF!</definedName>
    <definedName function="false" hidden="true" name="Med_MDC_inp_billed_02_curr" vbProcedure="false">#REF!</definedName>
    <definedName function="false" hidden="true" name="Med_MDC_inp_billed_02_prior" vbProcedure="false">#REF!</definedName>
    <definedName function="false" hidden="true" name="Med_MDC_inp_billed_03_curr" vbProcedure="false">#REF!</definedName>
    <definedName function="false" hidden="true" name="Med_MDC_inp_billed_03_prior" vbProcedure="false">#REF!</definedName>
    <definedName function="false" hidden="true" name="Med_MDC_inp_billed_04_curr" vbProcedure="false">#REF!</definedName>
    <definedName function="false" hidden="true" name="Med_MDC_inp_billed_04_prior" vbProcedure="false">#REF!</definedName>
    <definedName function="false" hidden="true" name="Med_MDC_inp_billed_05_curr" vbProcedure="false">#REF!</definedName>
    <definedName function="false" hidden="true" name="Med_MDC_inp_billed_05_prior" vbProcedure="false">#REF!</definedName>
    <definedName function="false" hidden="true" name="Med_MDC_inp_billed_06_curr" vbProcedure="false">#REF!</definedName>
    <definedName function="false" hidden="true" name="Med_MDC_inp_billed_06_prior" vbProcedure="false">#REF!</definedName>
    <definedName function="false" hidden="true" name="Med_MDC_inp_billed_07_curr" vbProcedure="false">#REF!</definedName>
    <definedName function="false" hidden="true" name="Med_MDC_inp_billed_07_prior" vbProcedure="false">#REF!</definedName>
    <definedName function="false" hidden="true" name="Med_MDC_inp_billed_08_curr" vbProcedure="false">#REF!</definedName>
    <definedName function="false" hidden="true" name="Med_MDC_inp_billed_08_prior" vbProcedure="false">#REF!</definedName>
    <definedName function="false" hidden="true" name="Med_MDC_inp_billed_09_curr" vbProcedure="false">#REF!</definedName>
    <definedName function="false" hidden="true" name="Med_MDC_inp_billed_09_prior" vbProcedure="false">#REF!</definedName>
    <definedName function="false" hidden="true" name="Med_MDC_inp_billed_10_curr" vbProcedure="false">#REF!</definedName>
    <definedName function="false" hidden="true" name="Med_MDC_inp_billed_10_prior" vbProcedure="false">#REF!</definedName>
    <definedName function="false" hidden="true" name="Med_MDC_inp_billed_11_curr" vbProcedure="false">#REF!</definedName>
    <definedName function="false" hidden="true" name="Med_MDC_inp_billed_11_prior" vbProcedure="false">#REF!</definedName>
    <definedName function="false" hidden="true" name="Med_MDC_inp_billed_12_curr" vbProcedure="false">#REF!</definedName>
    <definedName function="false" hidden="true" name="Med_MDC_inp_billed_12_prior" vbProcedure="false">#REF!</definedName>
    <definedName function="false" hidden="true" name="Med_MDC_inp_billed_13_curr" vbProcedure="false">#REF!</definedName>
    <definedName function="false" hidden="true" name="Med_MDC_inp_billed_13_prior" vbProcedure="false">#REF!</definedName>
    <definedName function="false" hidden="true" name="Med_MDC_inp_billed_14_curr" vbProcedure="false">#REF!</definedName>
    <definedName function="false" hidden="true" name="Med_MDC_inp_billed_14_prior" vbProcedure="false">#REF!</definedName>
    <definedName function="false" hidden="true" name="Med_MDC_inp_billed_15_curr" vbProcedure="false">#REF!</definedName>
    <definedName function="false" hidden="true" name="Med_MDC_inp_billed_15_prior" vbProcedure="false">#REF!</definedName>
    <definedName function="false" hidden="true" name="Med_MDC_inp_billed_16_curr" vbProcedure="false">#REF!</definedName>
    <definedName function="false" hidden="true" name="Med_MDC_inp_billed_16_prior" vbProcedure="false">#REF!</definedName>
    <definedName function="false" hidden="true" name="Med_MDC_inp_billed_17_curr" vbProcedure="false">#REF!</definedName>
    <definedName function="false" hidden="true" name="Med_MDC_inp_billed_17_prior" vbProcedure="false">#REF!</definedName>
    <definedName function="false" hidden="true" name="Med_MDC_inp_billed_18_curr" vbProcedure="false">#REF!</definedName>
    <definedName function="false" hidden="true" name="Med_MDC_inp_billed_18_prior" vbProcedure="false">#REF!</definedName>
    <definedName function="false" hidden="true" name="Med_MDC_inp_billed_19_curr" vbProcedure="false">#REF!</definedName>
    <definedName function="false" hidden="true" name="Med_MDC_inp_billed_19_prior" vbProcedure="false">#REF!</definedName>
    <definedName function="false" hidden="true" name="Med_MDC_inp_billed_20_curr" vbProcedure="false">#REF!</definedName>
    <definedName function="false" hidden="true" name="Med_MDC_inp_billed_20_prior" vbProcedure="false">#REF!</definedName>
    <definedName function="false" hidden="true" name="Med_MDC_inp_billed_21_curr" vbProcedure="false">#REF!</definedName>
    <definedName function="false" hidden="true" name="Med_MDC_inp_billed_21_prior" vbProcedure="false">#REF!</definedName>
    <definedName function="false" hidden="true" name="Med_MDC_inp_billed_22_curr" vbProcedure="false">#REF!</definedName>
    <definedName function="false" hidden="true" name="Med_MDC_inp_billed_22_prior" vbProcedure="false">#REF!</definedName>
    <definedName function="false" hidden="true" name="Med_MDC_inp_billed_23_curr" vbProcedure="false">#REF!</definedName>
    <definedName function="false" hidden="true" name="Med_MDC_inp_billed_23_prior" vbProcedure="false">#REF!</definedName>
    <definedName function="false" hidden="true" name="Med_MDC_inp_billed_999_curr" vbProcedure="false">#REF!</definedName>
    <definedName function="false" hidden="true" name="Med_MDC_inp_billed_999_prior" vbProcedure="false">#REF!</definedName>
    <definedName function="false" hidden="true" name="Med_MDC_inp_paid_00_curr" vbProcedure="false">#REF!</definedName>
    <definedName function="false" hidden="true" name="Med_MDC_inp_paid_00_prior" vbProcedure="false">#REF!</definedName>
    <definedName function="false" hidden="true" name="Med_MDC_inp_paid_01_curr" vbProcedure="false">#REF!</definedName>
    <definedName function="false" hidden="true" name="Med_MDC_inp_paid_01_prior" vbProcedure="false">#REF!</definedName>
    <definedName function="false" hidden="true" name="Med_MDC_inp_paid_02_curr" vbProcedure="false">#REF!</definedName>
    <definedName function="false" hidden="true" name="Med_MDC_inp_paid_02_prior" vbProcedure="false">#REF!</definedName>
    <definedName function="false" hidden="true" name="Med_MDC_inp_paid_03_curr" vbProcedure="false">#REF!</definedName>
    <definedName function="false" hidden="true" name="Med_MDC_inp_paid_03_prior" vbProcedure="false">#REF!</definedName>
    <definedName function="false" hidden="true" name="Med_MDC_inp_paid_04_curr" vbProcedure="false">#REF!</definedName>
    <definedName function="false" hidden="true" name="Med_MDC_inp_paid_04_prior" vbProcedure="false">#REF!</definedName>
    <definedName function="false" hidden="true" name="Med_MDC_inp_paid_05_curr" vbProcedure="false">#REF!</definedName>
    <definedName function="false" hidden="true" name="Med_MDC_inp_paid_05_prior" vbProcedure="false">#REF!</definedName>
    <definedName function="false" hidden="true" name="Med_MDC_inp_paid_06_curr" vbProcedure="false">#REF!</definedName>
    <definedName function="false" hidden="true" name="Med_MDC_inp_paid_06_prior" vbProcedure="false">#REF!</definedName>
    <definedName function="false" hidden="true" name="Med_MDC_inp_paid_07_curr" vbProcedure="false">#REF!</definedName>
    <definedName function="false" hidden="true" name="Med_MDC_inp_paid_07_prior" vbProcedure="false">#REF!</definedName>
    <definedName function="false" hidden="true" name="Med_MDC_inp_paid_08_curr" vbProcedure="false">#REF!</definedName>
    <definedName function="false" hidden="true" name="Med_MDC_inp_paid_08_prior" vbProcedure="false">#REF!</definedName>
    <definedName function="false" hidden="true" name="Med_MDC_inp_paid_09_curr" vbProcedure="false">#REF!</definedName>
    <definedName function="false" hidden="true" name="Med_MDC_inp_paid_09_prior" vbProcedure="false">#REF!</definedName>
    <definedName function="false" hidden="true" name="Med_MDC_inp_paid_10_curr" vbProcedure="false">#REF!</definedName>
    <definedName function="false" hidden="true" name="Med_MDC_inp_paid_10_prior" vbProcedure="false">#REF!</definedName>
    <definedName function="false" hidden="true" name="Med_MDC_inp_paid_11_curr" vbProcedure="false">#REF!</definedName>
    <definedName function="false" hidden="true" name="Med_MDC_inp_paid_11_prior" vbProcedure="false">#REF!</definedName>
    <definedName function="false" hidden="true" name="Med_MDC_inp_paid_12_curr" vbProcedure="false">#REF!</definedName>
    <definedName function="false" hidden="true" name="Med_MDC_inp_paid_12_prior" vbProcedure="false">#REF!</definedName>
    <definedName function="false" hidden="true" name="Med_MDC_inp_paid_13_curr" vbProcedure="false">#REF!</definedName>
    <definedName function="false" hidden="true" name="Med_MDC_inp_paid_13_prior" vbProcedure="false">#REF!</definedName>
    <definedName function="false" hidden="true" name="Med_MDC_inp_paid_14_curr" vbProcedure="false">#REF!</definedName>
    <definedName function="false" hidden="true" name="Med_MDC_inp_paid_14_prior" vbProcedure="false">#REF!</definedName>
    <definedName function="false" hidden="true" name="Med_MDC_inp_paid_15_curr" vbProcedure="false">#REF!</definedName>
    <definedName function="false" hidden="true" name="Med_MDC_inp_paid_15_prior" vbProcedure="false">#REF!</definedName>
    <definedName function="false" hidden="true" name="Med_MDC_inp_paid_16_curr" vbProcedure="false">#REF!</definedName>
    <definedName function="false" hidden="true" name="Med_MDC_inp_paid_16_prior" vbProcedure="false">#REF!</definedName>
    <definedName function="false" hidden="true" name="Med_MDC_inp_paid_17_curr" vbProcedure="false">#REF!</definedName>
    <definedName function="false" hidden="true" name="Med_MDC_inp_paid_17_prior" vbProcedure="false">#REF!</definedName>
    <definedName function="false" hidden="true" name="Med_MDC_inp_paid_18_curr" vbProcedure="false">#REF!</definedName>
    <definedName function="false" hidden="true" name="Med_MDC_inp_paid_18_prior" vbProcedure="false">#REF!</definedName>
    <definedName function="false" hidden="true" name="Med_MDC_inp_paid_19_curr" vbProcedure="false">#REF!</definedName>
    <definedName function="false" hidden="true" name="Med_MDC_inp_paid_19_prior" vbProcedure="false">#REF!</definedName>
    <definedName function="false" hidden="true" name="Med_MDC_inp_paid_20_curr" vbProcedure="false">#REF!</definedName>
    <definedName function="false" hidden="true" name="Med_MDC_inp_paid_20_prior" vbProcedure="false">#REF!</definedName>
    <definedName function="false" hidden="true" name="Med_MDC_inp_paid_21_curr" vbProcedure="false">#REF!</definedName>
    <definedName function="false" hidden="true" name="Med_MDC_inp_paid_21_prior" vbProcedure="false">#REF!</definedName>
    <definedName function="false" hidden="true" name="Med_MDC_inp_paid_22_curr" vbProcedure="false">#REF!</definedName>
    <definedName function="false" hidden="true" name="Med_MDC_inp_paid_22_prior" vbProcedure="false">#REF!</definedName>
    <definedName function="false" hidden="true" name="Med_MDC_inp_paid_23_curr" vbProcedure="false">#REF!</definedName>
    <definedName function="false" hidden="true" name="Med_MDC_inp_paid_23_prior" vbProcedure="false">#REF!</definedName>
    <definedName function="false" hidden="true" name="Med_MDC_inp_paid_999_curr" vbProcedure="false">#REF!</definedName>
    <definedName function="false" hidden="true" name="Med_MDC_inp_paid_999_prior" vbProcedure="false">#REF!</definedName>
    <definedName function="false" hidden="true" name="Med_MDC_paid_00_curr" vbProcedure="false">#REF!</definedName>
    <definedName function="false" hidden="true" name="Med_MDC_paid_00_prior" vbProcedure="false">#REF!</definedName>
    <definedName function="false" hidden="true" name="Med_MDC_paid_01_curr" vbProcedure="false">#REF!</definedName>
    <definedName function="false" hidden="true" name="Med_MDC_paid_01_prior" vbProcedure="false">#REF!</definedName>
    <definedName function="false" hidden="true" name="Med_MDC_paid_02_curr" vbProcedure="false">#REF!</definedName>
    <definedName function="false" hidden="true" name="Med_MDC_paid_02_prior" vbProcedure="false">#REF!</definedName>
    <definedName function="false" hidden="true" name="Med_MDC_paid_03_curr" vbProcedure="false">#REF!</definedName>
    <definedName function="false" hidden="true" name="Med_MDC_paid_03_prior" vbProcedure="false">#REF!</definedName>
    <definedName function="false" hidden="true" name="Med_MDC_paid_04_curr" vbProcedure="false">#REF!</definedName>
    <definedName function="false" hidden="true" name="Med_MDC_paid_04_prior" vbProcedure="false">#REF!</definedName>
    <definedName function="false" hidden="true" name="Med_MDC_paid_05_curr" vbProcedure="false">#REF!</definedName>
    <definedName function="false" hidden="true" name="Med_MDC_paid_05_prior" vbProcedure="false">#REF!</definedName>
    <definedName function="false" hidden="true" name="Med_MDC_paid_06_curr" vbProcedure="false">#REF!</definedName>
    <definedName function="false" hidden="true" name="Med_MDC_paid_06_prior" vbProcedure="false">#REF!</definedName>
    <definedName function="false" hidden="true" name="Med_MDC_paid_07_curr" vbProcedure="false">#REF!</definedName>
    <definedName function="false" hidden="true" name="Med_MDC_paid_07_prior" vbProcedure="false">#REF!</definedName>
    <definedName function="false" hidden="true" name="Med_MDC_paid_08_curr" vbProcedure="false">#REF!</definedName>
    <definedName function="false" hidden="true" name="Med_MDC_paid_08_prior" vbProcedure="false">#REF!</definedName>
    <definedName function="false" hidden="true" name="Med_MDC_paid_09_curr" vbProcedure="false">#REF!</definedName>
    <definedName function="false" hidden="true" name="Med_MDC_paid_09_prior" vbProcedure="false">#REF!</definedName>
    <definedName function="false" hidden="true" name="Med_MDC_paid_10_curr" vbProcedure="false">#REF!</definedName>
    <definedName function="false" hidden="true" name="Med_MDC_paid_10_prior" vbProcedure="false">#REF!</definedName>
    <definedName function="false" hidden="true" name="Med_MDC_paid_11_curr" vbProcedure="false">#REF!</definedName>
    <definedName function="false" hidden="true" name="Med_MDC_paid_11_prior" vbProcedure="false">#REF!</definedName>
    <definedName function="false" hidden="true" name="Med_MDC_paid_12_curr" vbProcedure="false">#REF!</definedName>
    <definedName function="false" hidden="true" name="Med_MDC_paid_12_prior" vbProcedure="false">#REF!</definedName>
    <definedName function="false" hidden="true" name="Med_MDC_paid_13_curr" vbProcedure="false">#REF!</definedName>
    <definedName function="false" hidden="true" name="Med_MDC_paid_13_prior" vbProcedure="false">#REF!</definedName>
    <definedName function="false" hidden="true" name="Med_MDC_paid_14_curr" vbProcedure="false">#REF!</definedName>
    <definedName function="false" hidden="true" name="Med_MDC_paid_14_prior" vbProcedure="false">#REF!</definedName>
    <definedName function="false" hidden="true" name="Med_MDC_paid_15_curr" vbProcedure="false">#REF!</definedName>
    <definedName function="false" hidden="true" name="Med_MDC_paid_15_prior" vbProcedure="false">#REF!</definedName>
    <definedName function="false" hidden="true" name="Med_MDC_paid_16_curr" vbProcedure="false">#REF!</definedName>
    <definedName function="false" hidden="true" name="Med_MDC_paid_16_prior" vbProcedure="false">#REF!</definedName>
    <definedName function="false" hidden="true" name="Med_MDC_paid_17_curr" vbProcedure="false">#REF!</definedName>
    <definedName function="false" hidden="true" name="Med_MDC_paid_17_prior" vbProcedure="false">#REF!</definedName>
    <definedName function="false" hidden="true" name="Med_MDC_paid_18_curr" vbProcedure="false">#REF!</definedName>
    <definedName function="false" hidden="true" name="Med_MDC_paid_18_prior" vbProcedure="false">#REF!</definedName>
    <definedName function="false" hidden="true" name="Med_MDC_paid_19_curr" vbProcedure="false">#REF!</definedName>
    <definedName function="false" hidden="true" name="Med_MDC_paid_19_prior" vbProcedure="false">#REF!</definedName>
    <definedName function="false" hidden="true" name="Med_MDC_paid_20_curr" vbProcedure="false">#REF!</definedName>
    <definedName function="false" hidden="true" name="Med_MDC_paid_20_prior" vbProcedure="false">#REF!</definedName>
    <definedName function="false" hidden="true" name="Med_MDC_paid_21_curr" vbProcedure="false">#REF!</definedName>
    <definedName function="false" hidden="true" name="Med_MDC_paid_21_prior" vbProcedure="false">#REF!</definedName>
    <definedName function="false" hidden="true" name="Med_MDC_paid_22_curr" vbProcedure="false">#REF!</definedName>
    <definedName function="false" hidden="true" name="Med_MDC_paid_22_prior" vbProcedure="false">#REF!</definedName>
    <definedName function="false" hidden="true" name="Med_MDC_paid_23_curr" vbProcedure="false">#REF!</definedName>
    <definedName function="false" hidden="true" name="Med_MDC_paid_23_prior" vbProcedure="false">#REF!</definedName>
    <definedName function="false" hidden="true" name="Med_MDC_paid_999_curr" vbProcedure="false">#REF!</definedName>
    <definedName function="false" hidden="true" name="Med_MDC_paid_999_prior" vbProcedure="false">#REF!</definedName>
    <definedName function="false" hidden="true" name="Med_months_curr" vbProcedure="false">#REF!</definedName>
    <definedName function="false" hidden="true" name="Med_months_prior" vbProcedure="false">#REF!</definedName>
    <definedName function="false" hidden="true" name="Med_non_facility_billed_network_curr" vbProcedure="false">#REF!</definedName>
    <definedName function="false" hidden="true" name="Med_non_facility_billed_network_prior" vbProcedure="false">#REF!</definedName>
    <definedName function="false" hidden="true" name="Med_non_facility_network_discount_curr" vbProcedure="false">#REF!</definedName>
    <definedName function="false" hidden="true" name="Med_non_facility_network_discount_prior" vbProcedure="false">#REF!</definedName>
    <definedName function="false" hidden="true" name="Med_num_employees_curr" vbProcedure="false">#REF!</definedName>
    <definedName function="false" hidden="true" name="Med_num_employees_prior" vbProcedure="false">#REF!</definedName>
    <definedName function="false" hidden="true" name="Med_num_members_curr" vbProcedure="false">#REF!</definedName>
    <definedName function="false" hidden="true" name="Med_num_members_prior" vbProcedure="false">#REF!</definedName>
    <definedName function="false" hidden="true" name="Med_office_visits_count_curr" vbProcedure="false">#REF!</definedName>
    <definedName function="false" hidden="true" name="Med_office_visits_count_prior" vbProcedure="false">#REF!</definedName>
    <definedName function="false" hidden="true" name="Med_other_discount_admin_savings_amt_curr" vbProcedure="false">#REF!</definedName>
    <definedName function="false" hidden="true" name="Med_other_discount_admin_savings_amt_prior" vbProcedure="false">#REF!</definedName>
    <definedName function="false" hidden="true" name="Med_other_discount_billed_amt_curr" vbProcedure="false">#REF!</definedName>
    <definedName function="false" hidden="true" name="Med_other_discount_billed_amt_prior" vbProcedure="false">#REF!</definedName>
    <definedName function="false" hidden="true" name="Med_paid_amt_above_threshold_curr" vbProcedure="false">#REF!</definedName>
    <definedName function="false" hidden="true" name="Med_paid_amt_above_threshold_prior" vbProcedure="false">#REF!</definedName>
    <definedName function="false" hidden="true" name="Med_paid_amt_amb_surgeries_curr" vbProcedure="false">#REF!</definedName>
    <definedName function="false" hidden="true" name="Med_paid_amt_amb_surgeries_prior" vbProcedure="false">#REF!</definedName>
    <definedName function="false" hidden="true" name="Med_paid_amt_amb_visits_curr" vbProcedure="false">#REF!</definedName>
    <definedName function="false" hidden="true" name="Med_paid_amt_amb_visits_prior" vbProcedure="false">#REF!</definedName>
    <definedName function="false" hidden="true" name="Med_paid_amt_curr" vbProcedure="false">#REF!</definedName>
    <definedName function="false" hidden="true" name="Med_paid_amt_er_visits_curr" vbProcedure="false">#REF!</definedName>
    <definedName function="false" hidden="true" name="Med_paid_amt_er_visits_prior" vbProcedure="false">#REF!</definedName>
    <definedName function="false" hidden="true" name="Med_paid_amt_female_0_19_curr" vbProcedure="false">#REF!</definedName>
    <definedName function="false" hidden="true" name="Med_paid_amt_female_0_19_prior" vbProcedure="false">#REF!</definedName>
    <definedName function="false" hidden="true" name="Med_paid_amt_female_20_44_curr" vbProcedure="false">#REF!</definedName>
    <definedName function="false" hidden="true" name="Med_paid_amt_female_20_44_prior" vbProcedure="false">#REF!</definedName>
    <definedName function="false" hidden="true" name="Med_paid_amt_female_45_64_curr" vbProcedure="false">#REF!</definedName>
    <definedName function="false" hidden="true" name="Med_paid_amt_female_45_64_prior" vbProcedure="false">#REF!</definedName>
    <definedName function="false" hidden="true" name="Med_paid_amt_female_65_over_curr" vbProcedure="false">#REF!</definedName>
    <definedName function="false" hidden="true" name="Med_paid_amt_female_65_over_prior" vbProcedure="false">#REF!</definedName>
    <definedName function="false" hidden="true" name="Med_paid_amt_home_health_curr" vbProcedure="false">#REF!</definedName>
    <definedName function="false" hidden="true" name="Med_paid_amt_home_health_prior" vbProcedure="false">#REF!</definedName>
    <definedName function="false" hidden="true" name="Med_paid_amt_inp_days_curr" vbProcedure="false">#REF!</definedName>
    <definedName function="false" hidden="true" name="Med_paid_amt_inp_days_prior" vbProcedure="false">#REF!</definedName>
    <definedName function="false" hidden="true" name="Med_paid_amt_inp_surgeries_curr" vbProcedure="false">#REF!</definedName>
    <definedName function="false" hidden="true" name="Med_paid_amt_inp_surgeries_prior" vbProcedure="false">#REF!</definedName>
    <definedName function="false" hidden="true" name="Med_paid_amt_lab_serv_curr" vbProcedure="false">#REF!</definedName>
    <definedName function="false" hidden="true" name="Med_paid_amt_lab_serv_prior" vbProcedure="false">#REF!</definedName>
    <definedName function="false" hidden="true" name="Med_paid_amt_male_0_19_curr" vbProcedure="false">#REF!</definedName>
    <definedName function="false" hidden="true" name="Med_paid_amt_male_0_19_prior" vbProcedure="false">#REF!</definedName>
    <definedName function="false" hidden="true" name="Med_paid_amt_male_20_44_curr" vbProcedure="false">#REF!</definedName>
    <definedName function="false" hidden="true" name="Med_paid_amt_male_20_44_prior" vbProcedure="false">#REF!</definedName>
    <definedName function="false" hidden="true" name="Med_paid_amt_male_45_64_curr" vbProcedure="false">#REF!</definedName>
    <definedName function="false" hidden="true" name="Med_paid_amt_male_45_64_prior" vbProcedure="false">#REF!</definedName>
    <definedName function="false" hidden="true" name="Med_paid_amt_male_65_over_curr" vbProcedure="false">#REF!</definedName>
    <definedName function="false" hidden="true" name="Med_paid_amt_male_65_over_prior" vbProcedure="false">#REF!</definedName>
    <definedName function="false" hidden="true" name="Med_paid_amt_med_rx_curr" vbProcedure="false">#REF!</definedName>
    <definedName function="false" hidden="true" name="Med_paid_amt_med_rx_prior" vbProcedure="false">#REF!</definedName>
    <definedName function="false" hidden="true" name="Med_paid_amt_med_visits_curr" vbProcedure="false">#REF!</definedName>
    <definedName function="false" hidden="true" name="Med_paid_amt_med_visits_prior" vbProcedure="false">#REF!</definedName>
    <definedName function="false" hidden="true" name="Med_paid_amt_mental_health_curr" vbProcedure="false">#REF!</definedName>
    <definedName function="false" hidden="true" name="Med_paid_amt_mental_health_prior" vbProcedure="false">#REF!</definedName>
    <definedName function="false" hidden="true" name="Med_paid_amt_misc_med_curr" vbProcedure="false">#REF!</definedName>
    <definedName function="false" hidden="true" name="Med_paid_amt_misc_med_prior" vbProcedure="false">#REF!</definedName>
    <definedName function="false" hidden="true" name="Med_paid_amt_office_surgeries_curr" vbProcedure="false">#REF!</definedName>
    <definedName function="false" hidden="true" name="Med_paid_amt_office_surgeries_prior" vbProcedure="false">#REF!</definedName>
    <definedName function="false" hidden="true" name="Med_paid_amt_prim_off_visits_curr" vbProcedure="false">#REF!</definedName>
    <definedName function="false" hidden="true" name="Med_paid_amt_prim_off_visits_prior" vbProcedure="false">#REF!</definedName>
    <definedName function="false" hidden="true" name="Med_paid_amt_prior" vbProcedure="false">#REF!</definedName>
    <definedName function="false" hidden="true" name="Med_paid_amt_rad_serv_curr" vbProcedure="false">#REF!</definedName>
    <definedName function="false" hidden="true" name="Med_paid_amt_rad_serv_prior" vbProcedure="false">#REF!</definedName>
    <definedName function="false" hidden="true" name="Med_paid_amt_spec_office_visits_curr" vbProcedure="false">#REF!</definedName>
    <definedName function="false" hidden="true" name="Med_paid_amt_spec_office_visits_prior" vbProcedure="false">#REF!</definedName>
    <definedName function="false" hidden="true" name="Med_paid_amt_unknown_0_19_curr" vbProcedure="false">#REF!</definedName>
    <definedName function="false" hidden="true" name="Med_paid_amt_unknown_0_19_prior" vbProcedure="false">#REF!</definedName>
    <definedName function="false" hidden="true" name="Med_paid_amt_unknown_20_44_curr" vbProcedure="false">#REF!</definedName>
    <definedName function="false" hidden="true" name="Med_paid_amt_unknown_20_44_prior" vbProcedure="false">#REF!</definedName>
    <definedName function="false" hidden="true" name="Med_paid_amt_unknown_45_64_curr" vbProcedure="false">#REF!</definedName>
    <definedName function="false" hidden="true" name="Med_paid_amt_unknown_45_64_prior" vbProcedure="false">#REF!</definedName>
    <definedName function="false" hidden="true" name="Med_paid_amt_unknown_65_over_curr" vbProcedure="false">#REF!</definedName>
    <definedName function="false" hidden="true" name="Med_paid_amt_unknown_65_over_prior" vbProcedure="false">#REF!</definedName>
    <definedName function="false" hidden="true" name="Med_paid_encounter_lab_rad_curr" vbProcedure="false">#REF!</definedName>
    <definedName function="false" hidden="true" name="Med_paid_encounter_lab_rad_prior" vbProcedure="false">#REF!</definedName>
    <definedName function="false" hidden="true" name="Med_paid_encounter_other_curr" vbProcedure="false">#REF!</definedName>
    <definedName function="false" hidden="true" name="Med_paid_encounter_other_prior" vbProcedure="false">#REF!</definedName>
    <definedName function="false" hidden="true" name="Med_paid_encounter_prim_phys_curr" vbProcedure="false">#REF!</definedName>
    <definedName function="false" hidden="true" name="Med_paid_encounter_prim_phys_prior" vbProcedure="false">#REF!</definedName>
    <definedName function="false" hidden="true" name="Med_paid_encounter_spec_phys_curr" vbProcedure="false">#REF!</definedName>
    <definedName function="false" hidden="true" name="Med_paid_encounter_spec_phys_prior" vbProcedure="false">#REF!</definedName>
    <definedName function="false" hidden="true" name="Med_paid_other_curr" vbProcedure="false">#REF!</definedName>
    <definedName function="false" hidden="true" name="Med_paid_other_prior" vbProcedure="false">#REF!</definedName>
    <definedName function="false" hidden="true" name="Med_par_admit_count_curr" vbProcedure="false">#REF!</definedName>
    <definedName function="false" hidden="true" name="Med_par_admit_count_prior" vbProcedure="false">#REF!</definedName>
    <definedName function="false" hidden="true" name="Med_par_paid_amt_curr" vbProcedure="false">#REF!</definedName>
    <definedName function="false" hidden="true" name="Med_par_paid_amt_prior" vbProcedure="false">#REF!</definedName>
    <definedName function="false" hidden="true" name="Med_par_phys_office_visits_count_curr" vbProcedure="false">#REF!</definedName>
    <definedName function="false" hidden="true" name="Med_par_phys_office_visits_count_prior" vbProcedure="false">#REF!</definedName>
    <definedName function="false" hidden="true" name="Med_phys_discount_admin_savings_amt_curr" vbProcedure="false">#REF!</definedName>
    <definedName function="false" hidden="true" name="Med_phys_discount_admin_savings_amt_prior" vbProcedure="false">#REF!</definedName>
    <definedName function="false" hidden="true" name="Med_phys_discount_billed_amt_curr" vbProcedure="false">#REF!</definedName>
    <definedName function="false" hidden="true" name="Med_phys_discount_billed_amt_prior" vbProcedure="false">#REF!</definedName>
    <definedName function="false" hidden="true" name="Med_phys_office_visits_count_curr" vbProcedure="false">#REF!</definedName>
    <definedName function="false" hidden="true" name="Med_phys_office_visits_count_prior" vbProcedure="false">#REF!</definedName>
    <definedName function="false" hidden="true" name="Med_phys_par_negot_savings_amt_curr" vbProcedure="false">#REF!</definedName>
    <definedName function="false" hidden="true" name="Med_phys_par_negot_savings_amt_prior" vbProcedure="false">#REF!</definedName>
    <definedName function="false" hidden="true" name="Med_phys_par_r_c_savings_amt_curr" vbProcedure="false">#REF!</definedName>
    <definedName function="false" hidden="true" name="Med_phys_par_r_c_savings_amt_prior" vbProcedure="false">#REF!</definedName>
    <definedName function="false" hidden="true" name="Med_surgery_count_curr" vbProcedure="false">#REF!</definedName>
    <definedName function="false" hidden="true" name="Med_surgery_count_prior" vbProcedure="false">#REF!</definedName>
    <definedName function="false" hidden="true" name="Med_total_billed_network_curr" vbProcedure="false">#REF!</definedName>
    <definedName function="false" hidden="true" name="Med_total_billed_network_prior" vbProcedure="false">#REF!</definedName>
    <definedName function="false" hidden="true" name="Med_total_network_discount_curr" vbProcedure="false">#REF!</definedName>
    <definedName function="false" hidden="true" name="Med_total_network_discount_prior" vbProcedure="false">#REF!</definedName>
    <definedName function="false" hidden="true" name="Med_total_par_negot_savings_amt_curr" vbProcedure="false">#REF!</definedName>
    <definedName function="false" hidden="true" name="Med_total_par_negot_savings_amt_prior" vbProcedure="false">#REF!</definedName>
    <definedName function="false" hidden="true" name="Med_total_par_r_c_savings_amt_curr" vbProcedure="false">#REF!</definedName>
    <definedName function="false" hidden="true" name="Med_total_par_r_c_savings_amt_prior" vbProcedure="false">#REF!</definedName>
    <definedName function="false" hidden="true" name="Med_unknown_members_curr" vbProcedure="false">#REF!</definedName>
    <definedName function="false" hidden="true" name="Med_unknown_members_prior" vbProcedure="false">#REF!</definedName>
    <definedName function="false" hidden="true" name="Med_unknown_mem_0_19_curr" vbProcedure="false">#REF!</definedName>
    <definedName function="false" hidden="true" name="Med_unknown_mem_0_19_prior" vbProcedure="false">#REF!</definedName>
    <definedName function="false" hidden="true" name="Med_unknown_mem_20_44_curr" vbProcedure="false">#REF!</definedName>
    <definedName function="false" hidden="true" name="Med_unknown_mem_20_44_prior" vbProcedure="false">#REF!</definedName>
    <definedName function="false" hidden="true" name="Med_unknown_mem_45_64_curr" vbProcedure="false">#REF!</definedName>
    <definedName function="false" hidden="true" name="Med_unknown_mem_45_64_prior" vbProcedure="false">#REF!</definedName>
    <definedName function="false" hidden="true" name="Med_unknown_mem_65_over_curr" vbProcedure="false">#REF!</definedName>
    <definedName function="false" hidden="true" name="Med_unknown_mem_65_over_prior" vbProcedure="false">#REF!</definedName>
    <definedName function="false" hidden="false" name="MEMBERSLY" vbProcedure="false">#REF!</definedName>
    <definedName function="false" hidden="false" name="MEMBERSTY" vbProcedure="false">#REF!</definedName>
    <definedName function="false" hidden="false" name="mergbegdealyear" vbProcedure="false">#REF!</definedName>
    <definedName function="false" hidden="false" name="mergclosedate" vbProcedure="false">#REF!</definedName>
    <definedName function="false" hidden="false" name="mergdealyear" vbProcedure="false">#REF!</definedName>
    <definedName function="false" hidden="false" name="Merge2vu.prt3"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MergeBegDealYear" vbProcedure="false">#REF!</definedName>
    <definedName function="false" hidden="false" name="Mergeclosedate" vbProcedure="false">#REF!</definedName>
    <definedName function="false" hidden="true" name="Mergecommonstart" vbProcedure="false">#REF!</definedName>
    <definedName function="false" hidden="true" name="MergeDATA_01" vbProcedure="false">#REF!</definedName>
    <definedName function="false" hidden="false" name="Mergeddd" vbProcedure="false">{"histincome",#N/A,FALSE,"hyfins";"closing balance",#N/A,FALSE,"hyfins"}</definedName>
    <definedName function="false" hidden="false" name="MergeDealYear" vbProcedure="false">#REF!</definedName>
    <definedName function="false" hidden="false" name="Mergedsfadsf" vbProcedure="false">{"histincome",#N/A,FALSE,"hyfins";"closing balance",#N/A,FALSE,"hyfins"}</definedName>
    <definedName function="false" hidden="false" name="MergeendDealYear" vbProcedure="false">#REF!</definedName>
    <definedName function="false" hidden="false" name="MergeExitDate" vbProcedure="false">#REF!</definedName>
    <definedName function="false" hidden="false" name="MergeExitMultiple" vbProcedure="false">#REF!</definedName>
    <definedName function="false" hidden="false" name="MergeExitYear" vbProcedure="false">#REF!</definedName>
    <definedName function="false" hidden="false" name="MergeFYE" vbProcedure="false">#REF!</definedName>
    <definedName function="false" hidden="false" name="MergeHemorrhage" vbProcedure="false">{"mgmt forecast",#N/A,FALSE,"Mgmt Forecast";"dcf table",#N/A,FALSE,"Mgmt Forecast";"sensitivity",#N/A,FALSE,"Mgmt Forecast";"table inputs",#N/A,FALSE,"Mgmt Forecast";"calculations",#N/A,FALSE,"Mgmt Forecast"}</definedName>
    <definedName function="false" hidden="false" name="Mergehhh9" vbProcedure="false">{#N/A,#N/A,FALSE,"MAY";#N/A,#N/A,FALSE,"Q2";#N/A,#N/A,FALSE,"YTD"}</definedName>
    <definedName function="false" hidden="false" name="Mergehhhh" vbProcedure="false">{#N/A,#N/A,FALSE,"MAY";#N/A,#N/A,FALSE,"Q2";#N/A,#N/A,FALSE,"YTD"}</definedName>
    <definedName function="false" hidden="false" name="Mergehhhh1" vbProcedure="false">{#N/A,#N/A,FALSE,"MAY";#N/A,#N/A,FALSE,"Q2";#N/A,#N/A,FALSE,"YTD"}</definedName>
    <definedName function="false" hidden="false" name="Mergehhhh7000" vbProcedure="false">{#N/A,#N/A,FALSE,"MAY";#N/A,#N/A,FALSE,"Q2";#N/A,#N/A,FALSE,"YTD"}</definedName>
    <definedName function="false" hidden="false" name="MergeHTML_Control" vbProcedure="false">{"'Sheet1'!$A$1:$L$21"}</definedName>
    <definedName function="false" hidden="false" name="MergeInvestmentDertails" vbProcedure="false">#REF!</definedName>
    <definedName function="false" hidden="false" name="MergeIsDetal" vbProcedure="false">#REF!</definedName>
    <definedName function="false" hidden="false" name="Mergeklk"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Mergelkjkj" vbProcedure="false">{"Final",#N/A,FALSE,"Feb-96"}</definedName>
    <definedName function="false" hidden="false" name="mergenddealyear" vbProcedure="false">#REF!</definedName>
    <definedName function="false" hidden="false" name="Mergenewname7000" vbProcedure="false">{#N/A,#N/A,FALSE,"MAY";#N/A,#N/A,FALSE,"Q2";#N/A,#N/A,FALSE,"YTD"}</definedName>
    <definedName function="false" hidden="false" name="Mergenewname9" vbProcedure="false">{#N/A,#N/A,FALSE,"MAY";#N/A,#N/A,FALSE,"Q2";#N/A,#N/A,FALSE,"YTD"}</definedName>
    <definedName function="false" hidden="false" name="Mergeo" vbProcedure="false">{#N/A,#N/A,FALSE,"New Depr Sch-150% DB";#N/A,#N/A,FALSE,"Cash Flows RLP";#N/A,#N/A,FALSE,"IRR";#N/A,#N/A,FALSE,"Proforma IS";#N/A,#N/A,FALSE,"Assumptions"}</definedName>
    <definedName function="false" hidden="false" name="MergeScenario" vbProcedure="false">#REF!</definedName>
    <definedName function="false" hidden="false" name="Mergeshdhd"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MergeTaxRate" vbProcedure="false">#REF!</definedName>
    <definedName function="false" hidden="false" name="Mergeuuu11" vbProcedure="false">{#N/A,#N/A,FALSE,"MAY";#N/A,#N/A,FALSE,"Q2";#N/A,#N/A,FALSE,"YTD"}</definedName>
    <definedName function="false" hidden="false" name="Mergeuuuu" vbProcedure="false">{#N/A,#N/A,FALSE,"MAY";#N/A,#N/A,FALSE,"Q2";#N/A,#N/A,FALSE,"YTD"}</definedName>
    <definedName function="false" hidden="false" name="Mergeuuuu1" vbProcedure="false">{#N/A,#N/A,FALSE,"MAY";#N/A,#N/A,FALSE,"Q2";#N/A,#N/A,FALSE,"YTD"}</definedName>
    <definedName function="false" hidden="false" name="Mergeuuuu9" vbProcedure="false">{#N/A,#N/A,FALSE,"MAY";#N/A,#N/A,FALSE,"Q2";#N/A,#N/A,FALSE,"YTD"}</definedName>
    <definedName function="false" hidden="false" name="Mergewhat"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Mergewrn.Aging._.and._.Trend._.Analysis" vbProcedure="false">{#N/A,#N/A,FALSE,"Aging Summary";#N/A,#N/A,FALSE,"Ratio Analysis";#N/A,#N/A,FALSE,"Test 120 Day Accts";#N/A,#N/A,FALSE,"Tickmarks"}</definedName>
    <definedName function="false" hidden="false" name="Mergewrn.Basic.Report" vbProcedure="false">{#N/A,#N/A,FALSE,"New Depr Sch-150% DB";#N/A,#N/A,FALSE,"Cash Flows RLP";#N/A,#N/A,FALSE,"IRR";#N/A,#N/A,FALSE,"Proforma IS";#N/A,#N/A,FALSE,"Assumptions"}</definedName>
    <definedName function="false" hidden="false" name="Merg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Mergewrn.columbus" vbProcedure="false">{"IS_plan vs Act",#N/A,FALSE,"IS_Plan-Act";"is_curr&amp;YTD",#N/A,FALSE,"IS_Plan-Act";"is_last5mos",#N/A,FALSE,"IS_Plan-Act";"is_vsYTD_RR",#N/A,FALSE,"IS_Plan-Act";"bs",#N/A,FALSE,"IS_Plan-Act";"bs_last5mos",#N/A,FALSE,"IS_Plan-Act";"cf",#N/A,FALSE,"IS_Plan-Act"}</definedName>
    <definedName function="false" hidden="false" name="Mergewrn.Complete._.Report." vbProcedure="false">{#N/A,#N/A,FALSE,"Assumptions";#N/A,#N/A,FALSE,"Proforma IS";#N/A,#N/A,FALSE,"Cash Flows RLP";#N/A,#N/A,FALSE,"IRR";#N/A,#N/A,FALSE,"New Depr Sch-150% DB";#N/A,#N/A,FALSE,"Comments"}</definedName>
    <definedName function="false" hidden="false" name="Mergewrn.consolidated." vbProcedure="false">{"IS_planvsActual",#N/A,FALSE,"IS_Plan-Act";"IS_curr&amp;YTD",#N/A,FALSE,"IS";"BS_curr&amp;lastmo",#N/A,FALSE,"BS";"bs 4 qtrs",#N/A,FALSE,"BS";"cf",#N/A,FALSE,"CF"}</definedName>
    <definedName function="false" hidden="false" name="Mergewrn.dcf." vbProcedure="false">{"mgmt forecast",#N/A,FALSE,"Mgmt Forecast";"dcf table",#N/A,FALSE,"Mgmt Forecast";"sensitivity",#N/A,FALSE,"Mgmt Forecast";"table inputs",#N/A,FALSE,"Mgmt Forecast";"calculations",#N/A,FALSE,"Mgmt Forecast"}</definedName>
    <definedName function="false" hidden="false" name="Mergewrn.dcf2." vbProcedure="false">{"mgmt forecast",#N/A,FALSE,"Mgmt Forecast";"dcf table",#N/A,FALSE,"Mgmt Forecast";"sensitivity",#N/A,FALSE,"Mgmt Forecast";"table inputs",#N/A,FALSE,"Mgmt Forecast";"calculations",#N/A,FALSE,"Mgmt Forecast"}</definedName>
    <definedName function="false" hidden="false" name="Mergewrn.Draft." vbProcedure="false">{"Draft",#N/A,FALSE,"Feb-96"}</definedName>
    <definedName function="false" hidden="false" name="Merg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Mergewrn.Final." vbProcedure="false">{"Final",#N/A,FALSE,"Feb-96"}</definedName>
    <definedName function="false" hidden="false" name="Merg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Mergewrn.FY97SBP." vbProcedure="false">{#N/A,#N/A,FALSE,"FY97";#N/A,#N/A,FALSE,"FY98";#N/A,#N/A,FALSE,"FY99";#N/A,#N/A,FALSE,"FY00";#N/A,#N/A,FALSE,"FY01"}</definedName>
    <definedName function="false" hidden="false" name="Mergewrn.may959" vbProcedure="false">{#N/A,#N/A,FALSE,"MAY";#N/A,#N/A,FALSE,"Q2";#N/A,#N/A,FALSE,"YTD"}</definedName>
    <definedName function="false" hidden="false" name="Mergewrn.MAY95\" vbProcedure="false">{#N/A,#N/A,FALSE,"MAY";#N/A,#N/A,FALSE,"Q2";#N/A,#N/A,FALSE,"YTD"}</definedName>
    <definedName function="false" hidden="false" name="Mergewrn.phoenix." vbProcedure="false">{"is_plan vs Act",#N/A,FALSE,"IS_Plan-Act";"is_curr&amp;YTD",#N/A,FALSE,"IS_Plan-Act";"is_last5mos",#N/A,FALSE,"IS_Plan-Act";"is_vsYTD_RR",#N/A,FALSE,"IS_Plan-Act";"bs",#N/A,FALSE,"IS_Plan-Act";"bs_last5mos",#N/A,FALSE,"IS_Plan-Act";"cf",#N/A,FALSE,"IS_Plan-Act"}</definedName>
    <definedName function="false" hidden="false" name="Mergewrn.print." vbProcedure="false">{#N/A,#N/A,FALSE,"Japan 2003";#N/A,#N/A,FALSE,"Sheet2"}</definedName>
    <definedName function="false" hidden="false" name="Mergewrn.Projections." vbProcedure="false">{"Volume",#N/A,FALSE,"volume";"revenue",#N/A,FALSE,"revenue"}</definedName>
    <definedName function="false" hidden="false" name="Mergewrn.Relevant" vbProcedure="false">{#N/A,#N/A,FALSE,"Title Page";#N/A,#N/A,FALSE,"Conclusions";#N/A,#N/A,FALSE,"Assum.";#N/A,#N/A,FALSE,"Sun  DCF-WC-Dep";#N/A,#N/A,FALSE,"MarketValue";#N/A,#N/A,FALSE,"BalSheet";#N/A,#N/A,FALSE,"WACC";#N/A,#N/A,FALSE,"PC+ Info.";#N/A,#N/A,FALSE,"PC+Info_2"}</definedName>
    <definedName function="false" hidden="false" name="Mergewrn.report." vbProcedure="false">{#N/A,#N/A,TRUE,"Mgmt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function="false" hidden="false" name="Mergewrn.Revs." vbProcedure="false">{"Base_rev",#N/A,FALSE,"Proj_IS_Base";"Projrev",#N/A,FALSE,"Proj_IS_wOTLC";"Delta",#N/A,FALSE,"Delta Rev_PV"}</definedName>
    <definedName function="false" hidden="false" name="Mergewrn.sum." vbProcedure="false">{"Opsys",#N/A,FALSE,"NPV_OPsys";"NT",#N/A,FALSE,"NPV_NT";"DevP",#N/A,FALSE,"NPV_DevPdt";"Office",#N/A,FALSE,"NPV_Office"}</definedName>
    <definedName function="false" hidden="false" name="Mergewrn.test." vbProcedure="false">{#N/A,#N/A,TRUE,"stops- rsrvs";#N/A,#N/A,TRUE,"P&amp;L phoenix";#N/A,#N/A,TRUE,"BS phoenix";#N/A,#N/A,TRUE,"P&amp;L columbus";#N/A,#N/A,TRUE,"BS columbus"}</definedName>
    <definedName function="false" hidden="false" name="Mergewrn.upstairs." vbProcedure="false">{"histincome",#N/A,FALSE,"hyfins";"closing balance",#N/A,FALSE,"hyfins"}</definedName>
    <definedName function="false" hidden="false" name="Mergewvu.ALL."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Merge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Merge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Mergewvu.all3"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Mergewvu.PRT."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Mergewvu.prt.2"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Mergewvu.prt.3"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Mergewvu.prt2"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Mergeww.Rele" vbProcedure="false">{#N/A,#N/A,FALSE,"Title Page";#N/A,#N/A,FALSE,"Conclusions";#N/A,#N/A,FALSE,"Assum.";#N/A,#N/A,FALSE,"Sun  DCF-WC-Dep";#N/A,#N/A,FALSE,"MarketValue";#N/A,#N/A,FALSE,"BalSheet";#N/A,#N/A,FALSE,"WACC";#N/A,#N/A,FALSE,"PC+ Info.";#N/A,#N/A,FALSE,"PC+Info_2"}</definedName>
    <definedName function="false" hidden="false" name="Mergew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Mergex" vbProcedure="false">{#N/A,#N/A,FALSE,"FY97";#N/A,#N/A,FALSE,"FY98";#N/A,#N/A,FALSE,"FY99";#N/A,#N/A,FALSE,"FY00";#N/A,#N/A,FALSE,"FY01"}</definedName>
    <definedName function="false" hidden="false" name="mergexitdate" vbProcedure="false">#REF!</definedName>
    <definedName function="false" hidden="false" name="mergexitmult" vbProcedure="false">#REF!</definedName>
    <definedName function="false" hidden="false" name="mergexityear" vbProcedure="false">#REF!</definedName>
    <definedName function="false" hidden="false" name="Mergexys" vbProcedure="false">{#N/A,#N/A,FALSE,"Title Page";#N/A,#N/A,FALSE,"Conclusions";#N/A,#N/A,FALSE,"Assum.";#N/A,#N/A,FALSE,"Sun  DCF-WC-Dep";#N/A,#N/A,FALSE,"MarketValue";#N/A,#N/A,FALSE,"BalSheet";#N/A,#N/A,FALSE,"WACC";#N/A,#N/A,FALSE,"PC+ Info.";#N/A,#N/A,FALSE,"PC+Info_2"}</definedName>
    <definedName function="false" hidden="false" name="MergeYearFraction" vbProcedure="false">#REF!</definedName>
    <definedName function="false" hidden="false" name="Mergezzz.com" vbProcedure="false">{#N/A,#N/A,FALSE,"Title Page";#N/A,#N/A,FALSE,"Conclusions";#N/A,#N/A,FALSE,"Assum.";#N/A,#N/A,FALSE,"Sun  DCF-WC-Dep";#N/A,#N/A,FALSE,"MarketValue";#N/A,#N/A,FALSE,"BalSheet";#N/A,#N/A,FALSE,"WACC";#N/A,#N/A,FALSE,"PC+ Info.";#N/A,#N/A,FALSE,"PC+Info_2"}</definedName>
    <definedName function="false" hidden="false" name="Merge_BegDealYear" vbProcedure="false">#REF!</definedName>
    <definedName function="false" hidden="false" name="Merge_CapStructure" vbProcedure="false">#REF!</definedName>
    <definedName function="false" hidden="false" name="Merge_CIRC" vbProcedure="false">#REF!</definedName>
    <definedName function="false" hidden="false" name="Merge_CloseDate" vbProcedure="false">#REF!</definedName>
    <definedName function="false" hidden="false" name="Merge_DealYear" vbProcedure="false">#REF!</definedName>
    <definedName function="false" hidden="false" name="Merge_EndDealYear" vbProcedure="false">#REF!</definedName>
    <definedName function="false" hidden="false" name="Merge_ExitDate" vbProcedure="false">#REF!</definedName>
    <definedName function="false" hidden="false" name="Merge_ExitMultiple" vbProcedure="false">#REF!</definedName>
    <definedName function="false" hidden="false" name="Merge_ExitYear" vbProcedure="false">#REF!</definedName>
    <definedName function="false" hidden="false" name="Merge_FundCarryRate" vbProcedure="false">#REF!</definedName>
    <definedName function="false" hidden="false" name="Merge_FundName" vbProcedure="false">#REF!</definedName>
    <definedName function="false" hidden="false" name="Merge_FYE" vbProcedure="false">#REF!</definedName>
    <definedName function="false" hidden="false" name="Merge_hhh9" vbProcedure="false">{#N/A,#N/A,FALSE,"MAY";#N/A,#N/A,FALSE,"Q2";#N/A,#N/A,FALSE,"YTD"}</definedName>
    <definedName function="false" hidden="true" name="Merge_IQ_NAMES_REVISION_DATE_" vbProcedure="false">41569.7897222222</definedName>
    <definedName function="false" hidden="false" name="Merge_ISDetail" vbProcedure="false">#REF!</definedName>
    <definedName function="false" hidden="false" name="Merge_PreCloseMonths" vbProcedure="false">#REF!</definedName>
    <definedName function="false" hidden="false" name="Merge_PrintVersion" vbProcedure="false">#REF!</definedName>
    <definedName function="false" hidden="false" name="Merge_QuarterClose" vbProcedure="false">#REF!</definedName>
    <definedName function="false" hidden="false" name="Merge_QuarterExit" vbProcedure="false">#REF!</definedName>
    <definedName function="false" hidden="false" name="Merge_Scenario" vbProcedure="false">#REF!</definedName>
    <definedName function="false" hidden="false" name="Merge_TaxRate" vbProcedure="false">#REF!</definedName>
    <definedName function="false" hidden="false" name="Merge_uuu11" vbProcedure="false">{#N/A,#N/A,FALSE,"MAY";#N/A,#N/A,FALSE,"Q2";#N/A,#N/A,FALSE,"YTD"}</definedName>
    <definedName function="false" hidden="false" name="Merge_YearFraction" vbProcedure="false">#REF!</definedName>
    <definedName function="false" hidden="false" name="Merge__hhh9" vbProcedure="false">{#N/A,#N/A,FALSE,"MAY";#N/A,#N/A,FALSE,"Q2";#N/A,#N/A,FALSE,"YTD"}</definedName>
    <definedName function="false" hidden="false" name="Merge__uuu11" vbProcedure="false">{#N/A,#N/A,FALSE,"MAY";#N/A,#N/A,FALSE,"Q2";#N/A,#N/A,FALSE,"YTD"}</definedName>
    <definedName function="false" hidden="false" name="Merge___hhh9" vbProcedure="false">{#N/A,#N/A,FALSE,"MAY";#N/A,#N/A,FALSE,"Q2";#N/A,#N/A,FALSE,"YTD"}</definedName>
    <definedName function="false" hidden="false" name="Merge___uuu11" vbProcedure="false">{#N/A,#N/A,FALSE,"MAY";#N/A,#N/A,FALSE,"Q2";#N/A,#N/A,FALSE,"YTD"}</definedName>
    <definedName function="false" hidden="false" name="mergfye" vbProcedure="false">#REF!</definedName>
    <definedName function="false" hidden="false" name="mergscenario" vbProcedure="false">#REF!</definedName>
    <definedName function="false" hidden="false" name="mergtaxrate" vbProcedure="false">#REF!</definedName>
    <definedName function="false" hidden="false" name="mergyearfraction" vbProcedure="false">#REF!</definedName>
    <definedName function="false" hidden="true" name="MerrillPrintIt" vbProcedure="false">#REF!</definedName>
    <definedName function="false" hidden="false" name="method_descript" vbProcedure="false">#REF!</definedName>
    <definedName function="false" hidden="false" name="MgrW" vbProcedure="false">#REF!</definedName>
    <definedName function="false" hidden="true" name="micio" vbProcedure="false">{"FY98Q1",#N/A,FALSE,"FY98 - Q1";"FY98Q2",#N/A,FALSE,"FY98 - Q2";"FY98Q3",#N/A,FALSE,"FY98 - Q3";"FY98Q4",#N/A,FALSE,"FY98 - Q4"}</definedName>
    <definedName function="false" hidden="true" name="min" vbProcedure="false">{#N/A,#N/A,FALSE,"REPORT"}</definedName>
    <definedName function="false" hidden="true" name="mina" vbProcedure="false">{#N/A,#N/A,FALSE,"REPORT"}</definedName>
    <definedName function="false" hidden="false" name="minadj" vbProcedure="false">#REF!</definedName>
    <definedName function="false" hidden="false" name="minadj2" vbProcedure="false">#REF!</definedName>
    <definedName function="false" hidden="true" name="mingming" vbProcedure="false">{"UM Visits",#N/A,FALSE,"Unmanaged";"UM Dollars per Hour",#N/A,FALSE,"Unmanaged";"UM Hours per Visit",#N/A,FALSE,"Unmanaged";"UM Dollars per Visit",#N/A,FALSE,"Unmanaged";"UM Total Visits",#N/A,FALSE,"Unmanaged";"UM PMPM",#N/A,FALSE,"Unmanaged"}</definedName>
    <definedName function="false" hidden="false" name="minorityintyes" vbProcedure="false">#REF!</definedName>
    <definedName function="false" hidden="true" name="mirto" vbProcedure="false">{"FY97Total var",#N/A,FALSE,"FY97 - Total";"FY98Total var",#N/A,FALSE,"FY98 - Total"}</definedName>
    <definedName function="false" hidden="false" name="mj" vbProcedure="false">{#N/A,#N/A,FALSE,"FY97";#N/A,#N/A,FALSE,"FY98";#N/A,#N/A,FALSE,"FY99";#N/A,#N/A,FALSE,"FY00";#N/A,#N/A,FALSE,"FY01"}</definedName>
    <definedName function="false" hidden="true" name="mkkm" vbProcedure="false">{#N/A,#N/A,FALSE,"AE detail rpt"}</definedName>
    <definedName function="false" hidden="false" name="mktdisc" vbProcedure="false">#REF!</definedName>
    <definedName function="false" hidden="false" name="mktdisc2" vbProcedure="false">#REF!</definedName>
    <definedName function="false" hidden="false" name="mktformat" vbProcedure="false">#REF!</definedName>
    <definedName function="false" hidden="false" name="mktformat2" vbProcedure="false">#REF!</definedName>
    <definedName function="false" hidden="true" name="mlw" vbProcedure="false">{#N/A,#N/A,FALSE,"Pharm";#N/A,#N/A,FALSE,"WWCM"}</definedName>
    <definedName function="false" hidden="false" name="MM" vbProcedure="false">#REF!</definedName>
    <definedName function="false" hidden="tru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true" name="mmm" vbProcedure="false">{"Analysis1Q95",#N/A,FALSE,"Japan";"Analysis2Q95",#N/A,FALSE,"Japan";"Analysis1H95",#N/A,FALSE,"Japan";"Data",#N/A,FALSE,"Japan";"Margin Summary",#N/A,FALSE,"Japan";"Sales Summary",#N/A,FALSE,"Japan"}</definedName>
    <definedName function="false" hidden="false" name="mmmmm" vbProcedure="false">{#N/A,#N/A,FALSE,"Calc";#N/A,#N/A,FALSE,"Sensitivity";#N/A,#N/A,FALSE,"LT Earn.Dil.";#N/A,#N/A,FALSE,"Dil. AVP"}</definedName>
    <definedName function="false" hidden="true" name="mn" vbProcedure="false">{#N/A,#N/A,FALSE,"AE detail rpt"}</definedName>
    <definedName function="false" hidden="true" name="model" vbProcedure="false">{#N/A,#N/A,FALSE,"Model"}</definedName>
    <definedName function="false" hidden="true" name="mod_claims_curr" vbProcedure="false">#REF!</definedName>
    <definedName function="false" hidden="true" name="mod_claims_prior" vbProcedure="false">#REF!</definedName>
    <definedName function="false" hidden="true" name="mod_copay_amt_curr" vbProcedure="false">#REF!</definedName>
    <definedName function="false" hidden="true" name="mod_copay_amt_prior" vbProcedure="false">#REF!</definedName>
    <definedName function="false" hidden="true" name="mod_paid_amt_curr" vbProcedure="false">#REF!</definedName>
    <definedName function="false" hidden="true" name="mod_paid_amt_prior" vbProcedure="false">#REF!</definedName>
    <definedName function="false" hidden="true" name="mod_plan_paid_amt_curr" vbProcedure="false">#REF!</definedName>
    <definedName function="false" hidden="true" name="mod_plan_paid_amt_prior" vbProcedure="false">#REF!</definedName>
    <definedName function="false" hidden="false" name="MonitorRow" vbProcedure="false">1</definedName>
    <definedName function="false" hidden="false" name="Month" vbProcedure="false">#REF!</definedName>
    <definedName function="false" hidden="false" name="MonthReport" vbProcedure="false">#REF!</definedName>
    <definedName function="false" hidden="false" name="MONTHS" vbProcedure="false">#REF!</definedName>
    <definedName function="false" hidden="false" name="Month_Columns" vbProcedure="false">#REF!</definedName>
    <definedName function="false" hidden="true" name="morto" vbProcedure="false">{"FY98Q1 var",#N/A,FALSE,"FY98 - Q1";"FY98Q2 var",#N/A,FALSE,"FY98 - Q2";"FY98Q3 var",#N/A,FALSE,"FY98 - Q3";"FY98Q4 var",#N/A,FALSE,"FY98 - Q4"}</definedName>
    <definedName function="false" hidden="false" name="MRG2" vbProcedure="false">{"INCOME",#N/A,FALSE,"ProNet";"VALUE",#N/A,FALSE,"ProNet"}</definedName>
    <definedName function="false" hidden="false" name="mrsprint" vbProcedure="false">OFFSET(#REF!,0,0,COUNTA(#REF!),52)</definedName>
    <definedName function="false" hidden="false" name="MSTR.6_6_Financials" vbProcedure="false">#REF!</definedName>
    <definedName function="false" hidden="true" name="multcash1" vbProcedure="false">#REF!</definedName>
    <definedName function="false" hidden="true" name="multcash2" vbProcedure="false">#REF!</definedName>
    <definedName function="false" hidden="false" name="multformrow" vbProcedure="false">#REF!</definedName>
    <definedName function="false" hidden="true" name="multformrow2" vbProcedure="false">#REF!</definedName>
    <definedName function="false" hidden="true" name="multisource_util_curr" vbProcedure="false">#REF!</definedName>
    <definedName function="false" hidden="true" name="multisource_util_prior" vbProcedure="false">#REF!</definedName>
    <definedName function="false" hidden="false" name="multtable" vbProcedure="false">#REF!</definedName>
    <definedName function="false" hidden="false" name="mvicebitda_col" vbProcedure="false">#REF!</definedName>
    <definedName function="false" hidden="false" name="mvicebit_col" vbProcedure="false">#REF!</definedName>
    <definedName function="false" hidden="false" name="mvicprojebitda_col" vbProcedure="false">#REF!</definedName>
    <definedName function="false" hidden="false" name="mvicrev_col" vbProcedure="false">#REF!</definedName>
    <definedName function="false" hidden="true" name="mw" vbProcedure="false">{#N/A,#N/A,FALSE,"Pharm";#N/A,#N/A,FALSE,"WWCM"}</definedName>
    <definedName function="false" hidden="true" name="M_PlaceofPath" vbProcedure="false">"\\snyceqt0301\vdf$\tmp\blabla"</definedName>
    <definedName function="false" hidden="true" name="N" vbProcedure="false">{#N/A,#N/A,FALSE,"Adj Proj";#N/A,#N/A,FALSE,"Sheet1";#N/A,#N/A,FALSE,"LBO";#N/A,#N/A,FALSE,"LBOMER";#N/A,#N/A,FALSE,"WACC";#N/A,#N/A,FALSE,"DCF";#N/A,#N/A,FALSE,"DCFMER";#N/A,#N/A,FALSE,"Pooling";#N/A,#N/A,FALSE,"income";#N/A,#N/A,FALSE,"Offer"}</definedName>
    <definedName function="false" hidden="true" name="na" vbProcedure="false">{"cash",#N/A,FALSE,"Aero V prior";"cash",#N/A,FALSE,"Eng V Prior";"cash",#N/A,FALSE,"AES V Prior";"cash",#N/A,FALSE,"ES V Prior";"cash",#N/A,FALSE,"CAS V Prior";"cash",#N/A,FALSE,"ATSC V Prior";"cash",#N/A,FALSE,"FMT V Prior";"cash",#N/A,FALSE,"Aero Other V Prior";"cash",#N/A,FALSE,"Judge V Prior"}</definedName>
    <definedName function="false" hidden="false" name="Nada" vbProcedure="false">{"'Printed'!$A$1:$Z$48","'Printed'!$A$1"}</definedName>
    <definedName function="false" hidden="false" name="name" vbProcedure="false">#REF!</definedName>
    <definedName function="false" hidden="true" name="nanai" vbProcedure="false">{"FY97Tot nvs",#N/A,FALSE,"FY97 - Total";"FY98Tot nvs",#N/A,FALSE,"FY98 - Total"}</definedName>
    <definedName function="false" hidden="true" name="NANAO" vbProcedure="false">{"FY98Q1 var",#N/A,FALSE,"FY98 - Q1";"FY98Q2 var",#N/A,FALSE,"FY98 - Q2";"FY98Q3 var",#N/A,FALSE,"FY98 - Q3";"FY98Q4 var",#N/A,FALSE,"FY98 - Q4"}</definedName>
    <definedName function="false" hidden="true" name="NATALE" vbProcedure="false">{"FY98Q1 nvs",#N/A,FALSE,"FY98 - Q1";"FY98Q2 nvs",#N/A,FALSE,"FY98 - Q2";"FY98Q3 nvs",#N/A,FALSE,"FY98 - Q3";"FY98Q4 nvs",#N/A,FALSE,"FY98 - Q4"}</definedName>
    <definedName function="false" hidden="true" name="nemo" vbProcedure="false">{"FY98Q1",#N/A,FALSE,"FY98 - Q1";"FY98Q2",#N/A,FALSE,"FY98 - Q2";"FY98Q3",#N/A,FALSE,"FY98 - Q3";"FY98Q4",#N/A,FALSE,"FY98 - Q4"}</definedName>
    <definedName function="false" hidden="true" name="NEON" vbProcedure="false">{"FY98Q1 nvs",#N/A,FALSE,"FY98 - Q1";"FY98Q2 nvs",#N/A,FALSE,"FY98 - Q2";"FY98Q3 nvs",#N/A,FALSE,"FY98 - Q3";"FY98Q4 nvs",#N/A,FALSE,"FY98 - Q4"}</definedName>
    <definedName function="false" hidden="true" name="NERBAT" vbProcedure="false">{"FY98Q1 var",#N/A,FALSE,"FY98 - Q1";"FY98Q2 var",#N/A,FALSE,"FY98 - Q2";"FY98Q3 var",#N/A,FALSE,"FY98 - Q3";"FY98Q4 var",#N/A,FALSE,"FY98 - Q4"}</definedName>
    <definedName function="false" hidden="true" name="new" vbProcedure="false">{#N/A,#N/A,FALSE,"Approval2"}</definedName>
    <definedName function="false" hidden="true" name="Newcapexp" vbProcedure="false">#REF!</definedName>
    <definedName function="false" hidden="false" name="newco" vbProcedure="false">"NewCo"</definedName>
    <definedName function="false" hidden="false" name="newer" vbProcedure="false">#REF!</definedName>
    <definedName function="false" hidden="true" name="NewKey" vbProcedure="false">#REF!</definedName>
    <definedName function="false" hidden="true" name="NewKey2" vbProcedure="false">#REF!</definedName>
    <definedName function="false" hidden="false" name="NewMoRef" vbProcedure="false">#REF!</definedName>
    <definedName function="false" hidden="true" name="newname" vbProcedure="false">#REF!</definedName>
    <definedName function="false" hidden="false" name="newname7000" vbProcedure="false">{#N/A,#N/A,FALSE,"MAY";#N/A,#N/A,FALSE,"Q2";#N/A,#N/A,FALSE,"YTD"}</definedName>
    <definedName function="false" hidden="false" name="newname9" vbProcedure="false">{#N/A,#N/A,FALSE,"MAY";#N/A,#N/A,FALSE,"Q2";#N/A,#N/A,FALSE,"YTD"}</definedName>
    <definedName function="false" hidden="true" name="newnewnew" vbProcedure="false">{#N/A,#N/A,FALSE,"Pharm";#N/A,#N/A,FALSE,"WWCM"}</definedName>
    <definedName function="false" hidden="true" name="NewRange" vbProcedure="false">#REF!</definedName>
    <definedName function="false" hidden="true" name="Newsprint" vbProcedure="false">{#N/A,#N/A,FALSE,"C";#N/A,#N/A,FALSE,"D";#N/A,#N/A,FALSE,"D (2)";#N/A,#N/A,FALSE,"E";#N/A,#N/A,FALSE,"F";#N/A,#N/A,FALSE,"G";#N/A,#N/A,FALSE,"H";#N/A,#N/A,FALSE,"I";#N/A,#N/A,FALSE,"J";#N/A,#N/A,FALSE,"K";#N/A,#N/A,FALSE,"L";#N/A,#N/A,FALSE,"M";#N/A,#N/A,FALSE,"N";#N/A,#N/A,FALSE,"O";#N/A,#N/A,FALSE,"P";#N/A,#N/A,FALSE,"Q";#N/A,#N/A,FALSE,"R";#N/A,#N/A,FALSE,"R (2)";#N/A,#N/A,FALSE,"S";#N/A,#N/A,FALSE,"T";#N/A,#N/A,FALSE,"U";#N/A,#N/A,FALSE,"V";#N/A,#N/A,FALSE,"W";#N/A,#N/A,FALSE,"X";#N/A,#N/A,FALSE,"X (2)";#N/A,#N/A,FALSE,"X (3)";#N/A,#N/A,FALSE,"Y";#N/A,#N/A,FALSE,"Y (2)";#N/A,#N/A,FALSE,"Y (3)";#N/A,#N/A,FALSE,"Z";#N/A,#N/A,FALSE,"AA";#N/A,#N/A,FALSE,"AB";#N/A,#N/A,FALSE,"AC";#N/A,#N/A,FALSE,"AD";#N/A,#N/A,FALSE,"AE";#N/A,#N/A,FALSE,"AF";#N/A,#N/A,FALSE,"AG";#N/A,#N/A,FALSE,"AH";#N/A,#N/A,FALSE,"AI";#N/A,#N/A,FALSE,"AJ";#N/A,#N/A,FALSE,"AK";#N/A,#N/A,FALSE,"AL";#N/A,#N/A,FALSE,"AM";#N/A,#N/A,FALSE,"AN";#N/A,#N/A,FALSE,"AO";#N/A,#N/A,FALSE,"AP";#N/A,#N/A,FALSE,"AP (2)";#N/A,#N/A,FALSE,"AQ";#N/A,#N/A,FALSE,"AR";#N/A,#N/A,FALSE,"AS";#N/A,#N/A,FALSE,"AT";#N/A,#N/A,FALSE,"AU";#N/A,#N/A,FALSE,"AV";#N/A,#N/A,FALSE,"AW";#N/A,#N/A,FALSE,"AX";#N/A,#N/A,FALSE,"AY";#N/A,#N/A,FALSE,"AZ";#N/A,#N/A,FALSE,"BA"}</definedName>
    <definedName function="false" hidden="true" name="Newsprint.summary" vbProcedure="false">{#N/A,#N/A,FALSE,"Furnish";#N/A,#N/A,FALSE,"Labor Productivity";#N/A,#N/A,FALSE,"Producer";#N/A,#N/A,FALSE,"PM Productivity";#N/A,#N/A,FALSE,"Regions &amp; Delivered";#N/A,#N/A,FALSE,"Product &amp; Delivered";#N/A,#N/A,FALSE,"Delivered Cost";#N/A,#N/A,FALSE,"Cash Cost"}</definedName>
    <definedName function="false" hidden="false" name="nextcal" vbProcedure="false">#REF!</definedName>
    <definedName function="false" hidden="true" name="NIENTE" vbProcedure="false">{"FY98Q1",#N/A,FALSE,"FY98 - Q1";"FY98Q2",#N/A,FALSE,"FY98 - Q2";"FY98Q3",#N/A,FALSE,"FY98 - Q3";"FY98Q4",#N/A,FALSE,"FY98 - Q4"}</definedName>
    <definedName function="false" hidden="true" name="NIEVA" vbProcedure="false">{"FY97Tot nvs",#N/A,FALSE,"FY97 - Total";"FY98Tot nvs",#N/A,FALSE,"FY98 - Total"}</definedName>
    <definedName function="false" hidden="true" name="NOBILE" vbProcedure="false">{"FY97Tot nvs",#N/A,FALSE,"FY97 - Total";"FY98Tot nvs",#N/A,FALSE,"FY98 - Total"}</definedName>
    <definedName function="false" hidden="false" name="noidea" vbProcedure="false">{#N/A,#N/A,FALSE,"Calc";#N/A,#N/A,FALSE,"Sensitivity";#N/A,#N/A,FALSE,"LT Earn.Dil.";#N/A,#N/A,FALSE,"Dil. AVP"}</definedName>
    <definedName function="false" hidden="true" name="NON" vbProcedure="false">{"FY97Total",#N/A,FALSE,"FY97 - Total";"FY98Total",#N/A,FALSE,"FY98 - Total"}</definedName>
    <definedName function="false" hidden="true" name="NONA" vbProcedure="false">{"FY97Total",#N/A,FALSE,"FY97 - Total";"FY98Total",#N/A,FALSE,"FY98 - Total"}</definedName>
    <definedName function="false" hidden="true" name="NONAexcelMedicalProduct" vbProcedure="false">#REF!</definedName>
    <definedName function="false" hidden="true" name="NONAHFMedicalProduct" vbProcedure="false">#REF!</definedName>
    <definedName function="false" hidden="true" name="NONAHFRxMedicalProduct" vbProcedure="false">#REF!</definedName>
    <definedName function="false" hidden="true" name="NONAS" vbProcedure="false">{"FY98Q1 var",#N/A,FALSE,"FY98 - Q1";"FY98Q2 var",#N/A,FALSE,"FY98 - Q2";"FY98Q3 var",#N/A,FALSE,"FY98 - Q3";"FY98Q4 var",#N/A,FALSE,"FY98 - Q4"}</definedName>
    <definedName function="false" hidden="true" name="NONIO" vbProcedure="false">{"FY97Total",#N/A,FALSE,"FY97 - Total";"FY98Total",#N/A,FALSE,"FY98 - Total"}</definedName>
    <definedName function="false" hidden="true" name="NONNO" vbProcedure="false">{"FY97Tot nvs",#N/A,FALSE,"FY97 - Total";"FY98Tot nvs",#N/A,FALSE,"FY98 - Total"}</definedName>
    <definedName function="false" hidden="true" name="nono" vbProcedure="false">{"FY97Q1",#N/A,FALSE,"FY97 - Q1";"FY97Q2",#N/A,FALSE,"FY97 - Q2";"FY97Q3",#N/A,FALSE,"FY97 - Q3";"FY97Q4",#N/A,FALSE,"FY97 - Q4"}</definedName>
    <definedName function="false" hidden="true" name="noobaH" vbProcedure="false">{"MM Visits",#N/A,TRUE,"Moderately Managed";"MM Dollars per Hour",#N/A,TRUE,"Moderately Managed";"MM Hours per Visit",#N/A,TRUE,"Moderately Managed";"MM Dollars per Visit",#N/A,TRUE,"Moderately Managed";"MM Total Visits",#N/A,TRUE,"Moderately Managed";"MM PMPM",#N/A,TRUE,"Moderately Managed"}</definedName>
    <definedName function="false" hidden="true" name="NORMA" vbProcedure="false">{"FY97Q1 nvs",#N/A,FALSE,"FY97 - Q1";"FY97Q2 nvs",#N/A,FALSE,"FY97 - Q2";"FY97Q3 nvs",#N/A,FALSE,"FY97 - Q3";"FY97Q4 nvs",#N/A,FALSE,"FY97 - Q4"}</definedName>
    <definedName function="false" hidden="true" name="norna" vbProcedure="false">{"FY97Q1 nvs",#N/A,FALSE,"FY97 - Q1";"FY97Q2 nvs",#N/A,FALSE,"FY97 - Q2";"FY97Q3 nvs",#N/A,FALSE,"FY97 - Q3";"FY97Q4 nvs",#N/A,FALSE,"FY97 - Q4"}</definedName>
    <definedName function="false" hidden="true" name="NORSA" vbProcedure="false">{"FY97Total var",#N/A,FALSE,"FY97 - Total";"FY98Total var",#N/A,FALSE,"FY98 - Total"}</definedName>
    <definedName function="false" hidden="true" name="NORTIZO" vbProcedure="false">{"FY97Tot nvs",#N/A,FALSE,"FY97 - Total";"FY98Tot nvs",#N/A,FALSE,"FY98 - Total"}</definedName>
    <definedName function="false" hidden="true" name="NOTA" vbProcedure="false">{"FY98Q1 nvs",#N/A,FALSE,"FY98 - Q1";"FY98Q2 nvs",#N/A,FALSE,"FY98 - Q2";"FY98Q3 nvs",#N/A,FALSE,"FY98 - Q3";"FY98Q4 nvs",#N/A,FALSE,"FY98 - Q4"}</definedName>
    <definedName function="false" hidden="true" name="NOTAI" vbProcedure="false">{"FY97Q1",#N/A,FALSE,"FY97 - Q1";"FY97Q2",#N/A,FALSE,"FY97 - Q2";"FY97Q3",#N/A,FALSE,"FY97 - Q3";"FY97Q4",#N/A,FALSE,"FY97 - Q4"}</definedName>
    <definedName function="false" hidden="true" name="NOTAIO" vbProcedure="false">{"FY98Q1",#N/A,FALSE,"FY98 - Q1";"FY98Q2",#N/A,FALSE,"FY98 - Q2";"FY98Q3",#N/A,FALSE,"FY98 - Q3";"FY98Q4",#N/A,FALSE,"FY98 - Q4"}</definedName>
    <definedName function="false" hidden="false" name="NoteTextNames" vbProcedure="false">{"Text 9";"Text 10";"Text 11";"Text 12"}</definedName>
    <definedName function="false" hidden="true" name="NOTRBA" vbProcedure="false">{"FY97Q1",#N/A,FALSE,"FY97 - Q1";"FY97Q2",#N/A,FALSE,"FY97 - Q2";"FY97Q3",#N/A,FALSE,"FY97 - Q3";"FY97Q4",#N/A,FALSE,"FY97 - Q4"}</definedName>
    <definedName function="false" hidden="true" name="nouv" vbProcedure="false">{#N/A,#N/A,FALSE,"Pharm";#N/A,#N/A,FALSE,"WWCM"}</definedName>
    <definedName function="false" hidden="false" name="NovData" vbProcedure="false">#REF!</definedName>
    <definedName function="false" hidden="false" name="november" vbProcedure="false">{"bs",#N/A,FALSE,"SCF"}</definedName>
    <definedName function="false" hidden="true" name="NO_AEXCEL_BOB_DATA" vbProcedure="false">#REF!</definedName>
    <definedName function="false" hidden="true" name="NO_AEXCEL_Member_Data" vbProcedure="false">#REF!</definedName>
    <definedName function="false" hidden="true" name="NO_BH_BOB_Data" vbProcedure="false">#REF!</definedName>
    <definedName function="false" hidden="true" name="NO_BOB_Data" vbProcedure="false">#REF!</definedName>
    <definedName function="false" hidden="true" name="NO_Member_Data" vbProcedure="false">#REF!</definedName>
    <definedName function="false" hidden="true" name="NO_Member_Dental_Data" vbProcedure="false">#REF!</definedName>
    <definedName function="false" hidden="false" name="NS" vbProcedure="false">#REF!</definedName>
    <definedName function="false" hidden="true" name="NumberOfAccountsSelected" vbProcedure="false">#REF!</definedName>
    <definedName function="false" hidden="true" name="NumberOfNetworksSelected" vbProcedure="false">#REF!</definedName>
    <definedName function="false" hidden="true" name="NumberOfPlansSelected" vbProcedure="false">#REF!</definedName>
    <definedName function="false" hidden="true" name="NumberofProducts" vbProcedure="false">#REF!</definedName>
    <definedName function="false" hidden="true" name="NumberOfSubGroupsSelected" vbProcedure="false">#REF!</definedName>
    <definedName function="false" hidden="true" name="Number_of_Current_Subscribers" vbProcedure="false">#REF!</definedName>
    <definedName function="false" hidden="false" name="Number_of_Payments" vbProcedure="false">#N/A</definedName>
    <definedName function="false" hidden="true" name="Number_of_Prior_FI_Products" vbProcedure="false">#REF!</definedName>
    <definedName function="false" hidden="true" name="Number_of_Prior_SI_Products" vbProcedure="false">#REF!</definedName>
    <definedName function="false" hidden="true" name="num_brand_claims_curr" vbProcedure="false">#REF!</definedName>
    <definedName function="false" hidden="true" name="num_brand_claims_prior" vbProcedure="false">#REF!</definedName>
    <definedName function="false" hidden="true" name="num_brand_multisource_claims_curr" vbProcedure="false">#REF!</definedName>
    <definedName function="false" hidden="true" name="num_brand_multisource_claims_prior" vbProcedure="false">#REF!</definedName>
    <definedName function="false" hidden="true" name="num_brand_singlesource_claims_curr" vbProcedure="false">#REF!</definedName>
    <definedName function="false" hidden="true" name="num_brand_singlesource_claims_prior" vbProcedure="false">#REF!</definedName>
    <definedName function="false" hidden="true" name="num_claims_class_A_curr" vbProcedure="false">#REF!</definedName>
    <definedName function="false" hidden="true" name="num_claims_class_A_prior" vbProcedure="false">#REF!</definedName>
    <definedName function="false" hidden="true" name="num_claims_class_B_curr" vbProcedure="false">#REF!</definedName>
    <definedName function="false" hidden="true" name="num_claims_class_B_prior" vbProcedure="false">#REF!</definedName>
    <definedName function="false" hidden="true" name="num_claims_class_C_curr" vbProcedure="false">#REF!</definedName>
    <definedName function="false" hidden="true" name="num_claims_class_C_prior" vbProcedure="false">#REF!</definedName>
    <definedName function="false" hidden="true" name="num_claims_class_D_curr" vbProcedure="false">#REF!</definedName>
    <definedName function="false" hidden="true" name="num_claims_class_D_prior" vbProcedure="false">#REF!</definedName>
    <definedName function="false" hidden="true" name="num_claims_class_E_curr" vbProcedure="false">#REF!</definedName>
    <definedName function="false" hidden="true" name="num_claims_class_E_prior" vbProcedure="false">#REF!</definedName>
    <definedName function="false" hidden="true" name="num_claims_class_F_curr" vbProcedure="false">#REF!</definedName>
    <definedName function="false" hidden="true" name="num_claims_class_F_prior" vbProcedure="false">#REF!</definedName>
    <definedName function="false" hidden="true" name="num_claims_class_G_curr" vbProcedure="false">#REF!</definedName>
    <definedName function="false" hidden="true" name="num_claims_class_G_prior" vbProcedure="false">#REF!</definedName>
    <definedName function="false" hidden="true" name="num_claims_class_H_curr" vbProcedure="false">#REF!</definedName>
    <definedName function="false" hidden="true" name="num_claims_class_H_prior" vbProcedure="false">#REF!</definedName>
    <definedName function="false" hidden="true" name="num_claims_class_I_curr" vbProcedure="false">#REF!</definedName>
    <definedName function="false" hidden="true" name="num_claims_class_I_prior" vbProcedure="false">#REF!</definedName>
    <definedName function="false" hidden="true" name="num_claims_class_J_curr" vbProcedure="false">#REF!</definedName>
    <definedName function="false" hidden="true" name="num_claims_class_J_prior" vbProcedure="false">#REF!</definedName>
    <definedName function="false" hidden="true" name="num_claims_class_K_curr" vbProcedure="false">#REF!</definedName>
    <definedName function="false" hidden="true" name="num_claims_class_K_prior" vbProcedure="false">#REF!</definedName>
    <definedName function="false" hidden="true" name="num_claims_class_L_curr" vbProcedure="false">#REF!</definedName>
    <definedName function="false" hidden="true" name="num_claims_class_L_prior" vbProcedure="false">#REF!</definedName>
    <definedName function="false" hidden="true" name="num_claims_class_M_curr" vbProcedure="false">#REF!</definedName>
    <definedName function="false" hidden="true" name="num_claims_class_M_prior" vbProcedure="false">#REF!</definedName>
    <definedName function="false" hidden="true" name="num_claims_class_N_curr" vbProcedure="false">#REF!</definedName>
    <definedName function="false" hidden="true" name="num_claims_class_N_prior" vbProcedure="false">#REF!</definedName>
    <definedName function="false" hidden="true" name="num_claims_class_OTHER_curr" vbProcedure="false">#REF!</definedName>
    <definedName function="false" hidden="true" name="num_claims_class_OTHER_prior" vbProcedure="false">#REF!</definedName>
    <definedName function="false" hidden="true" name="num_claims_class_O_curr" vbProcedure="false">#REF!</definedName>
    <definedName function="false" hidden="true" name="num_claims_class_O_prior" vbProcedure="false">#REF!</definedName>
    <definedName function="false" hidden="true" name="num_claims_class_P_curr" vbProcedure="false">#REF!</definedName>
    <definedName function="false" hidden="true" name="num_claims_class_P_prior" vbProcedure="false">#REF!</definedName>
    <definedName function="false" hidden="true" name="num_claims_class_Q_curr" vbProcedure="false">#REF!</definedName>
    <definedName function="false" hidden="true" name="num_claims_class_Q_prior" vbProcedure="false">#REF!</definedName>
    <definedName function="false" hidden="true" name="num_claims_class_R_curr" vbProcedure="false">#REF!</definedName>
    <definedName function="false" hidden="true" name="num_claims_class_R_prior" vbProcedure="false">#REF!</definedName>
    <definedName function="false" hidden="true" name="num_claims_curr" vbProcedure="false">#REF!</definedName>
    <definedName function="false" hidden="true" name="num_claims_prior" vbProcedure="false">#REF!</definedName>
    <definedName function="false" hidden="true" name="num_formulary_claims_curr" vbProcedure="false">#REF!</definedName>
    <definedName function="false" hidden="true" name="num_formulary_claims_prior" vbProcedure="false">#REF!</definedName>
    <definedName function="false" hidden="true" name="num_generic_claims_curr" vbProcedure="false">#REF!</definedName>
    <definedName function="false" hidden="true" name="num_generic_claims_prior" vbProcedure="false">#REF!</definedName>
    <definedName function="false" hidden="true" name="num_gen_subst_claims_curr" vbProcedure="false">#REF!</definedName>
    <definedName function="false" hidden="true" name="num_gen_subst_claims_prior" vbProcedure="false">#REF!</definedName>
    <definedName function="false" hidden="true" name="num_mod_brand_formulary_claims_curr" vbProcedure="false">#REF!</definedName>
    <definedName function="false" hidden="true" name="num_mod_brand_formulary_claims_prior" vbProcedure="false">#REF!</definedName>
    <definedName function="false" hidden="true" name="num_mod_generic_claims_curr" vbProcedure="false">#REF!</definedName>
    <definedName function="false" hidden="true" name="num_mod_generic_claims_prior" vbProcedure="false">#REF!</definedName>
    <definedName function="false" hidden="true" name="num_mod_non_brand_formulary_claims_curr" vbProcedure="false">#REF!</definedName>
    <definedName function="false" hidden="true" name="num_mod_non_brand_formulary_claims_prior" vbProcedure="false">#REF!</definedName>
    <definedName function="false" hidden="false" name="NUM_OF_COS" vbProcedure="false">#REF!</definedName>
    <definedName function="false" hidden="true" name="num_retail_brand_formulary_claims_curr" vbProcedure="false">#REF!</definedName>
    <definedName function="false" hidden="true" name="num_retail_brand_formulary_claims_prior" vbProcedure="false">#REF!</definedName>
    <definedName function="false" hidden="true" name="num_retail_generic_claims_curr" vbProcedure="false">#REF!</definedName>
    <definedName function="false" hidden="true" name="num_retail_generic_claims_prior" vbProcedure="false">#REF!</definedName>
    <definedName function="false" hidden="true" name="num_retail_non_brand_formulary_claims_curr" vbProcedure="false">#REF!</definedName>
    <definedName function="false" hidden="true" name="num_retail_non_brand_formulary_claims_prior" vbProcedure="false">#REF!</definedName>
    <definedName function="false" hidden="true" name="num_rx_claims_brand_mod_curr" vbProcedure="false">#REF!</definedName>
    <definedName function="false" hidden="true" name="num_rx_claims_brand_mod_prior" vbProcedure="false">#REF!</definedName>
    <definedName function="false" hidden="true" name="num_rx_claims_brand_retail_curr" vbProcedure="false">#REF!</definedName>
    <definedName function="false" hidden="true" name="num_rx_claims_brand_retail_prior" vbProcedure="false">#REF!</definedName>
    <definedName function="false" hidden="true" name="num_rx_claims_mac_mod_curr" vbProcedure="false">#REF!</definedName>
    <definedName function="false" hidden="true" name="num_rx_claims_mac_mod_prior" vbProcedure="false">#REF!</definedName>
    <definedName function="false" hidden="true" name="num_rx_claims_mac_retail_curr" vbProcedure="false">#REF!</definedName>
    <definedName function="false" hidden="true" name="num_rx_claims_mac_retail_prior" vbProcedure="false">#REF!</definedName>
    <definedName function="false" hidden="true" name="num_rx_claims_non_mac_mod_curr" vbProcedure="false">#REF!</definedName>
    <definedName function="false" hidden="true" name="num_rx_claims_non_mac_mod_prior" vbProcedure="false">#REF!</definedName>
    <definedName function="false" hidden="true" name="num_rx_claims_non_mac_retail_curr" vbProcedure="false">#REF!</definedName>
    <definedName function="false" hidden="true" name="num_rx_claims_non_mac_retail_prior" vbProcedure="false">#REF!</definedName>
    <definedName function="false" hidden="true" name="num_util_members_class_A_curr" vbProcedure="false">#REF!</definedName>
    <definedName function="false" hidden="true" name="num_util_members_class_A_prior" vbProcedure="false">#REF!</definedName>
    <definedName function="false" hidden="true" name="num_util_members_class_B_curr" vbProcedure="false">#REF!</definedName>
    <definedName function="false" hidden="true" name="num_util_members_class_B_prior" vbProcedure="false">#REF!</definedName>
    <definedName function="false" hidden="true" name="num_util_members_class_C_curr" vbProcedure="false">#REF!</definedName>
    <definedName function="false" hidden="true" name="num_util_members_class_C_prior" vbProcedure="false">#REF!</definedName>
    <definedName function="false" hidden="true" name="num_util_members_class_D_curr" vbProcedure="false">#REF!</definedName>
    <definedName function="false" hidden="true" name="num_util_members_class_D_prior" vbProcedure="false">#REF!</definedName>
    <definedName function="false" hidden="true" name="num_util_members_class_E_curr" vbProcedure="false">#REF!</definedName>
    <definedName function="false" hidden="true" name="num_util_members_class_E_prior" vbProcedure="false">#REF!</definedName>
    <definedName function="false" hidden="true" name="num_util_members_class_F_curr" vbProcedure="false">#REF!</definedName>
    <definedName function="false" hidden="true" name="num_util_members_class_F_prior" vbProcedure="false">#REF!</definedName>
    <definedName function="false" hidden="true" name="num_util_members_class_G_curr" vbProcedure="false">#REF!</definedName>
    <definedName function="false" hidden="true" name="num_util_members_class_G_prior" vbProcedure="false">#REF!</definedName>
    <definedName function="false" hidden="true" name="num_util_members_class_H_curr" vbProcedure="false">#REF!</definedName>
    <definedName function="false" hidden="true" name="num_util_members_class_H_prior" vbProcedure="false">#REF!</definedName>
    <definedName function="false" hidden="true" name="num_util_members_class_I_curr" vbProcedure="false">#REF!</definedName>
    <definedName function="false" hidden="true" name="num_util_members_class_I_prior" vbProcedure="false">#REF!</definedName>
    <definedName function="false" hidden="true" name="num_util_members_class_J_curr" vbProcedure="false">#REF!</definedName>
    <definedName function="false" hidden="true" name="num_util_members_class_J_prior" vbProcedure="false">#REF!</definedName>
    <definedName function="false" hidden="true" name="num_util_members_class_K_curr" vbProcedure="false">#REF!</definedName>
    <definedName function="false" hidden="true" name="num_util_members_class_K_prior" vbProcedure="false">#REF!</definedName>
    <definedName function="false" hidden="true" name="num_util_members_class_L_curr" vbProcedure="false">#REF!</definedName>
    <definedName function="false" hidden="true" name="num_util_members_class_L_prior" vbProcedure="false">#REF!</definedName>
    <definedName function="false" hidden="true" name="num_util_members_class_M_curr" vbProcedure="false">#REF!</definedName>
    <definedName function="false" hidden="true" name="num_util_members_class_M_prior" vbProcedure="false">#REF!</definedName>
    <definedName function="false" hidden="true" name="num_util_members_class_N_curr" vbProcedure="false">#REF!</definedName>
    <definedName function="false" hidden="true" name="num_util_members_class_N_prior" vbProcedure="false">#REF!</definedName>
    <definedName function="false" hidden="true" name="num_util_members_class_OTHER_curr" vbProcedure="false">#REF!</definedName>
    <definedName function="false" hidden="true" name="num_util_members_class_OTHER_prior" vbProcedure="false">#REF!</definedName>
    <definedName function="false" hidden="true" name="num_util_members_class_O_curr" vbProcedure="false">#REF!</definedName>
    <definedName function="false" hidden="true" name="num_util_members_class_O_prior" vbProcedure="false">#REF!</definedName>
    <definedName function="false" hidden="true" name="num_util_members_class_P_curr" vbProcedure="false">#REF!</definedName>
    <definedName function="false" hidden="true" name="num_util_members_class_P_prior" vbProcedure="false">#REF!</definedName>
    <definedName function="false" hidden="true" name="num_util_members_class_Q_curr" vbProcedure="false">#REF!</definedName>
    <definedName function="false" hidden="true" name="num_util_members_class_Q_prior" vbProcedure="false">#REF!</definedName>
    <definedName function="false" hidden="true" name="num_util_members_class_R_curr" vbProcedure="false">#REF!</definedName>
    <definedName function="false" hidden="true" name="num_util_members_class_R_prior" vbProcedure="false">#REF!</definedName>
    <definedName function="false" hidden="true" name="num_util_members_curr" vbProcedure="false">#REF!</definedName>
    <definedName function="false" hidden="true" name="num_util_members_prior" vbProcedure="false">#REF!</definedName>
    <definedName function="false" hidden="false" name="NvsASD" vbProcedure="false">"V1999-07-31"</definedName>
    <definedName function="false" hidden="false" name="NvsAutoDrillOk" vbProcedure="false">"VN"</definedName>
    <definedName function="false" hidden="false" name="NvsElapsedTime" vbProcedure="false">0.000629398149612825</definedName>
    <definedName function="false" hidden="false" name="NvsEndTime" vbProcedure="false">36397.7374916667</definedName>
    <definedName function="false" hidden="false" name="NvsInstLang" vbProcedure="false">"VENG"</definedName>
    <definedName function="false" hidden="false" name="NvsInstSpec" vbProcedure="false">"%"</definedName>
    <definedName function="false" hidden="false" name="NvsInstSpec1" vbProcedure="false">","</definedName>
    <definedName function="false" hidden="false" name="NvsInstSpec2" vbProcedure="false">","</definedName>
    <definedName function="false" hidden="false" name="NvsInstSpec3" vbProcedure="false">","</definedName>
    <definedName function="false" hidden="false" name="NvsInstSpec4" vbProcedure="false">","</definedName>
    <definedName function="false" hidden="false" name="NvsInstSpec5" vbProcedure="false">","</definedName>
    <definedName function="false" hidden="false" name="NvsInstSpec6" vbProcedure="false">","</definedName>
    <definedName function="false" hidden="false" name="NvsInstSpec7" vbProcedure="false">","</definedName>
    <definedName function="false" hidden="false" name="NvsInstSpec8" vbProcedure="false">","</definedName>
    <definedName function="false" hidden="false" name="NvsInstSpec9" vbProcedure="false">","</definedName>
    <definedName function="false" hidden="false" name="NvsLayoutType" vbProcedure="false">"M3"</definedName>
    <definedName function="false" hidden="false" name="NvsNplSpec" vbProcedure="false">"%,X,RPT.ACCOUNT.nplode,CZF.."</definedName>
    <definedName function="false" hidden="false" name="NvsPanelEffdt" vbProcedure="false">"V1990-01-01"</definedName>
    <definedName function="false" hidden="false" name="NvsPanelSetid" vbProcedure="false">"V01"</definedName>
    <definedName function="false" hidden="false" name="NvsReqBU" vbProcedure="false">"V44"</definedName>
    <definedName function="false" hidden="false" name="NvsReqBUOnly" vbProcedure="false">"VY"</definedName>
    <definedName function="false" hidden="false" name="NvsSheetType" vbProcedure="false">"M"</definedName>
    <definedName function="false" hidden="false" name="NvsTransLed" vbProcedure="false">"VN"</definedName>
    <definedName function="false" hidden="false" name="NvsTreeASD" vbProcedure="false">"V1999-07-31"</definedName>
    <definedName function="false" hidden="false" name="NvsValTbl.ACCOUNT" vbProcedure="false">"GL_ACCOUNT_TBL"</definedName>
    <definedName function="false" hidden="false" name="NvsValTbl.BUSINESS_UNIT" vbProcedure="false">"BUS_UNIT_TBL_GL"</definedName>
    <definedName function="false" hidden="false" name="NvsValTbl.CURRENCY_CD" vbProcedure="false">"CURRENCY_CD_TBL"</definedName>
    <definedName function="false" hidden="false" name="NvsValTbl.STATISTICS_CODE" vbProcedure="false">"STAT_TBL"</definedName>
    <definedName function="false" hidden="true" name="n\" vbProcedure="false">{#N/A,#N/A,FALSE,"Projections";#N/A,#N/A,FALSE,"Multiples Valuation";#N/A,#N/A,FALSE,"LBO";#N/A,#N/A,FALSE,"Multiples_Sensitivity";#N/A,#N/A,FALSE,"Summary"}</definedName>
    <definedName function="false" hidden="false" name="o" vbProcedure="false">{#N/A,#N/A,FALSE,"New Depr Sch-150% DB";#N/A,#N/A,FALSE,"Cash Flows RLP";#N/A,#N/A,FALSE,"IRR";#N/A,#N/A,FALSE,"Proforma IS";#N/A,#N/A,FALSE,"Assumptions"}</definedName>
    <definedName function="false" hidden="true" name="OCTBS" vbProcedure="false">{#N/A,#N/A,FALSE,"Assump2";#N/A,#N/A,FALSE,"Income2";#N/A,#N/A,FALSE,"Balance2";#N/A,#N/A,FALSE,"DCF Filter";#N/A,#N/A,FALSE,"Trans Assump2";#N/A,#N/A,FALSE,"Combined Income2";#N/A,#N/A,FALSE,"Combined Balance2"}</definedName>
    <definedName function="false" hidden="false" name="OctData" vbProcedure="false">#REF!</definedName>
    <definedName function="false" hidden="false" name="OHMQ1" vbProcedure="false">#REF!</definedName>
    <definedName function="false" hidden="false" name="OHMQ2" vbProcedure="false">#REF!</definedName>
    <definedName function="false" hidden="false" name="OHMQ3" vbProcedure="false">#REF!</definedName>
    <definedName function="false" hidden="false" name="OHMQ4" vbProcedure="false">#REF!</definedName>
    <definedName function="false" hidden="false" name="OldMoRef" vbProcedure="false">#REF!</definedName>
    <definedName function="false" hidden="false" name="Onboarding" vbProcedure="false">#REF!</definedName>
    <definedName function="false" hidden="true" name="ONYX19970501222055" vbProcedure="false">#REF!</definedName>
    <definedName function="false" hidden="true" name="ONYX19970501222155" vbProcedure="false">#REF!</definedName>
    <definedName function="false" hidden="true" name="ooo" vbProcedure="false">{#N/A,#N/A,FALSE,"REPORT"}</definedName>
    <definedName function="false" hidden="false" name="ooooo" vbProcedure="false">{#N/A,#N/A,FALSE,"Calc";#N/A,#N/A,FALSE,"Sensitivity";#N/A,#N/A,FALSE,"LT Earn.Dil.";#N/A,#N/A,FALSE,"Dil. AVP"}</definedName>
    <definedName function="false" hidden="false" name="ooplimit2p" vbProcedure="false">#REF!</definedName>
    <definedName function="false" hidden="false" name="ooplimitf" vbProcedure="false">#REF!</definedName>
    <definedName function="false" hidden="false" name="ooplimits" vbProcedure="false">#REF!</definedName>
    <definedName function="false" hidden="false" name="OperatingExpenses" vbProcedure="false">#REF!</definedName>
    <definedName function="false" hidden="false" name="Op_Scenario" vbProcedure="false">#REF!</definedName>
    <definedName function="false" hidden="true" name="ord" vbProcedure="false">{#N/A,#N/A,FALSE,"Cosmos Report"}</definedName>
    <definedName function="false" hidden="true" name="OrderTable" vbProcedure="false">#REF!</definedName>
    <definedName function="false" hidden="true" name="Ospraie" vbProcedure="false">#REF!</definedName>
    <definedName function="false" hidden="true" name="other33" vbProcedure="false">{#N/A,#N/A,FALSE,"Pharm";#N/A,#N/A,FALSE,"WWCM"}</definedName>
    <definedName function="false" hidden="false" name="OtherAssets" vbProcedure="false">#REF!</definedName>
    <definedName function="false" hidden="false" name="OtherCurrentAssets" vbProcedure="false">#REF!</definedName>
    <definedName function="false" hidden="false" name="OtherCurrentInterestBearingDebt" vbProcedure="false">#REF!</definedName>
    <definedName function="false" hidden="false" name="OtherCurrentLiabilities" vbProcedure="false">#REF!</definedName>
    <definedName function="false" hidden="false" name="OtherCurrentLiabilities_Bud" vbProcedure="false">#REF!</definedName>
    <definedName function="false" hidden="false" name="OtherDebt" vbProcedure="false">#REF!</definedName>
    <definedName function="false" hidden="false" name="OtherIncome" vbProcedure="false">#REF!</definedName>
    <definedName function="false" hidden="false" name="OtherInterestBearingDebt" vbProcedure="false">#REF!</definedName>
    <definedName function="false" hidden="false" name="OtherLiabilities" vbProcedure="false">#REF!</definedName>
    <definedName function="false" hidden="true" name="othermar" vbProcedure="false">{#N/A,#N/A,FALSE,"Pharm";#N/A,#N/A,FALSE,"WWCM"}</definedName>
    <definedName function="false" hidden="false" name="OTHER_LEVERSRow58ValueClassedPve" vbProcedure="false">"Coverage by dedicated buyers in % of EPA"</definedName>
    <definedName function="false" hidden="false" name="output" vbProcedure="false">#REF!</definedName>
    <definedName function="false" hidden="true" name="OUTSTANDING" vbProcedure="false">#REF!</definedName>
    <definedName function="false" hidden="false" name="Overlap_Discount_Rate" vbProcedure="false">#REF!</definedName>
    <definedName function="false" hidden="false" name="p" vbProcedure="false">#REF!</definedName>
    <definedName function="false" hidden="true" name="p.DCF" vbProcedure="false">#REF!</definedName>
    <definedName function="false" hidden="true" name="p.DCF_Titles" vbProcedure="false">#REF!</definedName>
    <definedName function="false" hidden="true" name="P2P" vbProcedure="false">#REF!</definedName>
    <definedName function="false" hidden="true" name="PageNumbers" vbProcedure="false">#REF!</definedName>
    <definedName function="false" hidden="true" name="paid_female_0_19_curr" vbProcedure="false">#REF!</definedName>
    <definedName function="false" hidden="true" name="paid_female_0_19_prior" vbProcedure="false">#REF!</definedName>
    <definedName function="false" hidden="true" name="paid_female_20_44_curr" vbProcedure="false">#REF!</definedName>
    <definedName function="false" hidden="true" name="paid_female_20_44_prior" vbProcedure="false">#REF!</definedName>
    <definedName function="false" hidden="true" name="paid_female_45_64_curr" vbProcedure="false">#REF!</definedName>
    <definedName function="false" hidden="true" name="paid_female_45_64_prior" vbProcedure="false">#REF!</definedName>
    <definedName function="false" hidden="true" name="paid_female_65_over_curr" vbProcedure="false">#REF!</definedName>
    <definedName function="false" hidden="true" name="paid_female_65_over_prior" vbProcedure="false">#REF!</definedName>
    <definedName function="false" hidden="true" name="paid_male_0_19_curr" vbProcedure="false">#REF!</definedName>
    <definedName function="false" hidden="true" name="paid_male_0_19_prior" vbProcedure="false">#REF!</definedName>
    <definedName function="false" hidden="true" name="paid_male_20_44_curr" vbProcedure="false">#REF!</definedName>
    <definedName function="false" hidden="true" name="paid_male_20_44_prior" vbProcedure="false">#REF!</definedName>
    <definedName function="false" hidden="true" name="paid_male_45_64_curr" vbProcedure="false">#REF!</definedName>
    <definedName function="false" hidden="true" name="paid_male_45_64_prior" vbProcedure="false">#REF!</definedName>
    <definedName function="false" hidden="true" name="paid_male_65_over_curr" vbProcedure="false">#REF!</definedName>
    <definedName function="false" hidden="true" name="paid_male_65_over_prior" vbProcedure="false">#REF!</definedName>
    <definedName function="false" hidden="false" name="Paper" vbProcedure="false">#REF!</definedName>
    <definedName function="false" hidden="false" name="PartnrIRR" vbProcedure="false">#REF!</definedName>
    <definedName function="false" hidden="true" name="patty" vbProcedure="false">{#N/A,#N/A,FALSE,"Exception Report"}</definedName>
    <definedName function="false" hidden="true" name="patty1" vbProcedure="false">{#N/A,#N/A,FALSE,"Part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function="false" hidden="false" name="Payment_Date" vbProcedure="false">#N/A</definedName>
    <definedName function="false" hidden="false" name="pctmntl" vbProcedure="false">#REF!</definedName>
    <definedName function="false" hidden="false" name="Pending_PO" vbProcedure="false">#REF!</definedName>
    <definedName function="false" hidden="true" name="pepe" vbProcedure="false">{#N/A,#N/A,FALSE,"Pharm";#N/A,#N/A,FALSE,"WWCM"}</definedName>
    <definedName function="false" hidden="true" name="PEPE4" vbProcedure="false">{#N/A,#N/A,FALSE,"Pharm";#N/A,#N/A,FALSE,"WWCM"}</definedName>
    <definedName function="false" hidden="true" name="PEPE5" vbProcedure="false">{#N/A,#N/A,FALSE,"Pharm";#N/A,#N/A,FALSE,"WWCM"}</definedName>
    <definedName function="false" hidden="false" name="perctmntl" vbProcedure="false">#REF!</definedName>
    <definedName function="false" hidden="false" name="Period_Qtr" vbProcedure="false">#REF!</definedName>
    <definedName function="false" hidden="false" name="pgtest" vbProcedure="false">#REF!,#REF!</definedName>
    <definedName function="false" hidden="true" name="pharma" vbProcedure="false">{#N/A,#N/A,FALSE,"Sales Graph";#N/A,#N/A,FALSE,"PSBM";#N/A,#N/A,FALSE,"BUC Graph";#N/A,#N/A,FALSE,"P&amp;L - YTD"}</definedName>
    <definedName function="false" hidden="false" name="Picture3" vbProcedure="false">{"Mcp08.PrintRep",""}</definedName>
    <definedName function="false" hidden="false" name="platdealyear" vbProcedure="false">#REF!</definedName>
    <definedName function="false" hidden="false" name="platexitmult" vbProcedure="false">#REF!</definedName>
    <definedName function="false" hidden="false" name="platscenario" vbProcedure="false">#REF!</definedName>
    <definedName function="false" hidden="false" name="plattaxrate" vbProcedure="false">#REF!</definedName>
    <definedName function="false" hidden="false" name="platyearfraction" vbProcedure="false">#REF!</definedName>
    <definedName function="false" hidden="true" name="PLCepi" vbProcedure="false">{#N/A,#N/A,FALSE,"REPORT"}</definedName>
    <definedName function="false" hidden="true" name="PLProcef" vbProcedure="false">{#N/A,#N/A,FALSE,"REPORT"}</definedName>
    <definedName function="false" hidden="true" name="PLTaxol" vbProcedure="false">{#N/A,#N/A,FALSE,"REPORT"}</definedName>
    <definedName function="false" hidden="false" name="PL_Sep_Dec08" vbProcedure="false">#REF!</definedName>
    <definedName function="false" hidden="true" name="pms" vbProcedure="false">{#N/A,#N/A,FALSE,"Approval2"}</definedName>
    <definedName function="false" hidden="true" name="Pnl" vbProcedure="false">{#N/A,#N/A,FALSE,"Pharm";#N/A,#N/A,FALSE,"WWCM"}</definedName>
    <definedName function="false" hidden="true" name="pompelmo" vbProcedure="false">{"FY98Q1 var",#N/A,FALSE,"FY98 - Q1";"FY98Q2 var",#N/A,FALSE,"FY98 - Q2";"FY98Q3 var",#N/A,FALSE,"FY98 - Q3";"FY98Q4 var",#N/A,FALSE,"FY98 - Q4"}</definedName>
    <definedName function="false" hidden="true" name="PoolingPt" vbProcedure="false">#REF!</definedName>
    <definedName function="false" hidden="true" name="PopCache_GL_INTERFACE_REFERENCE7" vbProcedure="false">#REF!</definedName>
    <definedName function="false" hidden="true" name="port29" vbProcedure="false">{#N/A,#N/A,FALSE,"Pharm";#N/A,#N/A,FALSE,"WWCM"}</definedName>
    <definedName function="false" hidden="false" name="pp" vbProcedure="false">{#N/A,#N/A,FALSE,"Calc";#N/A,#N/A,FALSE,"Sensitivity";#N/A,#N/A,FALSE,"LT Earn.Dil.";#N/A,#N/A,FALSE,"Dil. AVP"}</definedName>
    <definedName function="false" hidden="false" name="PPAndE" vbProcedure="false">#REF!</definedName>
    <definedName function="false" hidden="false" name="PreCloseMonths" vbProcedure="false">#REF!</definedName>
    <definedName function="false" hidden="false" name="PreCloseMonthsBSF" vbProcedure="false">#REF!</definedName>
    <definedName function="false" hidden="false" name="predeal" vbProcedure="false">#REF!</definedName>
    <definedName function="false" hidden="true" name="prefyes" vbProcedure="false">#REF!</definedName>
    <definedName function="false" hidden="false" name="Premium" vbProcedure="false">#REF!</definedName>
    <definedName function="false" hidden="false"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false" name="pricebook_col" vbProcedure="false">#REF!</definedName>
    <definedName function="false" hidden="false" name="priceearnings_col" vbProcedure="false">#REF!</definedName>
    <definedName function="false" hidden="false" name="pricesh" vbProcedure="false">#REF!</definedName>
    <definedName function="false" hidden="true" name="primary_payor_ind" vbProcedure="false">#REF!</definedName>
    <definedName function="false" hidden="true" name="prinnew" vbProcedure="false">{"four",#N/A,FALSE,"FLASH";"one",#N/A,FALSE,"FLASH";"three",#N/A,FALSE,"FLASH"}</definedName>
    <definedName function="false" hidden="false" name="Print" vbProcedure="false">#REF!</definedName>
    <definedName function="false" hidden="true" name="PRINT10" vbProcedure="false">{"USD",#N/A,FALSE,"FC-15 Cap Expend";"LC",#N/A,FALSE,"FC-15 Cap Expend"}</definedName>
    <definedName function="false" hidden="false" name="Print2" vbProcedure="false">#REF!</definedName>
    <definedName function="false" hidden="false" name="Print2a" vbProcedure="false">#REF!</definedName>
    <definedName function="false" hidden="false" name="Print3A" vbProcedure="false">#REF!</definedName>
    <definedName function="false" hidden="false" name="Print3B" vbProcedure="false">#REF!</definedName>
    <definedName function="false" hidden="false" name="Print3C" vbProcedure="false">#REF!</definedName>
    <definedName function="false" hidden="false" name="Print3D" vbProcedure="false">#REF!</definedName>
    <definedName function="false" hidden="false" name="Print5" vbProcedure="false">#REF!</definedName>
    <definedName function="false" hidden="false" name="PrintALL" vbProcedure="false">#REF!</definedName>
    <definedName function="false" hidden="false" name="printberma" vbProcedure="false">#REF!</definedName>
    <definedName function="false" hidden="false" name="PrintGITCI" vbProcedure="false">#REF!</definedName>
    <definedName function="false" hidden="false" name="printindia" vbProcedure="false">#REF!</definedName>
    <definedName function="false" hidden="true" name="printit" vbProcedure="false">{#N/A,#N/A,FALSE,"Assumptions";#N/A,#N/A,FALSE,"Factors";#N/A,#N/A,FALSE,"Model";#N/A,#N/A,FALSE,"Allocation"}</definedName>
    <definedName function="false" hidden="false" name="PrintLoral" vbProcedure="false">#REF!</definedName>
    <definedName function="false" hidden="true" name="printn" vbProcedure="false">{"four",#N/A,FALSE,"FLASH";"one",#N/A,FALSE,"FLASH";"three",#N/A,FALSE,"FLASH"}</definedName>
    <definedName function="false" hidden="false" name="PrintVersion" vbProcedure="false">#REF!</definedName>
    <definedName function="false" hidden="false" name="PrintVersionBSF" vbProcedure="false">#REF!</definedName>
    <definedName function="false" hidden="false" name="Print_Analysis" vbProcedure="false">#REF!</definedName>
    <definedName function="false" hidden="false" name="Print_Area_ALL" vbProcedure="false">#N/A</definedName>
    <definedName function="false" hidden="false" name="Print_Area_MI" vbProcedure="false">#REF!</definedName>
    <definedName function="false" hidden="false" name="Print_Area_Reset" vbProcedure="false">#N/A</definedName>
    <definedName function="false" hidden="true" name="Print_CSC_Report_2" vbProcedure="false">{"CSC_1",#N/A,FALSE,"CSC Outputs";"CSC_2",#N/A,FALSE,"CSC Outputs"}</definedName>
    <definedName function="false" hidden="false" name="Print_MA_Range" vbProcedure="false">#REF!</definedName>
    <definedName function="false" hidden="false" name="Print_MA_Value" vbProcedure="false">#REF!</definedName>
    <definedName function="false" hidden="false" name="Print_MM_Range" vbProcedure="false">#REF!</definedName>
    <definedName function="false" hidden="false" name="Print_MM_Value" vbProcedure="false">#REF!</definedName>
    <definedName function="false" hidden="false" name="Print_Some" vbProcedure="false">#N/A</definedName>
    <definedName function="false" hidden="false" name="Print_TM_Range" vbProcedure="false">#REF!</definedName>
    <definedName function="false" hidden="false" name="Print_TM_Value" vbProcedure="false">#REF!</definedName>
    <definedName function="false" hidden="false" name="Print_ValSum_Range" vbProcedure="false">#REF!</definedName>
    <definedName function="false" hidden="false" name="Print_ValSum_Value" vbProcedure="false">#REF!</definedName>
    <definedName function="false" hidden="false" name="priorcal" vbProcedure="false">#REF!</definedName>
    <definedName function="false" hidden="false" name="PriorityList" vbProcedure="false">Lists!$L$2:$L$5</definedName>
    <definedName function="false" hidden="false" name="PriorPeriod" vbProcedure="false">#REF!</definedName>
    <definedName function="false" hidden="true" name="PriorPeriodPeriod" vbProcedure="false">#REF!</definedName>
    <definedName function="false" hidden="true" name="PriorPeriodYear" vbProcedure="false">#REF!</definedName>
    <definedName function="false" hidden="true" name="PriorYearPeriod" vbProcedure="false">#REF!</definedName>
    <definedName function="false" hidden="true" name="Prior_Claims_Above_50K_Check" vbProcedure="false">#REF!</definedName>
    <definedName function="false" hidden="false" name="Prior_Month" vbProcedure="false">#REF!</definedName>
    <definedName function="false" hidden="true" name="prior_yyyymmdd_incurred_end_date" vbProcedure="false">#REF!</definedName>
    <definedName function="false" hidden="true" name="prior_yyyymmdd_processed_end_date" vbProcedure="false">#REF!</definedName>
    <definedName function="false" hidden="false" name="PRN2" vbProcedure="false">{"adj95mult",#N/A,FALSE,"COMPCO";"adj95est",#N/A,FALSE,"COMPCO"}</definedName>
    <definedName function="false" hidden="false" name="Prnt_IncSUM" vbProcedure="false">#REF!</definedName>
    <definedName function="false" hidden="true" name="Procef" vbProcedure="false">{#N/A,#N/A,FALSE,"Pharm";#N/A,#N/A,FALSE,"WWCM"}</definedName>
    <definedName function="false" hidden="true" name="ProcEndDateCurr" vbProcedure="false">#REF!</definedName>
    <definedName function="false" hidden="true" name="ProcEndDatePrior" vbProcedure="false">#REF!</definedName>
    <definedName function="false" hidden="true" name="ProcStartDateCurr" vbProcedure="false">#REF!</definedName>
    <definedName function="false" hidden="true" name="ProcStartDatePrior" vbProcedure="false">#REF!</definedName>
    <definedName function="false" hidden="false" name="prod" vbProcedure="false">#REF!</definedName>
    <definedName function="false" hidden="true" name="ProdForm" vbProcedure="false">#REF!</definedName>
    <definedName function="false" hidden="false" name="prodn" vbProcedure="false">{"'Cover'!$B$11"}</definedName>
    <definedName function="false" hidden="true" name="Product" vbProcedure="false">#REF!</definedName>
    <definedName function="false" hidden="true" name="Product18_or_22" vbProcedure="false">#REF!</definedName>
    <definedName function="false" hidden="true" name="Product22" vbProcedure="false">#REF!</definedName>
    <definedName function="false" hidden="true" name="Product_01_delete_prior" vbProcedure="false">#REF!</definedName>
    <definedName function="false" hidden="true" name="Product_01_members" vbProcedure="false">#REF!</definedName>
    <definedName function="false" hidden="true" name="Product_02_delete_prior" vbProcedure="false">#REF!</definedName>
    <definedName function="false" hidden="true" name="Product_02_members" vbProcedure="false">#REF!</definedName>
    <definedName function="false" hidden="true" name="Product_03_delete_prior" vbProcedure="false">#REF!</definedName>
    <definedName function="false" hidden="true" name="Product_03_members" vbProcedure="false">#REF!</definedName>
    <definedName function="false" hidden="true" name="Product_04_delete_prior" vbProcedure="false">#REF!</definedName>
    <definedName function="false" hidden="true" name="Product_04_members" vbProcedure="false">#REF!</definedName>
    <definedName function="false" hidden="true" name="Product_05_delete_prior" vbProcedure="false">#REF!</definedName>
    <definedName function="false" hidden="true" name="Product_05_members" vbProcedure="false">#REF!</definedName>
    <definedName function="false" hidden="true" name="Product_06_delete_prior" vbProcedure="false">#REF!</definedName>
    <definedName function="false" hidden="true" name="Product_06_members" vbProcedure="false">#REF!</definedName>
    <definedName function="false" hidden="true" name="Product_07_delete_prior" vbProcedure="false">#REF!</definedName>
    <definedName function="false" hidden="true" name="Product_07_members" vbProcedure="false">#REF!</definedName>
    <definedName function="false" hidden="true" name="Product_08_delete_prior" vbProcedure="false">#REF!</definedName>
    <definedName function="false" hidden="true" name="Product_08_members" vbProcedure="false">#REF!</definedName>
    <definedName function="false" hidden="true" name="Product_09_delete_prior" vbProcedure="false">#REF!</definedName>
    <definedName function="false" hidden="true" name="Product_09_members" vbProcedure="false">#REF!</definedName>
    <definedName function="false" hidden="true" name="Product_10_delete_prior" vbProcedure="false">#REF!</definedName>
    <definedName function="false" hidden="true" name="Product_10_members" vbProcedure="false">#REF!</definedName>
    <definedName function="false" hidden="true" name="Product_11_delete_prior" vbProcedure="false">#REF!</definedName>
    <definedName function="false" hidden="true" name="Product_11_members" vbProcedure="false">#REF!</definedName>
    <definedName function="false" hidden="true" name="Product_12_delete_prior" vbProcedure="false">#REF!</definedName>
    <definedName function="false" hidden="true" name="Product_12_members" vbProcedure="false">#REF!</definedName>
    <definedName function="false" hidden="true" name="Product_13_delete_prior" vbProcedure="false">#REF!</definedName>
    <definedName function="false" hidden="true" name="Product_13_members" vbProcedure="false">#REF!</definedName>
    <definedName function="false" hidden="true" name="Product_14_delete_prior" vbProcedure="false">#REF!</definedName>
    <definedName function="false" hidden="true" name="Product_14_members" vbProcedure="false">#REF!</definedName>
    <definedName function="false" hidden="true" name="Product_15_delete_prior" vbProcedure="false">#REF!</definedName>
    <definedName function="false" hidden="true" name="Product_15_members" vbProcedure="false">#REF!</definedName>
    <definedName function="false" hidden="true" name="Product_30_delete_prior" vbProcedure="false">#REF!</definedName>
    <definedName function="false" hidden="true" name="Product_30_members" vbProcedure="false">#REF!</definedName>
    <definedName function="false" hidden="true" name="Product_40_delete_prior" vbProcedure="false">#REF!</definedName>
    <definedName function="false" hidden="true" name="Product_40_members" vbProcedure="false">#REF!</definedName>
    <definedName function="false" hidden="true" name="Product_41_delete_prior" vbProcedure="false">#REF!</definedName>
    <definedName function="false" hidden="true" name="Product_41_members" vbProcedure="false">#REF!</definedName>
    <definedName function="false" hidden="true" name="Product_42_delete_prior" vbProcedure="false">#REF!</definedName>
    <definedName function="false" hidden="true" name="Product_42_members" vbProcedure="false">#REF!</definedName>
    <definedName function="false" hidden="true" name="Product_43_delete_prior" vbProcedure="false">#REF!</definedName>
    <definedName function="false" hidden="true" name="Product_43_members" vbProcedure="false">#REF!</definedName>
    <definedName function="false" hidden="true" name="Product_44_delete_prior" vbProcedure="false">#REF!</definedName>
    <definedName function="false" hidden="true" name="Product_44_members" vbProcedure="false">#REF!</definedName>
    <definedName function="false" hidden="true" name="Product_45_delete_prior" vbProcedure="false">#REF!</definedName>
    <definedName function="false" hidden="true" name="Product_45_members" vbProcedure="false">#REF!</definedName>
    <definedName function="false" hidden="true" name="Product_46_delete_prior" vbProcedure="false">#REF!</definedName>
    <definedName function="false" hidden="true" name="Product_46_members" vbProcedure="false">#REF!</definedName>
    <definedName function="false" hidden="true" name="Product_47_delete_prior" vbProcedure="false">#REF!</definedName>
    <definedName function="false" hidden="true" name="Product_47_members" vbProcedure="false">#REF!</definedName>
    <definedName function="false" hidden="true" name="Product_48_delete_prior" vbProcedure="false">#REF!</definedName>
    <definedName function="false" hidden="true" name="Product_48_members" vbProcedure="false">#REF!</definedName>
    <definedName function="false" hidden="true" name="Product_49_delete_prior" vbProcedure="false">#REF!</definedName>
    <definedName function="false" hidden="true" name="Product_49_members" vbProcedure="false">#REF!</definedName>
    <definedName function="false" hidden="true" name="Product_50_delete_prior" vbProcedure="false">#REF!</definedName>
    <definedName function="false" hidden="true" name="Product_50_members" vbProcedure="false">#REF!</definedName>
    <definedName function="false" hidden="true" name="Product_51_delete_prior" vbProcedure="false">#REF!</definedName>
    <definedName function="false" hidden="true" name="Product_51_members" vbProcedure="false">#REF!</definedName>
    <definedName function="false" hidden="true" name="Product_52_delete_prior" vbProcedure="false">#REF!</definedName>
    <definedName function="false" hidden="true" name="Product_52_members" vbProcedure="false">#REF!</definedName>
    <definedName function="false" hidden="true" name="Product_53_delete_prior" vbProcedure="false">#REF!</definedName>
    <definedName function="false" hidden="true" name="Product_53_members" vbProcedure="false">#REF!</definedName>
    <definedName function="false" hidden="true" name="Product_54_delete_prior" vbProcedure="false">#REF!</definedName>
    <definedName function="false" hidden="true" name="Product_54_members" vbProcedure="false">#REF!</definedName>
    <definedName function="false" hidden="true" name="Product_55_delete_prior" vbProcedure="false">#REF!</definedName>
    <definedName function="false" hidden="true" name="Product_55_members" vbProcedure="false">#REF!</definedName>
    <definedName function="false" hidden="true" name="Product_56_delete_prior" vbProcedure="false">#REF!</definedName>
    <definedName function="false" hidden="true" name="Product_56_members" vbProcedure="false">#REF!</definedName>
    <definedName function="false" hidden="true" name="Product_57_delete_prior" vbProcedure="false">#REF!</definedName>
    <definedName function="false" hidden="true" name="Product_57_members" vbProcedure="false">#REF!</definedName>
    <definedName function="false" hidden="true" name="Product_58_delete_prior" vbProcedure="false">#REF!</definedName>
    <definedName function="false" hidden="true" name="Product_58_members" vbProcedure="false">#REF!</definedName>
    <definedName function="false" hidden="true" name="Product_59_delete_prior" vbProcedure="false">#REF!</definedName>
    <definedName function="false" hidden="true" name="Product_59_members" vbProcedure="false">#REF!</definedName>
    <definedName function="false" hidden="true" name="Product_68_delete_prior" vbProcedure="false">#REF!</definedName>
    <definedName function="false" hidden="true" name="Product_68_members" vbProcedure="false">#REF!</definedName>
    <definedName function="false" hidden="true" name="Product_69_delete_prior" vbProcedure="false">#REF!</definedName>
    <definedName function="false" hidden="true" name="Product_69_members" vbProcedure="false">#REF!</definedName>
    <definedName function="false" hidden="true" name="Product_70_delete_prior" vbProcedure="false">#REF!</definedName>
    <definedName function="false" hidden="true" name="Product_70_members" vbProcedure="false">#REF!</definedName>
    <definedName function="false" hidden="true" name="Product_71_delete_prior" vbProcedure="false">#REF!</definedName>
    <definedName function="false" hidden="true" name="Product_71_members" vbProcedure="false">#REF!</definedName>
    <definedName function="false" hidden="true" name="Product_72_delete_prior" vbProcedure="false">#REF!</definedName>
    <definedName function="false" hidden="true" name="Product_72_members" vbProcedure="false">#REF!</definedName>
    <definedName function="false" hidden="true" name="Product_73_delete_prior" vbProcedure="false">#REF!</definedName>
    <definedName function="false" hidden="true" name="Product_73_members" vbProcedure="false">#REF!</definedName>
    <definedName function="false" hidden="true" name="Product_74_delete_prior" vbProcedure="false">#REF!</definedName>
    <definedName function="false" hidden="true" name="Product_74_members" vbProcedure="false">#REF!</definedName>
    <definedName function="false" hidden="true" name="Product_75_delete_prior" vbProcedure="false">#REF!</definedName>
    <definedName function="false" hidden="true" name="Product_75_members" vbProcedure="false">#REF!</definedName>
    <definedName function="false" hidden="true" name="Product_76_delete_prior" vbProcedure="false">#REF!</definedName>
    <definedName function="false" hidden="true" name="Product_76_members" vbProcedure="false">#REF!</definedName>
    <definedName function="false" hidden="true" name="Product_99_delete_prior" vbProcedure="false">#REF!</definedName>
    <definedName function="false" hidden="true" name="Product_99_members" vbProcedure="false">#REF!</definedName>
    <definedName function="false" hidden="true" name="Product_Check" vbProcedure="false">#REF!</definedName>
    <definedName function="false" hidden="true" name="Product_DN_delete_prior" vbProcedure="false">#REF!</definedName>
    <definedName function="false" hidden="true" name="Product_DN_members" vbProcedure="false">#REF!</definedName>
    <definedName function="false" hidden="true" name="Product_Name" vbProcedure="false">#REF!</definedName>
    <definedName function="false" hidden="true" name="Product_RX_delete_prior" vbProcedure="false">#REF!</definedName>
    <definedName function="false" hidden="true" name="Product_RX_members" vbProcedure="false">#REF!</definedName>
    <definedName function="false" hidden="true" name="profit" vbProcedure="false">{"profit",#N/A,FALSE,"Aerospace";"profit",#N/A,FALSE,"Engines";"profit",#N/A,FALSE,"AES";"profit",#N/A,FALSE,"ES";"profit",#N/A,FALSE,"CAS";"profit",#N/A,FALSE,"ATSC";"profit",#N/A,FALSE,"FMT";"profit",#N/A,FALSE,"Aero Other";"profit",#N/A,FALSE,"Judgement"}</definedName>
    <definedName function="false" hidden="true" name="profit1" vbProcedure="false">{"profit",#N/A,FALSE,"Aerospace";"profit",#N/A,FALSE,"Engines";"profit",#N/A,FALSE,"AES";"profit",#N/A,FALSE,"ES";"profit",#N/A,FALSE,"CAS";"profit",#N/A,FALSE,"ATSC";"profit",#N/A,FALSE,"FMT";"profit",#N/A,FALSE,"Aero Other";"profit",#N/A,FALSE,"Judgement"}</definedName>
    <definedName function="false" hidden="true" name="proformrow" vbProcedure="false">#REF!</definedName>
    <definedName function="false" hidden="false" name="Programming" vbProcedure="false">#REF!</definedName>
    <definedName function="false" hidden="true" name="projdepamort" vbProcedure="false">#REF!</definedName>
    <definedName function="false" hidden="false" name="Project" vbProcedure="false">#REF!</definedName>
    <definedName function="false" hidden="false" name="ProjectIDList" vbProcedure="false">Lists!$A$2:$A$44</definedName>
    <definedName function="false" hidden="false" name="projects" vbProcedure="false">#REF!</definedName>
    <definedName function="false" hidden="true" name="projepsstart" vbProcedure="false">#REF!</definedName>
    <definedName function="false" hidden="true" name="projint" vbProcedure="false">#REF!</definedName>
    <definedName function="false" hidden="true" name="projrev" vbProcedure="false">#REF!</definedName>
    <definedName function="false" hidden="true" name="projtax" vbProcedure="false">#REF!</definedName>
    <definedName function="false" hidden="false" name="prop2p" vbProcedure="false">#REF!</definedName>
    <definedName function="false" hidden="false" name="propf" vbProcedure="false">#REF!</definedName>
    <definedName function="false" hidden="false" name="props" vbProcedure="false">#REF!</definedName>
    <definedName function="false" hidden="true" name="Provider_Network_Exp_Dental_Range" vbProcedure="false">#REF!</definedName>
    <definedName function="false" hidden="true" name="Provider_Network_Exp_Medical_Range" vbProcedure="false">#REF!</definedName>
    <definedName function="false" hidden="true" name="Prov_net_total_admits_curr" vbProcedure="false">#REF!</definedName>
    <definedName function="false" hidden="true" name="Prov_net_total_admits_prior" vbProcedure="false">#REF!</definedName>
    <definedName function="false" hidden="true" name="PSUName" vbProcedure="false">#REF!</definedName>
    <definedName function="false" hidden="true" name="PSUNumber" vbProcedure="false">#REF!</definedName>
    <definedName function="false" hidden="true" name="PUB_FileID" vbProcedure="false">"L10003787.xls"</definedName>
    <definedName function="false" hidden="true" name="pwn" vbProcedure="false">{#N/A,#N/A,FALSE,"Model"}</definedName>
    <definedName function="false" hidden="true" name="q" vbProcedure="false">{#N/A,#N/A,FALSE,"Approval Form"}</definedName>
    <definedName function="false" hidden="true" name="qaz" vbProcedure="false">{#N/A,#N/A,FALSE,"Pharm";#N/A,#N/A,FALSE,"WWCM"}</definedName>
    <definedName function="false" hidden="true" name="qe5yh" vbProcedure="false">{#N/A,#N/A,FALSE,"Summary";#N/A,#N/A,FALSE,"Projections";#N/A,#N/A,FALSE,"Mkt Mults";#N/A,#N/A,FALSE,"DCF";#N/A,#N/A,FALSE,"Accr Dil";#N/A,#N/A,FALSE,"PIC LBO";#N/A,#N/A,FALSE,"MULT10_4";#N/A,#N/A,FALSE,"CBI LBO"}</definedName>
    <definedName function="false" hidden="true" name="qertweyu" vbProcedure="false">{#N/A,#N/A,FALSE,"REPORT"}</definedName>
    <definedName function="false" hidden="true" name="qetryywt" vbProcedure="false">{#N/A,#N/A,FALSE,"REPORT"}</definedName>
    <definedName function="false" hidden="true" name="qqq" vbProcedure="false">{#N/A,#N/A,FALSE,"Pharm";#N/A,#N/A,FALSE,"WWCM"}</definedName>
    <definedName function="false" hidden="true" name="qqwtweryey" vbProcedure="false">{#N/A,#N/A,FALSE,"REPORT"}</definedName>
    <definedName function="false" hidden="true" name="qrewqw" vbProcedure="false">"c1166"</definedName>
    <definedName function="false" hidden="false" name="QRYNAME21" vbProcedure="false">"Div P&amp;L by Qtr-without Q &amp; Gore"</definedName>
    <definedName function="false" hidden="false" name="QRYNAME28" vbProcedure="false">"bqP&amp;LUSFcstHK"</definedName>
    <definedName function="false" hidden="false" name="QRYNAME29" vbProcedure="false">"bqP&amp;LOUSFcstHK"</definedName>
    <definedName function="false" hidden="false" name="QRYNAME8" vbProcedure="false">"BOLO QRY: 3:  SHEET:P&amp;L w.Account Query"</definedName>
    <definedName function="false" hidden="false" name="QTR2" vbProcedure="false">#REF!</definedName>
    <definedName function="false" hidden="false" name="Qtr_Fcst" vbProcedure="false">#REF!</definedName>
    <definedName function="false" hidden="false" name="Quarter" vbProcedure="false">#REF!</definedName>
    <definedName function="false" hidden="false" name="QuarterClose" vbProcedure="false">#REF!</definedName>
    <definedName function="false" hidden="false" name="QuarterExit" vbProcedure="false">#REF!</definedName>
    <definedName function="false" hidden="false" name="QuarterExitBSF" vbProcedure="false">#REF!</definedName>
    <definedName function="false" hidden="true" name="qw" vbProcedure="false">{#N/A,#N/A,FALSE,"REPORT"}</definedName>
    <definedName function="false" hidden="true" name="qweqw" vbProcedure="false">{"FY97Q1 var",#N/A,FALSE,"FY97 - Q1";"FY97Q2 var",#N/A,FALSE,"FY97 - Q2";"FY97Q3 var",#N/A,FALSE,"FY97 - Q3";"FY97Q4 var",#N/A,FALSE,"FY97 - Q4"}</definedName>
    <definedName function="false" hidden="true" name="qwer" vbProcedure="false">{"FY97Total",#N/A,FALSE,"FY97 - Total";"FY98Total",#N/A,FALSE,"FY98 - Total"}</definedName>
    <definedName function="false" hidden="true" name="qwertqry" vbProcedure="false">{#N/A,#N/A,FALSE,"REPORT"}</definedName>
    <definedName function="false" hidden="true" name="qwetqryetytu" vbProcedure="false">{#N/A,#N/A,FALSE,"Pharm";#N/A,#N/A,FALSE,"WWCM"}</definedName>
    <definedName function="false" hidden="true" name="qwewq" vbProcedure="false">{"FY97Q1",#N/A,FALSE,"FY97 - Q1";"FY97Q2",#N/A,FALSE,"FY97 - Q2";"FY97Q3",#N/A,FALSE,"FY97 - Q3";"FY97Q4",#N/A,FALSE,"FY97 - Q4"}</definedName>
    <definedName function="false" hidden="true" name="r.CashFlow" vbProcedure="false">#REF!</definedName>
    <definedName function="false" hidden="true" name="r.Leverage" vbProcedure="false">#REF!</definedName>
    <definedName function="false" hidden="true" name="r.Liquidity" vbProcedure="false">#REF!</definedName>
    <definedName function="false" hidden="true" name="r.Market" vbProcedure="false">#REF!</definedName>
    <definedName function="false" hidden="true" name="r.Profitability" vbProcedure="false">#REF!</definedName>
    <definedName function="false" hidden="true" name="r.Summary" vbProcedure="false">#REF!</definedName>
    <definedName function="false" hidden="false" name="Rating" vbProcedure="false">#REF!</definedName>
    <definedName function="false" hidden="false" name="RawData" vbProcedure="false">#REF!</definedName>
    <definedName function="false" hidden="tru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true" name="RCArea" vbProcedure="false">#REF!</definedName>
    <definedName function="false" hidden="true" name="re" vbProcedure="false">{"profit",#N/A,FALSE,"Aero V prior";"profit",#N/A,FALSE,"Eng V Prior";"profit",#N/A,FALSE,"AES V Prior";"profit",#N/A,FALSE,"ES V Prior";"profit",#N/A,FALSE,"CAS V Prior";"profit",#N/A,FALSE,"ATSC V Prior";"profit",#N/A,FALSE,"FMT V Prior";"profit",#N/A,FALSE,"Aero Other V Prior";"profit",#N/A,FALSE,"Judge V Prior"}</definedName>
    <definedName function="false" hidden="false" name="Read_Only_CPU_License" vbProcedure="false">#REF!</definedName>
    <definedName function="false" hidden="true" name="Recap" vbProcedure="false">{#N/A,#N/A,FALSE,"IPO";#N/A,#N/A,FALSE,"DCF";#N/A,#N/A,FALSE,"LBO";#N/A,#N/A,FALSE,"MULT_VAL";#N/A,#N/A,FALSE,"Status Quo";#N/A,#N/A,FALSE,"Recap"}</definedName>
    <definedName function="false" hidden="true" name="recon" vbProcedure="false">{#N/A,#N/A,FALSE,"Aging Summary";#N/A,#N/A,FALSE,"Ratio Analysis";#N/A,#N/A,FALSE,"Test 120 Day Accts";#N/A,#N/A,FALSE,"Tickmarks"}</definedName>
    <definedName function="false" hidden="true" name="RedefinePrintTableRange" vbProcedure="false">#REF!</definedName>
    <definedName function="false" hidden="false" name="reference" vbProcedure="false">#REF!</definedName>
    <definedName function="false" hidden="false" name="Refore_Month" vbProcedure="false">#REF!</definedName>
    <definedName function="false" hidden="false" name="refund1" vbProcedure="false">#REF!</definedName>
    <definedName function="false" hidden="true" name="reggie" vbProcedure="false">{#N/A,#N/A,FALSE,"Pharm";#N/A,#N/A,FALSE,"WWCM"}</definedName>
    <definedName function="false" hidden="true" name="regmult" vbProcedure="false">#REF!</definedName>
    <definedName function="false" hidden="true" name="Regression" vbProcedure="false">#REF!</definedName>
    <definedName function="false" hidden="true" name="RegY" vbProcedure="false">#REF!</definedName>
    <definedName function="false" hidden="true" name="Remove_Dental_Combined_Section_Check" vbProcedure="false">#REF!</definedName>
    <definedName function="false" hidden="true" name="Remove_Dental_PPO_Max_Section_Check" vbProcedure="false">#REF!</definedName>
    <definedName function="false" hidden="true" name="Remove_Dental_PPO_Section_Check" vbProcedure="false">#REF!</definedName>
    <definedName function="false" hidden="false" name="ReportDate" vbProcedure="false">#REF!</definedName>
    <definedName function="false" hidden="false" name="ReportMonth" vbProcedure="false">#REF!</definedName>
    <definedName function="false" hidden="false" name="ReportPeriod" vbProcedure="false">#REF!</definedName>
    <definedName function="false" hidden="false" name="ReportYearEnd" vbProcedure="false">#REF!</definedName>
    <definedName function="false" hidden="true" name="Report_Criteria_Home" vbProcedure="false">#REF!</definedName>
    <definedName function="false" hidden="true" name="Report_Criteria_Range" vbProcedure="false">#REF!</definedName>
    <definedName function="false" hidden="true" name="Request_ID" vbProcedure="false">#REF!</definedName>
    <definedName function="false" hidden="true" name="resp." vbProcedure="false">{#N/A,#N/A,FALSE,"Pharm";#N/A,#N/A,FALSE,"WWCM"}</definedName>
    <definedName function="false" hidden="false" name="RestrictedCash" vbProcedure="false">#REF!</definedName>
    <definedName function="false" hidden="true" name="retail_claims_curr" vbProcedure="false">#REF!</definedName>
    <definedName function="false" hidden="true" name="retail_claims_prior" vbProcedure="false">#REF!</definedName>
    <definedName function="false" hidden="true" name="retail_copay_amt_curr" vbProcedure="false">#REF!</definedName>
    <definedName function="false" hidden="true" name="retail_copay_amt_prior" vbProcedure="false">#REF!</definedName>
    <definedName function="false" hidden="true" name="retail_paid_amt_curr" vbProcedure="false">#REF!</definedName>
    <definedName function="false" hidden="true" name="retail_paid_amt_prior" vbProcedure="false">#REF!</definedName>
    <definedName function="false" hidden="true" name="retail_plan_paid_amt_curr" vbProcedure="false">#REF!</definedName>
    <definedName function="false" hidden="true" name="retail_plan_paid_amt_prior" vbProcedure="false">#REF!</definedName>
    <definedName function="false" hidden="true" name="retyu" vbProcedure="false">{#N/A,#N/A,FALSE,"AD_Purchase";#N/A,#N/A,FALSE,"Credit";#N/A,#N/A,FALSE,"PF Acquisition";#N/A,#N/A,FALSE,"PF Offering"}</definedName>
    <definedName function="false" hidden="false" name="Revenue" vbProcedure="false">#REF!</definedName>
    <definedName function="false" hidden="false" name="RevolverDebt" vbProcedure="false">#REF!</definedName>
    <definedName function="false" hidden="true" name="rf2e" vbProcedure="false">{#N/A,#N/A,FALSE,"Pharm";#N/A,#N/A,FALSE,"WWCM"}</definedName>
    <definedName function="false" hidden="true" name="rfgg" vbProcedure="false">{#N/A,#N/A,FALSE,"sum-don";#N/A,#N/A,FALSE,"inc-don"}</definedName>
    <definedName function="false" hidden="true" name="rngClientName" vbProcedure="false">#REF!</definedName>
    <definedName function="false" hidden="true" name="rngComments" vbProcedure="false">#REF!</definedName>
    <definedName function="false" hidden="true" name="rngCustJur_1" vbProcedure="false">#REF!</definedName>
    <definedName function="false" hidden="true" name="rngCustJur_10" vbProcedure="false">#REF!</definedName>
    <definedName function="false" hidden="true" name="rngCustJur_11" vbProcedure="false">#REF!</definedName>
    <definedName function="false" hidden="true" name="rngCustJur_12" vbProcedure="false">#REF!</definedName>
    <definedName function="false" hidden="true" name="rngCustJur_13" vbProcedure="false">#REF!</definedName>
    <definedName function="false" hidden="true" name="rngCustJur_14" vbProcedure="false">#REF!</definedName>
    <definedName function="false" hidden="true" name="rngCustJur_15" vbProcedure="false">#REF!</definedName>
    <definedName function="false" hidden="true" name="rngCustJur_2" vbProcedure="false">#REF!</definedName>
    <definedName function="false" hidden="true" name="rngCustJur_3" vbProcedure="false">#REF!</definedName>
    <definedName function="false" hidden="true" name="rngCustJur_4" vbProcedure="false">#REF!</definedName>
    <definedName function="false" hidden="true" name="rngCustJur_5" vbProcedure="false">#REF!</definedName>
    <definedName function="false" hidden="true" name="rngCustJur_6" vbProcedure="false">#REF!</definedName>
    <definedName function="false" hidden="true" name="rngCustJur_7" vbProcedure="false">#REF!</definedName>
    <definedName function="false" hidden="true" name="rngCustJur_8" vbProcedure="false">#REF!</definedName>
    <definedName function="false" hidden="true" name="rngCustJur_9" vbProcedure="false">#REF!</definedName>
    <definedName function="false" hidden="true" name="rngDialogType" vbProcedure="false">#REF!</definedName>
    <definedName function="false" hidden="true" name="rngEndDate" vbProcedure="false">#REF!</definedName>
    <definedName function="false" hidden="true" name="rngFYE" vbProcedure="false">#REF!</definedName>
    <definedName function="false" hidden="true" name="rngLastQuery" vbProcedure="false">#REF!</definedName>
    <definedName function="false" hidden="true" name="rngLastRefreshOffline" vbProcedure="false">#REF!</definedName>
    <definedName function="false" hidden="true" name="rngPassword" vbProcedure="false">#REF!</definedName>
    <definedName function="false" hidden="true" name="rngPivotLocation" vbProcedure="false">#REF!</definedName>
    <definedName function="false" hidden="true" name="rngPre_4" vbProcedure="false">#REF!</definedName>
    <definedName function="false" hidden="true" name="rngProtected" vbProcedure="false">#REF!</definedName>
    <definedName function="false" hidden="true" name="rngPWD" vbProcedure="false">#REF!</definedName>
    <definedName function="false" hidden="true" name="rngQuery" vbProcedure="false">#REF!</definedName>
    <definedName function="false" hidden="true" name="rngQueryType" vbProcedure="false">#REF!</definedName>
    <definedName function="false" hidden="true" name="rngRangeName" vbProcedure="false">#REF!</definedName>
    <definedName function="false" hidden="true" name="rngRefreshedDate" vbProcedure="false">#REF!</definedName>
    <definedName function="false" hidden="true" name="rngReview_4" vbProcedure="false">#REF!</definedName>
    <definedName function="false" hidden="true" name="rngScenarios" vbProcedure="false">#REF!</definedName>
    <definedName function="false" hidden="true" name="rngShow" vbProcedure="false">#REF!</definedName>
    <definedName function="false" hidden="true" name="rngStartDate" vbProcedure="false">#REF!</definedName>
    <definedName function="false" hidden="true" name="rngStoredProcedure" vbProcedure="false">#REF!</definedName>
    <definedName function="false" hidden="true" name="rngUID" vbProcedure="false">#REF!</definedName>
    <definedName function="false" hidden="true" name="rngUnplugged" vbProcedure="false">#REF!</definedName>
    <definedName function="false" hidden="true" name="rngVersion" vbProcedure="false">#REF!</definedName>
    <definedName function="false" hidden="false" name="RoleList" vbProcedure="false">Lists!$M$2:$M$4</definedName>
    <definedName function="false" hidden="true" name="row_height_current" vbProcedure="false">#REF!</definedName>
    <definedName function="false" hidden="true" name="rrrrr" vbProcedure="false">{#N/A,#N/A,FALSE,"Pharm";#N/A,#N/A,FALSE,"WWCM"}</definedName>
    <definedName function="false" hidden="false" name="RRSPRate" vbProcedure="false">#REF!</definedName>
    <definedName function="false" hidden="false" name="rs" vbProcedure="false">{"'Cover'!$B$11"}</definedName>
    <definedName function="false" hidden="true" name="rt" vbProcedure="false">{"FY97Total var",#N/A,FALSE,"FY97 - Total";"FY98Total var",#N/A,FALSE,"FY98 - Total"}</definedName>
    <definedName function="false" hidden="true" name="Run_Date" vbProcedure="false">#REF!</definedName>
    <definedName function="false" hidden="true" name="Run_TOC_Switch" vbProcedure="false">#REF!</definedName>
    <definedName function="false" hidden="true" name="rwert" vbProcedure="false">{#N/A,#N/A,FALSE,"Pharm";#N/A,#N/A,FALSE,"WWCM"}</definedName>
    <definedName function="false" hidden="true" name="rwn" vbProcedure="false">{#N/A,#N/A,FALSE,"Assumptions";#N/A,#N/A,FALSE,"Factors";#N/A,#N/A,FALSE,"Model";#N/A,#N/A,FALSE,"Allocation"}</definedName>
    <definedName function="false" hidden="false" name="Rwvu.PRT." vbProcedure="false">#REF!,#REF!</definedName>
    <definedName function="false" hidden="false" name="Rwvu.Prt.2" vbProcedure="false">#REF!,#REF!</definedName>
    <definedName function="false" hidden="true" name="Rx_AHF_avg_age_members_curr" vbProcedure="false">#REF!</definedName>
    <definedName function="false" hidden="true" name="Rx_AHF_avg_age_members_prior" vbProcedure="false">#REF!</definedName>
    <definedName function="false" hidden="true" name="Rx_AHF_female_members_curr" vbProcedure="false">#REF!</definedName>
    <definedName function="false" hidden="true" name="Rx_AHF_female_members_prior" vbProcedure="false">#REF!</definedName>
    <definedName function="false" hidden="true" name="Rx_AHF_female_mem_0_19_curr" vbProcedure="false">#REF!</definedName>
    <definedName function="false" hidden="true" name="Rx_AHF_female_mem_0_19_prior" vbProcedure="false">#REF!</definedName>
    <definedName function="false" hidden="true" name="Rx_AHF_female_mem_20_44_curr" vbProcedure="false">#REF!</definedName>
    <definedName function="false" hidden="true" name="Rx_AHF_female_mem_20_44_prior" vbProcedure="false">#REF!</definedName>
    <definedName function="false" hidden="true" name="Rx_AHF_female_mem_45_64_curr" vbProcedure="false">#REF!</definedName>
    <definedName function="false" hidden="true" name="Rx_AHF_female_mem_45_64_prior" vbProcedure="false">#REF!</definedName>
    <definedName function="false" hidden="true" name="Rx_AHF_female_mem_65_over_curr" vbProcedure="false">#REF!</definedName>
    <definedName function="false" hidden="true" name="Rx_AHF_female_mem_65_over_prior" vbProcedure="false">#REF!</definedName>
    <definedName function="false" hidden="true" name="Rx_AHF_Ind" vbProcedure="false">#REF!</definedName>
    <definedName function="false" hidden="true" name="Rx_AHF_male_members_curr" vbProcedure="false">#REF!</definedName>
    <definedName function="false" hidden="true" name="Rx_AHF_male_members_prior" vbProcedure="false">#REF!</definedName>
    <definedName function="false" hidden="true" name="Rx_AHF_male_mem_0_19_curr" vbProcedure="false">#REF!</definedName>
    <definedName function="false" hidden="true" name="Rx_AHF_male_mem_0_19_prior" vbProcedure="false">#REF!</definedName>
    <definedName function="false" hidden="true" name="Rx_AHF_male_mem_20_44_curr" vbProcedure="false">#REF!</definedName>
    <definedName function="false" hidden="true" name="Rx_AHF_male_mem_20_44_prior" vbProcedure="false">#REF!</definedName>
    <definedName function="false" hidden="true" name="Rx_AHF_male_mem_45_64_curr" vbProcedure="false">#REF!</definedName>
    <definedName function="false" hidden="true" name="Rx_AHF_male_mem_45_64_prior" vbProcedure="false">#REF!</definedName>
    <definedName function="false" hidden="true" name="Rx_AHF_male_mem_65_over_curr" vbProcedure="false">#REF!</definedName>
    <definedName function="false" hidden="true" name="Rx_AHF_male_mem_65_over_prior" vbProcedure="false">#REF!</definedName>
    <definedName function="false" hidden="true" name="Rx_AHF_months_curr" vbProcedure="false">#REF!</definedName>
    <definedName function="false" hidden="true" name="Rx_AHF_months_prior" vbProcedure="false">#REF!</definedName>
    <definedName function="false" hidden="true" name="Rx_AHF_num_employees_curr" vbProcedure="false">#REF!</definedName>
    <definedName function="false" hidden="true" name="Rx_AHF_num_employees_prior" vbProcedure="false">#REF!</definedName>
    <definedName function="false" hidden="true" name="Rx_AHF_num_members_curr" vbProcedure="false">#REF!</definedName>
    <definedName function="false" hidden="true" name="Rx_AHF_num_members_prior" vbProcedure="false">#REF!</definedName>
    <definedName function="false" hidden="true" name="Rx_AHF_unknown_members_curr" vbProcedure="false">#REF!</definedName>
    <definedName function="false" hidden="true" name="Rx_AHF_unknown_members_prior" vbProcedure="false">#REF!</definedName>
    <definedName function="false" hidden="true" name="Rx_AHF_unknown_mem_0_19_curr" vbProcedure="false">#REF!</definedName>
    <definedName function="false" hidden="true" name="Rx_AHF_unknown_mem_0_19_prior" vbProcedure="false">#REF!</definedName>
    <definedName function="false" hidden="true" name="Rx_AHF_unknown_mem_20_44_curr" vbProcedure="false">#REF!</definedName>
    <definedName function="false" hidden="true" name="Rx_AHF_unknown_mem_20_44_prior" vbProcedure="false">#REF!</definedName>
    <definedName function="false" hidden="true" name="Rx_AHF_unknown_mem_45_64_curr" vbProcedure="false">#REF!</definedName>
    <definedName function="false" hidden="true" name="Rx_AHF_unknown_mem_45_64_prior" vbProcedure="false">#REF!</definedName>
    <definedName function="false" hidden="true" name="Rx_AHF_unknown_mem_65_over_curr" vbProcedure="false">#REF!</definedName>
    <definedName function="false" hidden="true" name="Rx_AHF_unknown_mem_65_over_prior" vbProcedure="false">#REF!</definedName>
    <definedName function="false" hidden="true" name="Rx_avg_age_members_curr" vbProcedure="false">#REF!</definedName>
    <definedName function="false" hidden="true" name="Rx_avg_age_members_prior" vbProcedure="false">#REF!</definedName>
    <definedName function="false" hidden="true" name="Rx_data_check" vbProcedure="false">#REF!</definedName>
    <definedName function="false" hidden="true" name="Rx_Demographics_Range" vbProcedure="false">#REF!</definedName>
    <definedName function="false" hidden="true" name="Rx_female_members_curr" vbProcedure="false">#REF!</definedName>
    <definedName function="false" hidden="true" name="Rx_female_members_prior" vbProcedure="false">#REF!</definedName>
    <definedName function="false" hidden="true" name="Rx_female_mem_0_19_curr" vbProcedure="false">#REF!</definedName>
    <definedName function="false" hidden="true" name="Rx_female_mem_0_19_prior" vbProcedure="false">#REF!</definedName>
    <definedName function="false" hidden="true" name="Rx_female_mem_20_44_curr" vbProcedure="false">#REF!</definedName>
    <definedName function="false" hidden="true" name="Rx_female_mem_20_44_prior" vbProcedure="false">#REF!</definedName>
    <definedName function="false" hidden="true" name="Rx_female_mem_45_64_curr" vbProcedure="false">#REF!</definedName>
    <definedName function="false" hidden="true" name="Rx_female_mem_45_64_prior" vbProcedure="false">#REF!</definedName>
    <definedName function="false" hidden="true" name="Rx_female_mem_65_over_curr" vbProcedure="false">#REF!</definedName>
    <definedName function="false" hidden="true" name="Rx_female_mem_65_over_prior" vbProcedure="false">#REF!</definedName>
    <definedName function="false" hidden="true" name="Rx_Formulary_Analysis_Range" vbProcedure="false">#REF!</definedName>
    <definedName function="false" hidden="true" name="Rx_GPI_Roll_Up_Categories_Range" vbProcedure="false">#REF!</definedName>
    <definedName function="false" hidden="true" name="Rx_Key_Statistics_by_Generic_Range" vbProcedure="false">#REF!</definedName>
    <definedName function="false" hidden="true" name="Rx_Key_Statistics_Range" vbProcedure="false">#REF!</definedName>
    <definedName function="false" hidden="true" name="Rx_male_members_curr" vbProcedure="false">#REF!</definedName>
    <definedName function="false" hidden="true" name="Rx_male_members_prior" vbProcedure="false">#REF!</definedName>
    <definedName function="false" hidden="true" name="Rx_male_mem_0_19_curr" vbProcedure="false">#REF!</definedName>
    <definedName function="false" hidden="true" name="Rx_male_mem_0_19_prior" vbProcedure="false">#REF!</definedName>
    <definedName function="false" hidden="true" name="Rx_male_mem_20_44_curr" vbProcedure="false">#REF!</definedName>
    <definedName function="false" hidden="true" name="Rx_male_mem_20_44_prior" vbProcedure="false">#REF!</definedName>
    <definedName function="false" hidden="true" name="Rx_male_mem_45_64_curr" vbProcedure="false">#REF!</definedName>
    <definedName function="false" hidden="true" name="Rx_male_mem_45_64_prior" vbProcedure="false">#REF!</definedName>
    <definedName function="false" hidden="true" name="Rx_male_mem_65_over_curr" vbProcedure="false">#REF!</definedName>
    <definedName function="false" hidden="true" name="Rx_male_mem_65_over_prior" vbProcedure="false">#REF!</definedName>
    <definedName function="false" hidden="true" name="Rx_months_curr" vbProcedure="false">#REF!</definedName>
    <definedName function="false" hidden="true" name="Rx_months_prior" vbProcedure="false">#REF!</definedName>
    <definedName function="false" hidden="true" name="Rx_Network_Analysis_Savings_Range" vbProcedure="false">#REF!</definedName>
    <definedName function="false" hidden="true" name="Rx_num_employees_curr" vbProcedure="false">#REF!</definedName>
    <definedName function="false" hidden="true" name="Rx_num_employees_prior" vbProcedure="false">#REF!</definedName>
    <definedName function="false" hidden="true" name="Rx_num_members_curr" vbProcedure="false">#REF!</definedName>
    <definedName function="false" hidden="true" name="Rx_num_members_prior" vbProcedure="false">#REF!</definedName>
    <definedName function="false" hidden="true" name="Rx_paid_amt_prior" vbProcedure="false">#REF!</definedName>
    <definedName function="false" hidden="true" name="Rx_Retail_vs_MOD_Impact_Range" vbProcedure="false">#REF!</definedName>
    <definedName function="false" hidden="true" name="Rx_Top_30_Drugs_by_Claims_Range" vbProcedure="false">#REF!</definedName>
    <definedName function="false" hidden="true" name="Rx_Top_30_Drugs_by_Paid_Range" vbProcedure="false">#REF!</definedName>
    <definedName function="false" hidden="true" name="Rx_unknown_members_curr" vbProcedure="false">#REF!</definedName>
    <definedName function="false" hidden="true" name="Rx_unknown_members_prior" vbProcedure="false">#REF!</definedName>
    <definedName function="false" hidden="true" name="Rx_unknown_mem_0_19_curr" vbProcedure="false">#REF!</definedName>
    <definedName function="false" hidden="true" name="Rx_unknown_mem_0_19_prior" vbProcedure="false">#REF!</definedName>
    <definedName function="false" hidden="true" name="Rx_unknown_mem_20_44_curr" vbProcedure="false">#REF!</definedName>
    <definedName function="false" hidden="true" name="Rx_unknown_mem_20_44_prior" vbProcedure="false">#REF!</definedName>
    <definedName function="false" hidden="true" name="Rx_unknown_mem_45_64_curr" vbProcedure="false">#REF!</definedName>
    <definedName function="false" hidden="true" name="Rx_unknown_mem_45_64_prior" vbProcedure="false">#REF!</definedName>
    <definedName function="false" hidden="true" name="Rx_unknown_mem_65_over_curr" vbProcedure="false">#REF!</definedName>
    <definedName function="false" hidden="true" name="Rx_unknown_mem_65_over_prior" vbProcedure="false">#REF!</definedName>
    <definedName function="false" hidden="tru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72_factors" vbProcedure="false">#REF!</definedName>
    <definedName function="false" hidden="true" name="SAA" vbProcedure="false">{#N/A,#N/A,FALSE,"BBC FORM";#N/A,#N/A,FALSE,"BBC FORM INSTRUCTIONS";#N/A,#N/A,FALSE,"AR INELIGIBLE FORM";#N/A,#N/A,FALSE,"AR INELIGIBLE FORM INSTRUCTIONS";#N/A,#N/A,FALSE,"INVENTORY STATUS CERTIFICATE"}</definedName>
    <definedName function="false" hidden="false" name="sad" vbProcedure="false">#REF!</definedName>
    <definedName function="false" hidden="false" name="sadf" vbProcedure="false">{"ReportTop",#N/A,FALSE,"report top"}</definedName>
    <definedName function="false" hidden="false" name="Sales" vbProcedure="false">#REF!</definedName>
    <definedName function="false" hidden="false" name="Sales_1" vbProcedure="false">#REF!</definedName>
    <definedName function="false" hidden="false" name="Sales_2" vbProcedure="false">#REF!</definedName>
    <definedName function="false" hidden="false" name="Sales_3" vbProcedure="false">#REF!</definedName>
    <definedName function="false" hidden="false" name="Sales_4" vbProcedure="false">#REF!</definedName>
    <definedName function="false" hidden="false" name="Sales_5" vbProcedure="false">#REF!</definedName>
    <definedName function="false" hidden="true" name="sally" vbProcedure="false">{#N/A,#N/A,FALSE,"Pharm";#N/A,#N/A,FALSE,"WWCM"}</definedName>
    <definedName function="false" hidden="true" name="Sav_Benefit_Dental_Range" vbProcedure="false">#REF!</definedName>
    <definedName function="false" hidden="true" name="sbp_allowed_amt" vbProcedure="false">#REF!</definedName>
    <definedName function="false" hidden="true" name="SBP_Network_Discount_Savings_Percent" vbProcedure="false">#REF!</definedName>
    <definedName function="false" hidden="true" name="SBP_Percent_Allowed_Amount" vbProcedure="false">#REF!</definedName>
    <definedName function="false" hidden="false" name="Scenario" vbProcedure="false">#REF!</definedName>
    <definedName function="false" hidden="false" name="ScenarioBSF" vbProcedure="false">#REF!</definedName>
    <definedName function="false" hidden="true" name="SD" vbProcedure="false">{#N/A,#N/A,FALSE,"Pharm";#N/A,#N/A,FALSE,"WWCM"}</definedName>
    <definedName function="false" hidden="true" name="sda" vbProcedure="false">{#N/A,#N/A,FALSE,"TS";#N/A,#N/A,FALSE,"Combo";#N/A,#N/A,FALSE,"FAIR";#N/A,#N/A,FALSE,"RBC";#N/A,#N/A,FALSE,"xxxx";#N/A,#N/A,FALSE,"A_D";#N/A,#N/A,FALSE,"WACC";#N/A,#N/A,FALSE,"DCF";#N/A,#N/A,FALSE,"LBO";#N/A,#N/A,FALSE,"AcqMults";#N/A,#N/A,FALSE,"CompMults"}</definedName>
    <definedName function="false" hidden="true" name="sdafgs" vbProcedure="false">{#N/A,#N/A,FALSE,"Pharm";#N/A,#N/A,FALSE,"WWCM"}</definedName>
    <definedName function="false" hidden="true" name="sdasdfa" vbProcedure="false">{#N/A,#N/A,FALSE,"President's Cover";#N/A,#N/A,FALSE,"A.1 1998 Objectives";#N/A,#N/A,FALSE,"A.2 President's Measures";#N/A,#N/A,FALSE,"A.3 Commentary"}</definedName>
    <definedName function="false" hidden="true" name="sdddss" vbProcedure="false">#REF!</definedName>
    <definedName function="false" hidden="true" name="sde" vbProcedure="false">{"FY98Q1",#N/A,FALSE,"FY98 - Q1";"FY98Q2",#N/A,FALSE,"FY98 - Q2";"FY98Q3",#N/A,FALSE,"FY98 - Q3";"FY98Q4",#N/A,FALSE,"FY98 - Q4"}</definedName>
    <definedName function="false" hidden="true" name="sdf" vbProcedure="false">{#N/A,#N/A,FALSE,"ROUTING PAGE";#N/A,#N/A,FALSE,"WORKSHEET INDEX";#N/A,#N/A,FALSE,"GENERAL INFORMATION";#N/A,#N/A,FALSE,"BOOKS AND RECORDS ANALYSIS";#N/A,#N/A,FALSE,"COLLATERAL AND LOAN POSITION";#N/A,#N/A,FALSE,"COLLATERAL POSITION FOOTNOTES";#N/A,#N/A,FALSE,"GL REVOLVING LOAN BALANCES";#N/A,#N/A,FALSE,"GENERAL AR INFORMATION";#N/A,#N/A,FALSE,"AR AGINGS";#N/A,#N/A,FALSE,"ANALYSIS OF DELINQUENT ACCOUNTS";#N/A,#N/A,FALSE,"ALLOWANCE FOR DOUBTFUL ACCOUNTS";#N/A,#N/A,FALSE,"AR CONCENTRATION &amp; INELIGIBLES";#N/A,#N/A,FALSE,"AR ACTIVITY";#N/A,#N/A,FALSE,"PROOF OF DELIVERY";#N/A,#N/A,FALSE,"CREDIT MEMO ANALYSIS";#N/A,#N/A,FALSE,"GENERAL INVENTORY INFORMATION";#N/A,#N/A,FALSE,"INVENTORY SUMMARY";#N/A,#N/A,FALSE,"INVENTORY BY LOCATION";#N/A,#N/A,FALSE,"INVENTORY WRITE-OFFS";#N/A,#N/A,FALSE,"INVENTORY ACTIVITY";#N/A,#N/A,FALSE,"INVENTORY TEST COUNT";#N/A,#N/A,FALSE,"GROSS MARGIN ANALYSIS";#N/A,#N/A,FALSE,"UNIT COST ANALYSIS";#N/A,#N/A,FALSE,"FIXED ASSETS";#N/A,#N/A,FALSE,"AP AGING";#N/A,#N/A,FALSE,"AP CONCENTRATION";#N/A,#N/A,FALSE,"PAYROLL &amp; OTHER TAXES";#N/A,#N/A,FALSE,"BANK INFORMATION";#N/A,#N/A,FALSE,"NOTES AND CONTRACTS RECEIVABLE";#N/A,#N/A,FALSE,"NOTES PAYABLE &amp; CONTINGENT LIAB"}</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sdfdsafds" vbProcedure="false">{#N/A,#N/A,FALSE,"AE detail rpt"}</definedName>
    <definedName function="false" hidden="true" name="sdfg" vbProcedure="false">{#N/A,#N/A,FALSE,"Sheet1"}</definedName>
    <definedName function="false" hidden="true" name="sdfh" vbProcedure="false">{#N/A,#N/A,FALSE,"Pharm";#N/A,#N/A,FALSE,"WWCM"}</definedName>
    <definedName function="false" hidden="true" name="sdfsfdgf" vbProcedure="false">{#N/A,#N/A,FALSE,"AE detail rpt"}</definedName>
    <definedName function="false" hidden="true" name="sdgagf" vbProcedure="false">{#N/A,#N/A,FALSE,"Pharm";#N/A,#N/A,FALSE,"WWCM"}</definedName>
    <definedName function="false" hidden="true" name="sdsadasd" vbProcedure="false">{#N/A,#N/A,FALSE,"Pharm";#N/A,#N/A,FALSE,"WWCM"}</definedName>
    <definedName function="false" hidden="true" name="sdsd" vbProcedure="false">{#N/A,#N/A,FALSE,"REPORT"}</definedName>
    <definedName function="false" hidden="true" name="selrange" vbProcedure="false">#REF!</definedName>
    <definedName function="false" hidden="false" name="sencount" vbProcedure="false">1</definedName>
    <definedName function="false" hidden="false" name="SeniorTermADebt" vbProcedure="false">#REF!</definedName>
    <definedName function="false" hidden="false" name="SeniorTermBDebt" vbProcedure="false">#REF!</definedName>
    <definedName function="false" hidden="false" name="Senior_Debt_to_EBITDA_Ratio_Definition" vbProcedure="false">#REF!</definedName>
    <definedName function="false" hidden="false" name="Senitive_Prints" vbProcedure="false">#REF!</definedName>
    <definedName function="false" hidden="false" name="SepData" vbProcedure="false">#REF!</definedName>
    <definedName function="false" hidden="true" name="ser" vbProcedure="false">{"FY98Q1",#N/A,FALSE,"FY98 - Q1";"FY98Q2",#N/A,FALSE,"FY98 - Q2";"FY98Q3",#N/A,FALSE,"FY98 - Q3";"FY98Q4",#N/A,FALSE,"FY98 - Q4"}</definedName>
    <definedName function="false" hidden="false" name="serc" vbProcedure="false">#REF!</definedName>
    <definedName function="false" hidden="false" name="Severity" vbProcedure="false">#REF!</definedName>
    <definedName function="false" hidden="true" name="sf" vbProcedure="false">{#N/A,#N/A,FALSE,"Sales Graph";#N/A,#N/A,FALSE,"BUC Graph";#N/A,#N/A,FALSE,"P&amp;L - YTD"}</definedName>
    <definedName function="false" hidden="true" name="sfdirect" vbProcedure="false">{#N/A,#N/A,FALSE,"REPORT"}</definedName>
    <definedName function="false" hidden="true" name="sfg" vbProcedure="false">#REF!</definedName>
    <definedName function="false" hidden="false" name="sfgv" vbProcedure="false">{"consolidated",#N/A,FALSE,"Sheet1";"cms",#N/A,FALSE,"Sheet1";"fse",#N/A,FALSE,"Sheet1"}</definedName>
    <definedName function="false" hidden="false" name="sfq" vbProcedure="false">{#N/A,#N/A,FALSE,"Calc";#N/A,#N/A,FALSE,"Sensitivity";#N/A,#N/A,FALSE,"LT Earn.Dil.";#N/A,#N/A,FALSE,"Dil. AVP"}</definedName>
    <definedName function="false" hidden="true" name="sgdfbdf" vbProcedure="false">{#N/A,#N/A,FALSE,"AE detail rpt"}</definedName>
    <definedName function="false" hidden="false" name="sgdg" vbProcedure="false">{#N/A,#N/A,FALSE,"Calc";#N/A,#N/A,FALSE,"Sensitivity";#N/A,#N/A,FALSE,"LT Earn.Dil.";#N/A,#N/A,FALSE,"Dil. AVP"}</definedName>
    <definedName function="false" hidden="false" name="sgsx" vbProcedure="false">{"consolidated",#N/A,FALSE,"Sheet1";"cms",#N/A,FALSE,"Sheet1";"fse",#N/A,FALSE,"Sheet1"}</definedName>
    <definedName function="false" hidden="false" name="ShareholdersEquity" vbProcedure="false">#REF!</definedName>
    <definedName function="false" hidden="true" name="shareoutltm" vbProcedure="false">#REF!</definedName>
    <definedName function="false" hidden="true" name="sharepriceltm" vbProcedure="false">#REF!</definedName>
    <definedName function="false" hidden="false" name="shdhd"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true" name="Sheeta" vbProcedure="false">{"FY97Tot nvs",#N/A,FALSE,"FY97 - Total";"FY98Tot nvs",#N/A,FALSE,"FY98 - Total"}</definedName>
    <definedName function="false" hidden="false" name="Ship" vbProcedure="false">#REF!</definedName>
    <definedName function="false" hidden="false" name="Significance" vbProcedure="false">#REF!</definedName>
    <definedName function="false" hidden="true" name="SIIII" vbProcedure="false">{"FY97Q1 var",#N/A,FALSE,"FY97 - Q1";"FY97Q2 var",#N/A,FALSE,"FY97 - Q2";"FY97Q3 var",#N/A,FALSE,"FY97 - Q3";"FY97Q4 var",#N/A,FALSE,"FY97 - Q4"}</definedName>
    <definedName function="false" hidden="true" name="singlesource_util_curr" vbProcedure="false">#REF!</definedName>
    <definedName function="false" hidden="true" name="singlesource_util_prior" vbProcedure="false">#REF!</definedName>
    <definedName function="false" hidden="false" name="Site_Delivery_Services" vbProcedure="false">#REF!</definedName>
    <definedName function="false" hidden="true" name="SI_ER_VISITS_FOOTNOTE_DESCRIPTION" vbProcedure="false">#REF!</definedName>
    <definedName function="false" hidden="true" name="SI_Executive_Summary_Home" vbProcedure="false">#REF!</definedName>
    <definedName function="false" hidden="true" name="SI_Executive_Summary_Page" vbProcedure="false">#REF!</definedName>
    <definedName function="false" hidden="true" name="SI_Executive_Summary_Page_NoData_Text" vbProcedure="false">#REF!</definedName>
    <definedName function="false" hidden="true" name="SI_Executive_Summary_Range" vbProcedure="false">#REF!</definedName>
    <definedName function="false" hidden="true" name="SI_EXEC_SUMMARY_RANGE_ROW71_ROW82" vbProcedure="false">#REF!</definedName>
    <definedName function="false" hidden="true" name="SI_EXEC_SUMMARY_RANGE_ROW7_ROW83" vbProcedure="false">#REF!</definedName>
    <definedName function="false" hidden="true" name="si_exec_summary_row44" vbProcedure="false">#REF!</definedName>
    <definedName function="false" hidden="true" name="si_exec_summary_rows12_rows13" vbProcedure="false">#REF!</definedName>
    <definedName function="false" hidden="true" name="si_exec_summary_rows56_rows65" vbProcedure="false">#REF!</definedName>
    <definedName function="false" hidden="true" name="si_exec_summary_rows71_rows83" vbProcedure="false">#REF!</definedName>
    <definedName function="false" hidden="true" name="si_exec_summary_rows7_rows82" vbProcedure="false">#REF!</definedName>
    <definedName function="false" hidden="true" name="si_exec_summary_rows7_rows84" vbProcedure="false">#REF!</definedName>
    <definedName function="false" hidden="true" name="SI_FI_SBP_product_count" vbProcedure="false">#REF!</definedName>
    <definedName function="false" hidden="true" name="SI_Rx_Paid_Current" vbProcedure="false">#REF!</definedName>
    <definedName function="false" hidden="true" name="SI_SBP_product_count" vbProcedure="false">#REF!</definedName>
    <definedName function="false" hidden="true" name="SI_SBP_Total_Prior_Members" vbProcedure="false">#REF!</definedName>
    <definedName function="false" hidden="true" name="SleepmasterIncome" vbProcedure="false">{#N/A,#N/A,FALSE,"TS";#N/A,#N/A,FALSE,"Combo";#N/A,#N/A,FALSE,"FAIR";#N/A,#N/A,FALSE,"RBC";#N/A,#N/A,FALSE,"xxxx";#N/A,#N/A,FALSE,"A_D";#N/A,#N/A,FALSE,"WACC";#N/A,#N/A,FALSE,"DCF";#N/A,#N/A,FALSE,"LBO";#N/A,#N/A,FALSE,"AcqMults";#N/A,#N/A,FALSE,"CompMults"}</definedName>
    <definedName function="false" hidden="true" name="smow" vbProcedure="false">{#N/A,#N/A,FALSE,"Factors"}</definedName>
    <definedName function="false" hidden="true" name="smp" vbProcedure="false">{#N/A,#N/A,FALSE,"Approval2"}</definedName>
    <definedName function="false" hidden="false" name="SNE_Group" vbProcedure="false">#REF!</definedName>
    <definedName function="false" hidden="true" name="snj" vbProcedure="false">{#N/A,#N/A,FALSE,"Medical Ratio"}</definedName>
    <definedName function="false" hidden="true" name="solver_adj" vbProcedure="false">#REF!</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true" name="solver_lhs1" vbProcedure="false">#REF!</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oldobj" vbProcedure="false">1543721.6579517</definedName>
    <definedName function="false" hidden="true" name="solver_opt" vbProcedure="false">#REF!</definedName>
    <definedName function="false" hidden="false" name="solver_pre" vbProcedure="false">0.000001</definedName>
    <definedName function="false" hidden="false" name="solver_rel1" vbProcedure="false">2</definedName>
    <definedName function="false" hidden="false" name="solver_rhs1" vbProcedure="false">1542801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mp" vbProcedure="false">1542801</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true" name="SORT" vbProcedure="false">#REF!</definedName>
    <definedName function="false" hidden="true" name="Sort2" vbProcedure="false">#REF!</definedName>
    <definedName function="false" hidden="true" name="sorta" vbProcedure="false">#REF!</definedName>
    <definedName function="false" hidden="true" name="sort_product" vbProcedure="false">#REF!</definedName>
    <definedName function="false" hidden="true" name="SpecialPrice" vbProcedure="false">#REF!</definedName>
    <definedName function="false" hidden="false" name="SPSet" vbProcedure="false">"current"</definedName>
    <definedName function="false" hidden="false" name="SPWS_WBID" vbProcedure="false">"02C562F3-7661-11D7-A43F-00B0D0C1AEEF"</definedName>
    <definedName function="false" hidden="true" name="srfs" vbProcedure="false">{"FY97Q1",#N/A,FALSE,"FY97 - Q1";"FY97Q2",#N/A,FALSE,"FY97 - Q2";"FY97Q3",#N/A,FALSE,"FY97 - Q3";"FY97Q4",#N/A,FALSE,"FY97 - Q4"}</definedName>
    <definedName function="false" hidden="false" name="ss" vbProcedure="false">{#N/A,#N/A,FALSE,"Calc";#N/A,#N/A,FALSE,"Sensitivity";#N/A,#N/A,FALSE,"LT Earn.Dil.";#N/A,#N/A,FALSE,"Dil. AVP"}</definedName>
    <definedName function="false" hidden="true" name="SSD" vbProcedure="false">{#N/A,#N/A,FALSE,"REPORT"}</definedName>
    <definedName function="false" hidden="true" name="sss" vbProcedure="false">#REF!</definedName>
    <definedName function="false" hidden="false" name="ssss" vbProcedure="false">#REF!</definedName>
    <definedName function="false" hidden="false" name="sssss" vbProcedure="false">{#N/A,#N/A,FALSE,"Calc";#N/A,#N/A,FALSE,"Sensitivity";#N/A,#N/A,FALSE,"LT Earn.Dil.";#N/A,#N/A,FALSE,"Dil. AVP"}</definedName>
    <definedName function="false" hidden="true" name="Staril" vbProcedure="false">{#N/A,#N/A,FALSE,"REPORT"}</definedName>
    <definedName function="false" hidden="false" name="StartDate" vbProcedure="false">#REF!</definedName>
    <definedName function="false" hidden="false" name="StartLTM" vbProcedure="false">#REF!</definedName>
    <definedName function="false" hidden="false" name="StartofPriorYear" vbProcedure="false">#REF!</definedName>
    <definedName function="false" hidden="true" name="states" vbProcedure="false">{"All Contracts",#N/A,FALSE,"Contracts"}</definedName>
    <definedName function="false" hidden="false" name="State_Tax" vbProcedure="false">#REF!</definedName>
    <definedName function="false" hidden="false" name="Status" vbProcedure="false">#REF!</definedName>
    <definedName function="false" hidden="false" name="StatusList" vbProcedure="false">Lists!$K$2:$K$6</definedName>
    <definedName function="false" hidden="true" name="StopLightingCostShare" vbProcedure="false">#REF!</definedName>
    <definedName function="false" hidden="true" name="StopLightingImpactCat" vbProcedure="false">#REF!</definedName>
    <definedName function="false" hidden="true" name="StopLightingKeyStats" vbProcedure="false">#REF!</definedName>
    <definedName function="false" hidden="true" name="StopLightingProviderNetwork" vbProcedure="false">#REF!</definedName>
    <definedName function="false" hidden="true" name="StopLightStart" vbProcedure="false">#REF!</definedName>
    <definedName function="false" hidden="false" name="STRADA" vbProcedure="false">{"'Printed'!$A$1:$Z$48","'Printed'!$A$1"}</definedName>
    <definedName function="false" hidden="true" name="Strategieplan" vbProcedure="false">{#N/A,#N/A,TRUE,"Deckblatt";#N/A,#N/A,TRUE,"Inhaltsverz.";#N/A,#N/A,TRUE,"1.1. Organisationsplan";#N/A,#N/A,TRUE,"1.2. Budget-Übersicht";#N/A,#N/A,TRUE,"2. AE-AB-UE";#N/A,#N/A,TRUE,"3.1. 5-Jahres-Plan";#N/A,#N/A,TRUE,"3.2. Plan-Erg.rg.";#N/A,#N/A,TRUE,"4. Bilanz";#N/A,#N/A,TRUE,"5. Finanzplan";#N/A,#N/A,TRUE,"6. Investionen";#N/A,#N/A,TRUE,"7. Personalplan"}</definedName>
    <definedName function="false" hidden="false" name="Strategies" vbProcedure="false">#REF!</definedName>
    <definedName function="false" hidden="true" name="StratPlanAP" vbProcedure="false">{#N/A,#N/A,FALSE,"Pharm";#N/A,#N/A,FALSE,"WWCM"}</definedName>
    <definedName function="false" hidden="true" name="Stub" vbProcedure="false">#REF!</definedName>
    <definedName function="false" hidden="true" name="stuff" vbProcedure="false">#REF!</definedName>
    <definedName function="false" hidden="false" name="SubFeeAnal" vbProcedure="false">#REF!</definedName>
    <definedName function="false" hidden="false" name="subheader" vbProcedure="false">#REF!</definedName>
    <definedName function="false" hidden="true" name="subj_EBITDA" vbProcedure="false">#REF!</definedName>
    <definedName function="false" hidden="false" name="SubordinatedDebt" vbProcedure="false">#REF!</definedName>
    <definedName function="false" hidden="false" name="SUM" vbProcedure="false">#REF!</definedName>
    <definedName function="false" hidden="true" name="SUMMARY_BOOK" vbProcedure="false">{"page1",#N/A,FALSE,"GIRLBO";"page2",#N/A,FALSE,"GIRLBO";"page3",#N/A,FALSE,"GIRLBO";"page4",#N/A,FALSE,"GIRLBO";"page5",#N/A,FALSE,"GIRLBO"}</definedName>
    <definedName function="false" hidden="true" name="Summary_by_Product_Range" vbProcedure="false">#REF!</definedName>
    <definedName function="false" hidden="true" name="sum_awp_amt_brand_mod_curr" vbProcedure="false">#REF!</definedName>
    <definedName function="false" hidden="true" name="sum_awp_amt_brand_mod_prior" vbProcedure="false">#REF!</definedName>
    <definedName function="false" hidden="true" name="sum_awp_amt_brand_retail_curr" vbProcedure="false">#REF!</definedName>
    <definedName function="false" hidden="true" name="sum_awp_amt_brand_retail_prior" vbProcedure="false">#REF!</definedName>
    <definedName function="false" hidden="true" name="sum_awp_amt_mac_mod_curr" vbProcedure="false">#REF!</definedName>
    <definedName function="false" hidden="true" name="sum_awp_amt_mac_mod_prior" vbProcedure="false">#REF!</definedName>
    <definedName function="false" hidden="true" name="sum_awp_amt_mac_retail_curr" vbProcedure="false">#REF!</definedName>
    <definedName function="false" hidden="true" name="sum_awp_amt_mac_retail_prior" vbProcedure="false">#REF!</definedName>
    <definedName function="false" hidden="true" name="sum_awp_amt_non_mac_mod_curr" vbProcedure="false">#REF!</definedName>
    <definedName function="false" hidden="true" name="sum_awp_amt_non_mac_mod_prior" vbProcedure="false">#REF!</definedName>
    <definedName function="false" hidden="true" name="sum_awp_amt_non_mac_retail_curr" vbProcedure="false">#REF!</definedName>
    <definedName function="false" hidden="true" name="sum_awp_amt_non_mac_retail_prior" vbProcedure="false">#REF!</definedName>
    <definedName function="false" hidden="true" name="sum_brand_multisource_avg_paid_claim_curr" vbProcedure="false">#REF!</definedName>
    <definedName function="false" hidden="true" name="sum_brand_multisource_avg_paid_claim_prior" vbProcedure="false">#REF!</definedName>
    <definedName function="false" hidden="true" name="sum_brand_multisource_calc_ing_curr" vbProcedure="false">#REF!</definedName>
    <definedName function="false" hidden="true" name="sum_brand_multisource_calc_ing_prior" vbProcedure="false">#REF!</definedName>
    <definedName function="false" hidden="true" name="sum_brand_multisource_copay_curr" vbProcedure="false">#REF!</definedName>
    <definedName function="false" hidden="true" name="sum_brand_multisource_copay_prior" vbProcedure="false">#REF!</definedName>
    <definedName function="false" hidden="true" name="sum_brand_multisource_paid_amt_curr" vbProcedure="false">#REF!</definedName>
    <definedName function="false" hidden="true" name="sum_brand_multisource_paid_amt_prior" vbProcedure="false">#REF!</definedName>
    <definedName function="false" hidden="true" name="sum_brand_singlesource_avg_paid_claim_curr" vbProcedure="false">#REF!</definedName>
    <definedName function="false" hidden="true" name="sum_brand_singlesource_avg_paid_claim_prior" vbProcedure="false">#REF!</definedName>
    <definedName function="false" hidden="true" name="sum_brand_singlesource_calc_ing_curr" vbProcedure="false">#REF!</definedName>
    <definedName function="false" hidden="true" name="sum_brand_singlesource_calc_ing_prior" vbProcedure="false">#REF!</definedName>
    <definedName function="false" hidden="true" name="sum_brand_singlesource_copay_curr" vbProcedure="false">#REF!</definedName>
    <definedName function="false" hidden="true" name="sum_brand_singlesource_copay_prior" vbProcedure="false">#REF!</definedName>
    <definedName function="false" hidden="true" name="sum_brand_singlesource_paid_amt_curr" vbProcedure="false">#REF!</definedName>
    <definedName function="false" hidden="true" name="sum_brand_singlesource_paid_amt_prior" vbProcedure="false">#REF!</definedName>
    <definedName function="false" hidden="true" name="sum_calcing_cost_amt_brand_mod_curr" vbProcedure="false">#REF!</definedName>
    <definedName function="false" hidden="true" name="sum_calcing_cost_amt_brand_mod_prior" vbProcedure="false">#REF!</definedName>
    <definedName function="false" hidden="true" name="sum_calcing_cost_amt_brand_retail_curr" vbProcedure="false">#REF!</definedName>
    <definedName function="false" hidden="true" name="sum_calcing_cost_amt_brand_retail_prior" vbProcedure="false">#REF!</definedName>
    <definedName function="false" hidden="true" name="sum_calcing_cost_amt_mac_mod_curr" vbProcedure="false">#REF!</definedName>
    <definedName function="false" hidden="true" name="sum_calcing_cost_amt_mac_mod_prior" vbProcedure="false">#REF!</definedName>
    <definedName function="false" hidden="true" name="sum_calcing_cost_amt_mac_retail_curr" vbProcedure="false">#REF!</definedName>
    <definedName function="false" hidden="true" name="sum_calcing_cost_amt_mac_retail_prior" vbProcedure="false">#REF!</definedName>
    <definedName function="false" hidden="true" name="sum_calcing_cost_amt_non_mac_mod_curr" vbProcedure="false">#REF!</definedName>
    <definedName function="false" hidden="true" name="sum_calcing_cost_amt_non_mac_mod_prior" vbProcedure="false">#REF!</definedName>
    <definedName function="false" hidden="true" name="sum_calcing_cost_amt_non_mac_retail_curr" vbProcedure="false">#REF!</definedName>
    <definedName function="false" hidden="true" name="sum_calcing_cost_amt_non_mac_retail_prior" vbProcedure="false">#REF!</definedName>
    <definedName function="false" hidden="true" name="sum_calc_ing_cost_curr" vbProcedure="false">#REF!</definedName>
    <definedName function="false" hidden="true" name="sum_calc_ing_cost_prior" vbProcedure="false">#REF!</definedName>
    <definedName function="false" hidden="true" name="sum_copay_curr" vbProcedure="false">#REF!</definedName>
    <definedName function="false" hidden="true" name="sum_copay_prior" vbProcedure="false">#REF!</definedName>
    <definedName function="false" hidden="true" name="sum_generic_avg_paid_claim_curr" vbProcedure="false">#REF!</definedName>
    <definedName function="false" hidden="true" name="sum_generic_avg_paid_claim_prior" vbProcedure="false">#REF!</definedName>
    <definedName function="false" hidden="true" name="sum_generic_calc_ing_curr" vbProcedure="false">#REF!</definedName>
    <definedName function="false" hidden="true" name="sum_generic_calc_ing_prior" vbProcedure="false">#REF!</definedName>
    <definedName function="false" hidden="true" name="sum_generic_copay_curr" vbProcedure="false">#REF!</definedName>
    <definedName function="false" hidden="true" name="sum_generic_copay_prior" vbProcedure="false">#REF!</definedName>
    <definedName function="false" hidden="true" name="sum_generic_paid_amt_curr" vbProcedure="false">#REF!</definedName>
    <definedName function="false" hidden="true" name="sum_generic_paid_amt_prior" vbProcedure="false">#REF!</definedName>
    <definedName function="false" hidden="true" name="sum_mod_brand_formulary_copay_amt_curr" vbProcedure="false">#REF!</definedName>
    <definedName function="false" hidden="true" name="sum_mod_brand_formulary_copay_amt_prior" vbProcedure="false">#REF!</definedName>
    <definedName function="false" hidden="true" name="sum_mod_brand_formulary_paid_amt_curr" vbProcedure="false">#REF!</definedName>
    <definedName function="false" hidden="true" name="sum_mod_brand_formulary_paid_amt_prior" vbProcedure="false">#REF!</definedName>
    <definedName function="false" hidden="true" name="sum_mod_brand_formulary_plan_paid_amt_curr" vbProcedure="false">#REF!</definedName>
    <definedName function="false" hidden="true" name="sum_mod_brand_formulary_plan_paid_amt_prior" vbProcedure="false">#REF!</definedName>
    <definedName function="false" hidden="true" name="sum_mod_calc_ing_cost_amt_curr" vbProcedure="false">#REF!</definedName>
    <definedName function="false" hidden="true" name="sum_mod_calc_ing_cost_amt_prior" vbProcedure="false">#REF!</definedName>
    <definedName function="false" hidden="true" name="sum_mod_generic_copay_amt_curr" vbProcedure="false">#REF!</definedName>
    <definedName function="false" hidden="true" name="sum_mod_generic_copay_amt_prior" vbProcedure="false">#REF!</definedName>
    <definedName function="false" hidden="true" name="sum_mod_generic_paid_amt_curr" vbProcedure="false">#REF!</definedName>
    <definedName function="false" hidden="true" name="sum_mod_generic_paid_amt_prior" vbProcedure="false">#REF!</definedName>
    <definedName function="false" hidden="true" name="sum_mod_generic_plan_paid_amt_curr" vbProcedure="false">#REF!</definedName>
    <definedName function="false" hidden="true" name="sum_mod_generic_plan_paid_amt_prior" vbProcedure="false">#REF!</definedName>
    <definedName function="false" hidden="true" name="sum_mod_non_brand_formulary_copay_amt_curr" vbProcedure="false">#REF!</definedName>
    <definedName function="false" hidden="true" name="sum_mod_non_brand_formulary_copay_amt_prior" vbProcedure="false">#REF!</definedName>
    <definedName function="false" hidden="true" name="sum_mod_non_brand_formulary_paid_amt_curr" vbProcedure="false">#REF!</definedName>
    <definedName function="false" hidden="true" name="sum_mod_non_brand_formulary_paid_amt_prior" vbProcedure="false">#REF!</definedName>
    <definedName function="false" hidden="true" name="sum_mod_non_brand_formulary_plan_paid_amt_curr" vbProcedure="false">#REF!</definedName>
    <definedName function="false" hidden="true" name="sum_mod_non_brand_formulary_plan_paid_amt_prior" vbProcedure="false">#REF!</definedName>
    <definedName function="false" hidden="true" name="sum_mod_prof_fee_amt_curr" vbProcedure="false">#REF!</definedName>
    <definedName function="false" hidden="true" name="sum_mod_prof_fee_amt_prior" vbProcedure="false">#REF!</definedName>
    <definedName function="false" hidden="true" name="sum_paid_class_A_curr" vbProcedure="false">#REF!</definedName>
    <definedName function="false" hidden="true" name="sum_paid_class_A_prior" vbProcedure="false">#REF!</definedName>
    <definedName function="false" hidden="true" name="sum_paid_class_B_curr" vbProcedure="false">#REF!</definedName>
    <definedName function="false" hidden="true" name="sum_paid_class_B_prior" vbProcedure="false">#REF!</definedName>
    <definedName function="false" hidden="true" name="sum_paid_class_C_curr" vbProcedure="false">#REF!</definedName>
    <definedName function="false" hidden="true" name="sum_paid_class_C_prior" vbProcedure="false">#REF!</definedName>
    <definedName function="false" hidden="true" name="sum_paid_class_D_curr" vbProcedure="false">#REF!</definedName>
    <definedName function="false" hidden="true" name="sum_paid_class_D_prior" vbProcedure="false">#REF!</definedName>
    <definedName function="false" hidden="true" name="sum_paid_class_E_curr" vbProcedure="false">#REF!</definedName>
    <definedName function="false" hidden="true" name="sum_paid_class_E_prior" vbProcedure="false">#REF!</definedName>
    <definedName function="false" hidden="true" name="sum_paid_class_F_curr" vbProcedure="false">#REF!</definedName>
    <definedName function="false" hidden="true" name="sum_paid_class_F_prior" vbProcedure="false">#REF!</definedName>
    <definedName function="false" hidden="true" name="sum_paid_class_G_curr" vbProcedure="false">#REF!</definedName>
    <definedName function="false" hidden="true" name="sum_paid_class_G_prior" vbProcedure="false">#REF!</definedName>
    <definedName function="false" hidden="true" name="sum_paid_class_H_curr" vbProcedure="false">#REF!</definedName>
    <definedName function="false" hidden="true" name="sum_paid_class_H_prior" vbProcedure="false">#REF!</definedName>
    <definedName function="false" hidden="true" name="sum_paid_class_I_curr" vbProcedure="false">#REF!</definedName>
    <definedName function="false" hidden="true" name="sum_paid_class_I_prior" vbProcedure="false">#REF!</definedName>
    <definedName function="false" hidden="true" name="sum_paid_class_J_curr" vbProcedure="false">#REF!</definedName>
    <definedName function="false" hidden="true" name="sum_paid_class_J_prior" vbProcedure="false">#REF!</definedName>
    <definedName function="false" hidden="true" name="sum_paid_class_K_curr" vbProcedure="false">#REF!</definedName>
    <definedName function="false" hidden="true" name="sum_paid_class_K_prior" vbProcedure="false">#REF!</definedName>
    <definedName function="false" hidden="true" name="sum_paid_class_L_curr" vbProcedure="false">#REF!</definedName>
    <definedName function="false" hidden="true" name="sum_paid_class_L_prior" vbProcedure="false">#REF!</definedName>
    <definedName function="false" hidden="true" name="sum_paid_class_M_curr" vbProcedure="false">#REF!</definedName>
    <definedName function="false" hidden="true" name="sum_paid_class_M_prior" vbProcedure="false">#REF!</definedName>
    <definedName function="false" hidden="true" name="sum_paid_class_N_curr" vbProcedure="false">#REF!</definedName>
    <definedName function="false" hidden="true" name="sum_paid_class_N_prior" vbProcedure="false">#REF!</definedName>
    <definedName function="false" hidden="true" name="sum_paid_class_OTHER_curr" vbProcedure="false">#REF!</definedName>
    <definedName function="false" hidden="true" name="sum_paid_class_OTHER_prior" vbProcedure="false">#REF!</definedName>
    <definedName function="false" hidden="true" name="sum_paid_class_O_curr" vbProcedure="false">#REF!</definedName>
    <definedName function="false" hidden="true" name="sum_paid_class_O_prior" vbProcedure="false">#REF!</definedName>
    <definedName function="false" hidden="true" name="sum_paid_class_P_curr" vbProcedure="false">#REF!</definedName>
    <definedName function="false" hidden="true" name="sum_paid_class_P_prior" vbProcedure="false">#REF!</definedName>
    <definedName function="false" hidden="true" name="sum_paid_class_Q_curr" vbProcedure="false">#REF!</definedName>
    <definedName function="false" hidden="true" name="sum_paid_class_Q_prior" vbProcedure="false">#REF!</definedName>
    <definedName function="false" hidden="true" name="sum_paid_class_R_curr" vbProcedure="false">#REF!</definedName>
    <definedName function="false" hidden="true" name="sum_paid_class_R_prior" vbProcedure="false">#REF!</definedName>
    <definedName function="false" hidden="true" name="sum_paid_curr" vbProcedure="false">#REF!</definedName>
    <definedName function="false" hidden="true" name="sum_paid_prior" vbProcedure="false">#REF!</definedName>
    <definedName function="false" hidden="true" name="sum_prof_fee_amt_brand_mod_curr" vbProcedure="false">#REF!</definedName>
    <definedName function="false" hidden="true" name="sum_prof_fee_amt_brand_mod_prior" vbProcedure="false">#REF!</definedName>
    <definedName function="false" hidden="true" name="sum_prof_fee_amt_brand_retail_curr" vbProcedure="false">#REF!</definedName>
    <definedName function="false" hidden="true" name="sum_prof_fee_amt_brand_retail_prior" vbProcedure="false">#REF!</definedName>
    <definedName function="false" hidden="true" name="sum_prof_fee_amt_mac_mod_curr" vbProcedure="false">#REF!</definedName>
    <definedName function="false" hidden="true" name="sum_prof_fee_amt_mac_mod_prior" vbProcedure="false">#REF!</definedName>
    <definedName function="false" hidden="true" name="sum_prof_fee_amt_mac_retail_curr" vbProcedure="false">#REF!</definedName>
    <definedName function="false" hidden="true" name="sum_prof_fee_amt_mac_retail_prior" vbProcedure="false">#REF!</definedName>
    <definedName function="false" hidden="true" name="sum_prof_fee_amt_non_mac_mod_curr" vbProcedure="false">#REF!</definedName>
    <definedName function="false" hidden="true" name="sum_prof_fee_amt_non_mac_mod_prior" vbProcedure="false">#REF!</definedName>
    <definedName function="false" hidden="true" name="sum_prof_fee_amt_non_mac_retail_curr" vbProcedure="false">#REF!</definedName>
    <definedName function="false" hidden="true" name="sum_prof_fee_amt_non_mac_retail_prior" vbProcedure="false">#REF!</definedName>
    <definedName function="false" hidden="true" name="sum_retail_brand_formulary_copay_amt_curr" vbProcedure="false">#REF!</definedName>
    <definedName function="false" hidden="true" name="sum_retail_brand_formulary_copay_amt_prior" vbProcedure="false">#REF!</definedName>
    <definedName function="false" hidden="true" name="sum_retail_brand_formulary_paid_amt_curr" vbProcedure="false">#REF!</definedName>
    <definedName function="false" hidden="true" name="sum_retail_brand_formulary_paid_amt_prior" vbProcedure="false">#REF!</definedName>
    <definedName function="false" hidden="true" name="sum_retail_brand_formulary_plan_paid_amt_curr" vbProcedure="false">#REF!</definedName>
    <definedName function="false" hidden="true" name="sum_retail_brand_formulary_plan_paid_amt_prior" vbProcedure="false">#REF!</definedName>
    <definedName function="false" hidden="true" name="sum_retail_calc_ing_cost_amt_curr" vbProcedure="false">#REF!</definedName>
    <definedName function="false" hidden="true" name="sum_retail_calc_ing_cost_amt_prior" vbProcedure="false">#REF!</definedName>
    <definedName function="false" hidden="true" name="sum_retail_generic_copay_amt_curr" vbProcedure="false">#REF!</definedName>
    <definedName function="false" hidden="true" name="sum_retail_generic_copay_amt_prior" vbProcedure="false">#REF!</definedName>
    <definedName function="false" hidden="true" name="sum_retail_generic_paid_amt_curr" vbProcedure="false">#REF!</definedName>
    <definedName function="false" hidden="true" name="sum_retail_generic_paid_amt_prior" vbProcedure="false">#REF!</definedName>
    <definedName function="false" hidden="true" name="sum_retail_generic_plan_paid_amt_curr" vbProcedure="false">#REF!</definedName>
    <definedName function="false" hidden="true" name="sum_retail_generic_plan_paid_amt_prior" vbProcedure="false">#REF!</definedName>
    <definedName function="false" hidden="true" name="sum_retail_non_brand_formulary_copay_amt_curr" vbProcedure="false">#REF!</definedName>
    <definedName function="false" hidden="true" name="sum_retail_non_brand_formulary_copay_amt_prior" vbProcedure="false">#REF!</definedName>
    <definedName function="false" hidden="true" name="sum_retail_non_brand_formulary_paid_amt_curr" vbProcedure="false">#REF!</definedName>
    <definedName function="false" hidden="true" name="sum_retail_non_brand_formulary_paid_amt_prior" vbProcedure="false">#REF!</definedName>
    <definedName function="false" hidden="true" name="sum_retail_non_brand_formulary_plan_paid_amt_curr" vbProcedure="false">#REF!</definedName>
    <definedName function="false" hidden="true" name="sum_retail_non_brand_formulary_plan_paid_amt_prior" vbProcedure="false">#REF!</definedName>
    <definedName function="false" hidden="true" name="sum_retail_prof_fee_amt_curr" vbProcedure="false">#REF!</definedName>
    <definedName function="false" hidden="true" name="sum_retail_prof_fee_amt_prior" vbProcedure="false">#REF!</definedName>
    <definedName function="false" hidden="true" name="sum_salestax_amt_brand_mod_curr" vbProcedure="false">#REF!</definedName>
    <definedName function="false" hidden="true" name="sum_salestax_amt_brand_mod_prior" vbProcedure="false">#REF!</definedName>
    <definedName function="false" hidden="true" name="sum_salestax_amt_brand_retail_curr" vbProcedure="false">#REF!</definedName>
    <definedName function="false" hidden="true" name="sum_salestax_amt_brand_retail_prior" vbProcedure="false">#REF!</definedName>
    <definedName function="false" hidden="true" name="sum_salestax_amt_mac_mod_curr" vbProcedure="false">#REF!</definedName>
    <definedName function="false" hidden="true" name="sum_salestax_amt_mac_mod_prior" vbProcedure="false">#REF!</definedName>
    <definedName function="false" hidden="true" name="sum_salestax_amt_mac_retail_curr" vbProcedure="false">#REF!</definedName>
    <definedName function="false" hidden="true" name="sum_salestax_amt_mac_retail_prior" vbProcedure="false">#REF!</definedName>
    <definedName function="false" hidden="true" name="sum_salestax_amt_non_mac_mod_curr" vbProcedure="false">#REF!</definedName>
    <definedName function="false" hidden="true" name="sum_salestax_amt_non_mac_mod_prior" vbProcedure="false">#REF!</definedName>
    <definedName function="false" hidden="true" name="sum_salestax_amt_non_mac_retail_curr" vbProcedure="false">#REF!</definedName>
    <definedName function="false" hidden="true" name="sum_salestax_amt_non_mac_retail_prior" vbProcedure="false">#REF!</definedName>
    <definedName function="false" hidden="true" name="sum_svc_copay_amt_brand_mod_curr" vbProcedure="false">#REF!</definedName>
    <definedName function="false" hidden="true" name="sum_svc_copay_amt_brand_mod_prior" vbProcedure="false">#REF!</definedName>
    <definedName function="false" hidden="true" name="sum_svc_copay_amt_brand_retail_curr" vbProcedure="false">#REF!</definedName>
    <definedName function="false" hidden="true" name="sum_svc_copay_amt_brand_retail_prior" vbProcedure="false">#REF!</definedName>
    <definedName function="false" hidden="true" name="sum_svc_copay_amt_mac_mod_curr" vbProcedure="false">#REF!</definedName>
    <definedName function="false" hidden="true" name="sum_svc_copay_amt_mac_mod_prior" vbProcedure="false">#REF!</definedName>
    <definedName function="false" hidden="true" name="sum_svc_copay_amt_mac_retail_curr" vbProcedure="false">#REF!</definedName>
    <definedName function="false" hidden="true" name="sum_svc_copay_amt_mac_retail_prior" vbProcedure="false">#REF!</definedName>
    <definedName function="false" hidden="true" name="sum_svc_copay_amt_non_mac_mod_curr" vbProcedure="false">#REF!</definedName>
    <definedName function="false" hidden="true" name="sum_svc_copay_amt_non_mac_mod_prior" vbProcedure="false">#REF!</definedName>
    <definedName function="false" hidden="true" name="sum_svc_copay_amt_non_mac_retail_curr" vbProcedure="false">#REF!</definedName>
    <definedName function="false" hidden="true" name="sum_svc_copay_amt_non_mac_retail_prior" vbProcedure="false">#REF!</definedName>
    <definedName function="false" hidden="true" name="sum_total_days_curr" vbProcedure="false">#REF!</definedName>
    <definedName function="false" hidden="true" name="sum_total_days_prior" vbProcedure="false">#REF!</definedName>
    <definedName function="false" hidden="true" name="susan" vbProcedure="false">#REF!</definedName>
    <definedName function="false" hidden="true" name="Swvu.monthly._.inc._.stmt." vbProcedure="false">#REF!</definedName>
    <definedName function="false" hidden="true" name="Swvu.portrait._.look." vbProcedure="false">#REF!</definedName>
    <definedName function="false" hidden="true" name="Swvu.summary1." vbProcedure="false">#REF!</definedName>
    <definedName function="false" hidden="true" name="Swvu.summary2." vbProcedure="false">#REF!</definedName>
    <definedName function="false" hidden="true" name="Swvu.summary3." vbProcedure="false">#REF!</definedName>
    <definedName function="false" hidden="true" name="SX" vbProcedure="fals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function="false" hidden="false" name="syn" vbProcedure="false">#REF!</definedName>
    <definedName function="false" hidden="true" name="tabc_report_name" vbProcedure="false">#REF!</definedName>
    <definedName function="false" hidden="true" name="Table2Out" vbProcedure="false">#REF!</definedName>
    <definedName function="false" hidden="true" name="Table3" vbProcedure="false">#REF!</definedName>
    <definedName function="false" hidden="true" name="tab_report_name" vbProcedure="false">#REF!</definedName>
    <definedName function="false" hidden="false" name="TargeBegDealYear" vbProcedure="false">#REF!</definedName>
    <definedName function="false" hidden="false" name="TargeCloseDate" vbProcedure="false">#REF!</definedName>
    <definedName function="false" hidden="false" name="TargeDealYear" vbProcedure="false">#REF!</definedName>
    <definedName function="false" hidden="false" name="TargeEndDealYear" vbProcedure="false">#REF!</definedName>
    <definedName function="false" hidden="false" name="TargeExitDate" vbProcedure="false">#REF!</definedName>
    <definedName function="false" hidden="false" name="TargeExitMultiple" vbProcedure="false">#REF!</definedName>
    <definedName function="false" hidden="false" name="TargeExitYear" vbProcedure="false">#REF!</definedName>
    <definedName function="false" hidden="false" name="TargeFYE" vbProcedure="false">#REF!</definedName>
    <definedName function="false" hidden="false" name="TargeInvestmentDetails" vbProcedure="false">#REF!</definedName>
    <definedName function="false" hidden="false" name="TargeISDetail" vbProcedure="false">#REF!</definedName>
    <definedName function="false" hidden="false" name="TargeScenario" vbProcedure="false">#REF!</definedName>
    <definedName function="false" hidden="false" name="TargeTaxRate" vbProcedure="false">#REF!</definedName>
    <definedName function="false" hidden="false" name="TargetCo" vbProcedure="false">#REF!</definedName>
    <definedName function="false" hidden="false" name="TargeYearFraction" vbProcedure="false">#REF!</definedName>
    <definedName function="false" hidden="false" name="tax" vbProcedure="false">0.4</definedName>
    <definedName function="false" hidden="false" name="Taxes" vbProcedure="false">#REF!</definedName>
    <definedName function="false" hidden="true" name="taxol" vbProcedure="false">{#N/A,#N/A,FALSE,"Pharm";#N/A,#N/A,FALSE,"WWCM"}</definedName>
    <definedName function="false" hidden="false" name="TaxRate" vbProcedure="false">#REF!</definedName>
    <definedName function="false" hidden="false" name="TaxRateBSF" vbProcedure="false">#REF!</definedName>
    <definedName function="false" hidden="false" name="TAX_RATE" vbProcedure="false">#REF!</definedName>
    <definedName function="false" hidden="true" name="tbl_ProdInfo" vbProcedure="false">#REF!</definedName>
    <definedName function="false" hidden="true" name="TeamDetail" vbProcedure="false">{#N/A,#N/A,FALSE,"AE detail rpt"}</definedName>
    <definedName function="false" hidden="true" name="Tem" vbProcedure="false">{#N/A,#N/A,FALSE,"Pharm";#N/A,#N/A,FALSE,"WWCM"}</definedName>
    <definedName function="false" hidden="true" name="temp" vbProcedure="false">{#N/A,#N/A,FALSE,"Sheet1"}</definedName>
    <definedName function="false" hidden="tru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tru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late" vbProcedure="false">#REF!</definedName>
    <definedName function="false" hidden="true" name="Template2" vbProcedure="false">#REF!</definedName>
    <definedName function="false" hidden="false" name="TemplateDate" vbProcedure="false">32967</definedName>
    <definedName function="false" hidden="true" name="Template_File_Name" vbProcedure="false">#REF!</definedName>
    <definedName function="false" hidden="true" name="Template_Name" vbProcedure="false">#REF!</definedName>
    <definedName function="false" hidden="true" name="template_nm" vbProcedure="false">#REF!</definedName>
    <definedName function="false" hidden="true" name="Template_Type" vbProcedure="false">#REF!</definedName>
    <definedName function="false" hidden="tru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tru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tru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tru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tru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true" name="tempq6" vbProcedure="false">{#N/A,#N/A,TRUE,"FD IV Portfolio Summary ";#N/A,#N/A,TRUE,"Western";#N/A,#N/A,TRUE,"Kranson";#N/A,#N/A,TRUE,"ARC";#N/A,#N/A,TRUE,"Precise";#N/A,#N/A,TRUE,"WNA"}</definedName>
    <definedName function="false" hidden="tru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tru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true" name="temp_name" vbProcedure="false">{"ALLOCATION1",#N/A,FALSE,"EXPENSE ALLOCATIONS";"ALLOCATION2",#N/A,FALSE,"EXPENSE ALLOCATIONS";"ALLOCATION3",#N/A,FALSE,"EXPENSE ALLOCATIONS";"ALLOCATION4",#N/A,FALSE,"EXPENSE ALLOCATIONS"}</definedName>
    <definedName function="false" hidden="true" name="teq" vbProcedure="false">{#N/A,#N/A,FALSE,"Pharm";#N/A,#N/A,FALSE,"WWCM"}</definedName>
    <definedName function="false" hidden="true" name="Tequin" vbProcedure="false">{#N/A,#N/A,FALSE,"Pharm";#N/A,#N/A,FALSE,"WWCM"}</definedName>
    <definedName function="false" hidden="true" name="tequinol" vbProcedure="false">{#N/A,#N/A,FALSE,"REPORT"}</definedName>
    <definedName function="false" hidden="true" name="TEST" vbProcedure="false">{#N/A,#N/A,FALSE,"FY97";#N/A,#N/A,FALSE,"FY98";#N/A,#N/A,FALSE,"FY99";#N/A,#N/A,FALSE,"FY00";#N/A,#N/A,FALSE,"FY01"}</definedName>
    <definedName function="false" hidden="true" name="TEST1" vbProcedure="false">{"Volume",#N/A,FALSE,"volume";"revenue",#N/A,FALSE,"revenue"}</definedName>
    <definedName function="false" hidden="true" name="test1232" vbProcedure="false">{#N/A,#N/A,FALSE,"CASH";#N/A,#N/A,FALSE,"ACCT REC";#N/A,#N/A,FALSE,"PP&amp;E";#N/A,#N/A,FALSE,"OTHER ASSETS";#N/A,#N/A,FALSE,"CP LTD";#N/A,#N/A,FALSE,"ACCT PAY";#N/A,#N/A,FALSE,"ACCRUED OTH AP";#N/A,#N/A,FALSE,"LTD";#N/A,#N/A,FALSE,"REVENUES &amp; EXPENSES"}</definedName>
    <definedName function="false" hidden="true" name="test1234567" vbProcedure="false">{#N/A,#N/A,FALSE,"Aging Summary";#N/A,#N/A,FALSE,"Ratio Analysis";#N/A,#N/A,FALSE,"Test 120 Day Accts";#N/A,#N/A,FALSE,"Tickmarks"}</definedName>
    <definedName function="false" hidden="true" name="test2343543w" vbProcedure="false">{"'Bellville Acetylene'!$A$1:$L$99"}</definedName>
    <definedName function="false" hidden="true" name="test546667" vbProcedure="false">{#N/A,#N/A,TRUE,"Summary";#N/A,#N/A,TRUE,"Financials"}</definedName>
    <definedName function="false" hidden="true" name="teste" vbProcedure="false">{#N/A,#N/A,FALSE,"Pharm";#N/A,#N/A,FALSE,"WWCM"}</definedName>
    <definedName function="false" hidden="true" name="testnew" vbProcedure="false">{"cy",#N/A,FALSE,"SLSSUM";"py",#N/A,FALSE,"SLSSUM";"prjctn",#N/A,FALSE,"SLSSUM"}</definedName>
    <definedName function="false" hidden="true" name="TestyDeleteMe" vbProcedure="false">#REF!</definedName>
    <definedName function="false" hidden="true" name="tew" vbProcedure="false">{"FY97Total",#N/A,FALSE,"FY97 - Total";"FY98Total",#N/A,FALSE,"FY98 - Total"}</definedName>
    <definedName function="false" hidden="false" name="TextRefCopyRangeCount" vbProcedure="false">4</definedName>
    <definedName function="false" hidden="true" name="Thisistheend" vbProcedure="false">#REF!</definedName>
    <definedName function="false" hidden="true" name="thisistheend1" vbProcedure="false">#REF!</definedName>
    <definedName function="false" hidden="true" name="Threeyr_Data" vbProcedure="false">#REF!</definedName>
    <definedName function="false" hidden="false" name="thth" vbProcedure="false">{#N/A,#N/A,FALSE,"Calc";#N/A,#N/A,FALSE,"Sensitivity";#N/A,#N/A,FALSE,"LT Earn.Dil.";#N/A,#N/A,FALSE,"Dil. AVP"}</definedName>
    <definedName function="false" hidden="true" name="tickname" vbProcedure="false">#REF!</definedName>
    <definedName function="false" hidden="true" name="Time" vbProcedure="false">"b1"</definedName>
    <definedName function="false" hidden="true" name="titi" vbProcedure="false">#REF!</definedName>
    <definedName function="false" hidden="false" name="title" vbProcedure="false">#REF!</definedName>
    <definedName function="false" hidden="true" name="TLA.004" vbProcedure="false">#REF!</definedName>
    <definedName function="false" hidden="true" name="TLA.024" vbProcedure="false">#REF!</definedName>
    <definedName function="false" hidden="true" name="TLA.027" vbProcedure="false">#REF!</definedName>
    <definedName function="false" hidden="true" name="TLA.056" vbProcedure="false">#REF!</definedName>
    <definedName function="false" hidden="true" name="toc_correct_report_name" vbProcedure="false">#REF!</definedName>
    <definedName function="false" hidden="true" name="toc_report_name" vbProcedure="false">#REF!</definedName>
    <definedName function="false" hidden="true" name="Top25_Services_by_Dollar_Dental_Range" vbProcedure="false">#REF!</definedName>
    <definedName function="false" hidden="false" name="Totalsales" vbProcedure="false">#REF!</definedName>
    <definedName function="false" hidden="false" name="Total_Debt_to_EBITDA_Ratio_Definition" vbProcedure="false">#REF!</definedName>
    <definedName function="false" hidden="false" name="Total_Payment" vbProcedure="false">#N/A</definedName>
    <definedName function="false" hidden="false" name="totcap" vbProcedure="false">#REF!,#REF!,#REF!,#REF!</definedName>
    <definedName function="false" hidden="true" name="tou" vbProcedure="false">{#N/A,#N/A,TRUE,"TransPrcd 1";#N/A,#N/A,TRUE,"TransPrcd 2";#N/A,#N/A,TRUE,"TransPrcd 3"}</definedName>
    <definedName function="false" hidden="false" name="To_All" vbProcedure="false">#REF!,#REF!,#REF!,#REF!,#REF!,#REF!</definedName>
    <definedName function="false" hidden="true" name="TP_Footer_Path" vbProcedure="false">"S:\74639\03RET\(417) 2004 Cost Projection\"</definedName>
    <definedName function="false" hidden="true" name="TP_Footer_Path1" vbProcedure="false">"S:\74639\03RET\(852) Pension Val - OOS\Contribution Allocations\"</definedName>
    <definedName function="false" hidden="true" name="tr" vbProcedure="false">{"FY97Tot nvs",#N/A,FALSE,"FY97 - Total";"FY98Tot nvs",#N/A,FALSE,"FY98 - Total"}</definedName>
    <definedName function="false" hidden="false" name="Tran_Scenario" vbProcedure="false">#REF!</definedName>
    <definedName function="false" hidden="true" name="trb.gf" vbProcedure="false">{"Statements",#N/A,TRUE,"Income Statement";"Statements",#N/A,TRUE,"Cash Flow Statement";"Statements",#N/A,TRUE,"Balance Sheet ";#N/A,#N/A,TRUE,"Revenue Data Table";#N/A,#N/A,TRUE,"Costs &amp; Expenses Data Table";#N/A,#N/A,TRUE,"Cash Flow Data Table ";#N/A,#N/A,TRUE,"Shor-term Interest Expense"}</definedName>
    <definedName function="false" hidden="false" name="treeList" vbProcedure="false">"11110000000000000000000000000000000000000000000000000000000000000000000000000000000000000000000000000000000000000000000000000000000000000000000000000000000000000000000000000000000000000000000000000000"</definedName>
    <definedName function="false" hidden="true" name="Trend_Analysis_Dental_Range" vbProcedure="false">#REF!</definedName>
    <definedName function="false" hidden="true" name="Trend_Analysis_Medical_Range" vbProcedure="false">#REF!</definedName>
    <definedName function="false" hidden="false" name="trigger" vbProcedure="false">#REF!,#REF!</definedName>
    <definedName function="false" hidden="true" name="TRYAGAIN" vbProcedure="false">#REF!</definedName>
    <definedName function="false" hidden="true" name="tryeuyit" vbProcedure="false">{#N/A,#N/A,FALSE,"Pharm";#N/A,#N/A,FALSE,"WWCM"}</definedName>
    <definedName function="false" hidden="false" name="ts" vbProcedure="false">#REF!</definedName>
    <definedName function="false" hidden="true" name="ttttt" vbProcedure="false">{"Income",#N/A,FALSE,"income";"Sales",#N/A,FALSE,"income";"Critical",#N/A,FALSE,"income";"Market",#N/A,FALSE,"Market";"Returns",#N/A,FALSE,"returns";"Balance",#N/A,FALSE,"balance";"Cash Flow",#N/A,FALSE,"balance"}</definedName>
    <definedName function="false" hidden="true" name="ty" vbProcedure="false">{"Assumptions",#N/A,TRUE,"Assumptions";"Income",#N/A,TRUE,"Income";"Balance",#N/A,TRUE,"Balance"}</definedName>
    <definedName function="false" hidden="true" name="tynonasset" vbProcedure="false">#REF!</definedName>
    <definedName function="false" hidden="true" name="Typist" vbProcedure="false">"b1"</definedName>
    <definedName function="false" hidden="true" name="tyr" vbProcedure="false">{#N/A,#N/A,FALSE,"AD_Purch";#N/A,#N/A,FALSE,"Projections";#N/A,#N/A,FALSE,"DCF";#N/A,#N/A,FALSE,"Mkt Val"}</definedName>
    <definedName function="false" hidden="true" name="tyrw" vbProcedure="false">{"FY97Total var",#N/A,FALSE,"FY97 - Total";"FY98Total var",#N/A,FALSE,"FY98 - Total"}</definedName>
    <definedName function="false" hidden="true" name="tyryu" vbProcedure="false">{#N/A,#N/A,FALSE,"Sheet1";#N/A,#N/A,FALSE,"Summary";#N/A,#N/A,FALSE,"proj1";#N/A,#N/A,FALSE,"proj2"}</definedName>
    <definedName function="false" hidden="true" name="tyutytyi" vbProcedure="false">{#N/A,#N/A,FALSE,"Pharm";#N/A,#N/A,FALSE,"WWCM"}</definedName>
    <definedName function="false" hidden="true" name="tyyufkjkhjd" vbProcedure="false">{#N/A,#N/A,FALSE,"Pharm";#N/A,#N/A,FALSE,"WWCM"}</definedName>
    <definedName function="false" hidden="true" name="u" vbProcedure="false">#REF!</definedName>
    <definedName function="false" hidden="false" name="UBA_Benchmark" vbProcedure="false">#REF!</definedName>
    <definedName function="false" hidden="false" name="UBA_Data" vbProcedure="false">#REF!</definedName>
    <definedName function="false" hidden="false" name="UBA_Industry" vbProcedure="false">#REF!</definedName>
    <definedName function="false" hidden="false" name="UBA_Region" vbProcedure="false">#REF!</definedName>
    <definedName function="false" hidden="false" name="UBA_Size" vbProcedure="false">#REF!</definedName>
    <definedName function="false" hidden="false" name="UBA_Year" vbProcedure="false">#REF!</definedName>
    <definedName function="false" hidden="false" name="UK_FX" vbProcedure="false">#REF!</definedName>
    <definedName function="false" hidden="true" name="Unit" vbProcedure="false">{#N/A,#N/A,FALSE,"Pharm";#N/A,#N/A,FALSE,"WWCM"}</definedName>
    <definedName function="false" hidden="tru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true" name="Update" vbProcedure="false">#REF!</definedName>
    <definedName function="false" hidden="true" name="UserEnteredText1" vbProcedure="false">#REF!</definedName>
    <definedName function="false" hidden="true" name="UserEnteredText2" vbProcedure="false">#REF!</definedName>
    <definedName function="false" hidden="true" name="UserReportName" vbProcedure="false">#REF!</definedName>
    <definedName function="false" hidden="true" name="Utilization_and_Unit_Cost_Med_Range" vbProcedure="false">#REF!</definedName>
    <definedName function="false" hidden="true" name="util_mem_female_0_19_curr" vbProcedure="false">#REF!</definedName>
    <definedName function="false" hidden="true" name="util_mem_female_0_19_prior" vbProcedure="false">#REF!</definedName>
    <definedName function="false" hidden="true" name="util_mem_female_20_44_curr" vbProcedure="false">#REF!</definedName>
    <definedName function="false" hidden="true" name="util_mem_female_20_44_prior" vbProcedure="false">#REF!</definedName>
    <definedName function="false" hidden="true" name="util_mem_female_45_64_curr" vbProcedure="false">#REF!</definedName>
    <definedName function="false" hidden="true" name="util_mem_female_45_64_prior" vbProcedure="false">#REF!</definedName>
    <definedName function="false" hidden="true" name="util_mem_female_65_over_curr" vbProcedure="false">#REF!</definedName>
    <definedName function="false" hidden="true" name="util_mem_female_65_over_prior" vbProcedure="false">#REF!</definedName>
    <definedName function="false" hidden="true" name="util_mem_male_0_19_curr" vbProcedure="false">#REF!</definedName>
    <definedName function="false" hidden="true" name="util_mem_male_0_19_prior" vbProcedure="false">#REF!</definedName>
    <definedName function="false" hidden="true" name="util_mem_male_20_44_curr" vbProcedure="false">#REF!</definedName>
    <definedName function="false" hidden="true" name="util_mem_male_20_44_prior" vbProcedure="false">#REF!</definedName>
    <definedName function="false" hidden="true" name="util_mem_male_45_64_curr" vbProcedure="false">#REF!</definedName>
    <definedName function="false" hidden="true" name="util_mem_male_45_64_prior" vbProcedure="false">#REF!</definedName>
    <definedName function="false" hidden="true" name="util_mem_male_65_over_curr" vbProcedure="false">#REF!</definedName>
    <definedName function="false" hidden="true" name="util_mem_male_65_over_prior" vbProcedure="false">#REF!</definedName>
    <definedName function="false" hidden="true" name="Util_Proc_Dental_Range" vbProcedure="false">#REF!</definedName>
    <definedName function="false" hidden="false" name="uuuu9" vbProcedure="false">{#N/A,#N/A,FALSE,"MAY";#N/A,#N/A,FALSE,"Q2";#N/A,#N/A,FALSE,"YTD"}</definedName>
    <definedName function="false" hidden="false" name="uuuuu" vbProcedure="false">{#N/A,#N/A,FALSE,"MAY";#N/A,#N/A,FALSE,"Q2";#N/A,#N/A,FALSE,"YTD"}</definedName>
    <definedName function="false" hidden="false" name="uuuuu1" vbProcedure="false">{#N/A,#N/A,FALSE,"MAY";#N/A,#N/A,FALSE,"Q2";#N/A,#N/A,FALSE,"YTD"}</definedName>
    <definedName function="false" hidden="true" name="UYT" vbProcedure="false">#REF!</definedName>
    <definedName function="false" hidden="true" name="valdelete" vbProcedure="false">#REF!</definedName>
    <definedName function="false" hidden="false" name="ValuationMethodology" vbProcedure="false">#REF!</definedName>
    <definedName function="false" hidden="false" name="Valuation_Date" vbProcedure="false">#REF!</definedName>
    <definedName function="false" hidden="false" name="Values_Entered" vbProcedure="false">#N/A</definedName>
    <definedName function="false" hidden="false" name="variance" vbProcedure="false">{"'Cover'!$B$11"}</definedName>
    <definedName function="false" hidden="true" name="Version" vbProcedure="false">"a1"</definedName>
    <definedName function="false" hidden="false" name="Vintages" vbProcedure="false">#REF!</definedName>
    <definedName function="false" hidden="false" name="vo" vbProcedure="false">{"consolidated",#N/A,FALSE,"Sheet1";"cms",#N/A,FALSE,"Sheet1";"fse",#N/A,FALSE,"Sheet1"}</definedName>
    <definedName function="false" hidden="true" name="vsdvb" vbProcedure="false">#REF!</definedName>
    <definedName function="false" hidden="true" name="vv" vbProcedure="false">{"cash_marc",#N/A,FALSE,"dec95cr.xls"}</definedName>
    <definedName function="false" hidden="true" name="vvv" vbProcedure="false">{"Allocation Matrix p1",#N/A,FALSE,"Allocation Matrix";"Allocation Matrix p2",#N/A,FALSE,"Allocation Matrix";"Allocation Matrix p3",#N/A,FALSE,"Allocation Matrix"}</definedName>
    <definedName function="false" hidden="tru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rrant" vbProcedure="false">#REF!</definedName>
    <definedName function="false" hidden="false" name="warrants" vbProcedure="false">#REF!</definedName>
    <definedName function="false" hidden="true" name="was" vbProcedure="false">{#N/A,#N/A,FALSE,"Sales Graph";#N/A,#N/A,FALSE,"BUC Graph";#N/A,#N/A,FALSE,"P&amp;L - YTD"}</definedName>
    <definedName function="false" hidden="true" name="wb" vbProcedure="false">{#N/A,#N/A,FALSE,"Pharm";#N/A,#N/A,FALSE,"WWCM"}</definedName>
    <definedName function="false" hidden="false" name="wbh01m.BLinks" vbProcedure="false">INDIRECT("FDSWMMA.XLM!mfs20.BHandler")</definedName>
    <definedName function="false" hidden="true" name="wc" vbProcedure="false">{#N/A,#N/A,FALSE,"Pharm";#N/A,#N/A,FALSE,"WWCM"}</definedName>
    <definedName function="false" hidden="true" name="wd" vbProcedure="false">{"FY98Q1 var",#N/A,FALSE,"FY98 - Q1";"FY98Q2 var",#N/A,FALSE,"FY98 - Q2";"FY98Q3 var",#N/A,FALSE,"FY98 - Q3";"FY98Q4 var",#N/A,FALSE,"FY98 - Q4"}</definedName>
    <definedName function="false" hidden="true" name="weee" vbProcedure="false">{"FY98Q1 var",#N/A,FALSE,"FY98 - Q1";"FY98Q2 var",#N/A,FALSE,"FY98 - Q2";"FY98Q3 var",#N/A,FALSE,"FY98 - Q3";"FY98Q4 var",#N/A,FALSE,"FY98 - Q4"}</definedName>
    <definedName function="false" hidden="true" name="wer" vbProcedure="false">#REF!</definedName>
    <definedName function="false" hidden="true" name="werrr" vbProcedure="false">{#N/A,#N/A,FALSE,"Pharm";#N/A,#N/A,FALSE,"WWCM"}</definedName>
    <definedName function="false" hidden="tru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true" name="wewq" vbProcedure="false">{"FY97Q1 nvs",#N/A,FALSE,"FY97 - Q1";"FY97Q2 nvs",#N/A,FALSE,"FY97 - Q2";"FY97Q3 nvs",#N/A,FALSE,"FY97 - Q3";"FY97Q4 nvs",#N/A,FALSE,"FY97 - Q4"}</definedName>
    <definedName function="false" hidden="false" name="what"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willi" vbProcedure="false">{"'Cover'!$B$11"}</definedName>
    <definedName function="false" hidden="false" name="willie" vbProcedure="false">{"'Cover'!$B$11"}</definedName>
    <definedName function="false" hidden="true" name="wlkednjfc" vbProcedure="false">{#N/A,#N/A,FALSE,"Aging Summary";#N/A,#N/A,FALSE,"Ratio Analysis";#N/A,#N/A,FALSE,"Test 120 Day Accts";#N/A,#N/A,FALSE,"Tickmarks"}</definedName>
    <definedName function="false" hidden="true" name="word" vbProcedure="false">{#N/A,#N/A,TRUE,"Deckblatt";#N/A,#N/A,TRUE,"Inhaltsverz.";#N/A,#N/A,TRUE,"1.1. Organisationsplan";#N/A,#N/A,TRUE,"1.2. Budget-Übersicht";#N/A,#N/A,TRUE,"2. AE-AB-UE";#N/A,#N/A,TRUE,"3.1. 5-Jahres-Plan";#N/A,#N/A,TRUE,"3.2. Plan-Erg.rg.";#N/A,#N/A,TRUE,"4. Bilanz";#N/A,#N/A,TRUE,"5. Finanzplan";#N/A,#N/A,TRUE,"6. Investionen";#N/A,#N/A,TRUE,"7. Personalplan"}</definedName>
    <definedName function="false" hidden="false" name="Workflow_License" vbProcedure="false">#REF!</definedName>
    <definedName function="false" hidden="true" name="working" vbProcedure="false">{#N/A,#N/A,FALSE,"REPORT"}</definedName>
    <definedName function="false" hidden="true" name="wqer" vbProcedure="false">{"Allocation Matrix p1",#N/A,FALSE,"Allocation Matrix";"Allocation Matrix p2",#N/A,FALSE,"Allocation Matrix";"Allocation Matrix p3",#N/A,FALSE,"Allocation Matrix"}</definedName>
    <definedName function="false" hidden="true" name="wqqwe" vbProcedure="false">{"FY97Tot nvs",#N/A,FALSE,"FY97 - Total";"FY98Tot nvs",#N/A,FALSE,"FY98 - Total"}</definedName>
    <definedName function="false" hidden="true" name="wqrew" vbProcedure="false">{"FY97Total",#N/A,FALSE,"FY97 - Total";"FY98Total",#N/A,FALSE,"FY98 - Total"}</definedName>
    <definedName function="false" hidden="true" name="wqrwqe" vbProcedure="false">{"FY98Q1 nvs",#N/A,FALSE,"FY98 - Q1";"FY98Q2 nvs",#N/A,FALSE,"FY98 - Q2";"FY98Q3 nvs",#N/A,FALSE,"FY98 - Q3";"FY98Q4 nvs",#N/A,FALSE,"FY98 - Q4"}</definedName>
    <definedName function="false" hidden="true" name="wr" vbProcedure="false">{"FY98Q1 var",#N/A,FALSE,"FY98 - Q1";"FY98Q2 var",#N/A,FALSE,"FY98 - Q2";"FY98Q3 var",#N/A,FALSE,"FY98 - Q3";"FY98Q4 var",#N/A,FALSE,"FY98 - Q4"}</definedName>
    <definedName function="false" hidden="true" name="wrd.2._.pagers.3" vbProcedure="false">{"Cover",#N/A,FALSE,"Cover";"Summary",#N/A,FALSE,"Summarpage"}</definedName>
    <definedName function="false" hidden="true" name="wrksht" vbProcedure="false">{"USD",#N/A,FALSE,"FC-15 Cap Expend";"LC",#N/A,FALSE,"FC-15 Cap Expend"}</definedName>
    <definedName function="false" hidden="true" name="wrm.81" vbProcedure="false">{"cover",#N/A,TRUE,"Cover";"toc3",#N/A,TRUE,"TOC";"over",#N/A,TRUE,"Overview";"ts2",#N/A,TRUE,"Det_Trans_Sum";"ei1",#N/A,TRUE,"Earnings Impact";"ad1",#N/A,TRUE,"accretion dilution";"pfis1",#N/A,TRUE,"Pro Forma Income Statement";"acq1",#N/A,TRUE,"Acquirer";"tar1",#N/A,TRUE,"Target"}</definedName>
    <definedName function="false" hidden="false" name="wrn.1." vbProcedure="false">{#N/A,#N/A,FALSE,"Calc";#N/A,#N/A,FALSE,"Sensitivity";#N/A,#N/A,FALSE,"LT Earn.Dil.";#N/A,#N/A,FALSE,"Dil. AVP"}</definedName>
    <definedName function="false" hidden="true" name="wrn.1._.Print._.Month._.Data." vbProcedure="false">{"Month vs ABP p1",#N/A,FALSE,"Month vs ABP";"Month vs ABP p2",#N/A,FALSE,"Month vs ABP";"Month",#N/A,FALSE,"Month"}</definedName>
    <definedName function="false" hidden="true" name="wrn.10." vbProcedure="false">{"cover",#N/A,TRUE,"Cover";"toc3",#N/A,TRUE,"TOC";"over",#N/A,TRUE,"Overview";"ts2",#N/A,TRUE,"Det_Trans_Sum";"ei1c",#N/A,TRUE,"Earnings Impact";"ad1",#N/A,TRUE,"accretion dilution";"pfis1",#N/A,TRUE,"Pro Forma Income Statement";"acq1c",#N/A,TRUE,"Acquirer";"tar1c",#N/A,TRUE,"Target"}</definedName>
    <definedName function="false" hidden="true" name="wrn.11." vbProcedure="false">{"cover",#N/A,TRUE,"Cover";"toc3",#N/A,TRUE,"TOC";"over",#N/A,TRUE,"Overview";"ts2",#N/A,TRUE,"Det_Trans_Sum";"ei2c",#N/A,TRUE,"Earnings Impact";"ad2",#N/A,TRUE,"accretion dilution";"pfis2",#N/A,TRUE,"Pro Forma Income Statement";"acq2c",#N/A,TRUE,"Acquirer";"tar2c",#N/A,TRUE,"Target"}</definedName>
    <definedName function="false" hidden="true" name="wrn.111111" vbProcedure="false">{#N/A,#N/A,FALSE,"Pharm";#N/A,#N/A,FALSE,"WWCM"}</definedName>
    <definedName function="false" hidden="true" name="wrn.12." vbProcedure="false">{"cover",#N/A,TRUE,"Cover";"toc3",#N/A,TRUE,"TOC";"over",#N/A,TRUE,"Overview";"ts2",#N/A,TRUE,"Det_Trans_Sum";"ei3c",#N/A,TRUE,"Earnings Impact";"ad3",#N/A,TRUE,"accretion dilution";"pfis3",#N/A,TRUE,"Pro Forma Income Statement";"acq3c",#N/A,TRUE,"Acquirer";"tar3c",#N/A,TRUE,"Target"}</definedName>
    <definedName function="false" hidden="true" name="wrn.123" vbProcedure="false">{#N/A,#N/A,FALSE,"TFX Med. Europe Full Year in $"}</definedName>
    <definedName function="false" hidden="tru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tru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true" name="wrn.13." vbProcedure="false">{"cover",#N/A,TRUE,"Cover";"toc4",#N/A,TRUE,"TOC";"over",#N/A,TRUE,"Overview";"ts2",#N/A,TRUE,"Det_Trans_Sum";"eic",#N/A,TRUE,"Earnings Impact";"ad",#N/A,TRUE,"accretion dilution";"tas",#N/A,TRUE,"TaintedShares";"hg",#N/A,TRUE,"Has-Gets";"pfis",#N/A,TRUE,"Pro Forma Income Statement";"ca",#N/A,TRUE,"Contribution_Analysis";"acqc",#N/A,TRUE,"Acquirer";"tarc",#N/A,TRUE,"Target"}</definedName>
    <definedName function="false" hidden="true" name="wrn.14." vbProcedure="false">{"cover",#N/A,TRUE,"Cover";"toc4",#N/A,TRUE,"TOC";"over",#N/A,TRUE,"Overview";"ts2",#N/A,TRUE,"Det_Trans_Sum";"ei1c",#N/A,TRUE,"Earnings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function="false" hidden="true" name="wrn.15." vbProcedure="false">{"cover",#N/A,TRUE,"Cover";"toc4",#N/A,TRUE,"TOC";"over",#N/A,TRUE,"Overview";"ts2",#N/A,TRUE,"Det_Trans_Sum";"ei2c",#N/A,TRUE,"Earnings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function="false" hidden="true" name="wrn.16." vbProcedure="false">{"cover",#N/A,TRUE,"Cover";"toc4",#N/A,TRUE,"TOC";"over",#N/A,TRUE,"Overview";"ts2",#N/A,TRUE,"Det_Trans_Sum";"ei3c",#N/A,TRUE,"Earnings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function="false" hidden="true" name="wrn.17." vbProcedure="false">{"cover",#N/A,TRUE,"Cover";"toc5",#N/A,TRUE,"TOC";"over",#N/A,TRUE,"Overview";"ts2",#N/A,TRUE,"Det_Trans_Sum";"eic",#N/A,TRUE,"Earnings Impact";"ad",#N/A,TRUE,"accretion dilution";"pfis",#N/A,TRUE,"Pro Forma Income Statement";"ca",#N/A,TRUE,"Contribution_Analysis";"acqc",#N/A,TRUE,"Acquirer";"tarc",#N/A,TRUE,"Target"}</definedName>
    <definedName function="false" hidden="true" name="wrn.18." vbProcedure="false">{"cover",#N/A,TRUE,"Cover";"toc5",#N/A,TRUE,"TOC";"over",#N/A,TRUE,"Overview";"ts2",#N/A,TRUE,"Det_Trans_Sum";"ei1c",#N/A,TRUE,"Earnings Impact";"ad1",#N/A,TRUE,"accretion dilution";"pfis1",#N/A,TRUE,"Pro Forma Income Statement";"ca1",#N/A,TRUE,"Contribution_Analysis";"acq1c",#N/A,TRUE,"Acquirer";"tar1c",#N/A,TRUE,"Target"}</definedName>
    <definedName function="false" hidden="true" name="wrn.19." vbProcedure="false">{"cover",#N/A,TRUE,"Cover";"toc5",#N/A,TRUE,"TOC";"ts2",#N/A,TRUE,"Det_Trans_Sum";"over",#N/A,TRUE,"Overview";"ei2c",#N/A,TRUE,"Earnings Impact";"ad2",#N/A,TRUE,"accretion dilution";"pfis2",#N/A,TRUE,"Pro Forma Income Statement";"ca2",#N/A,TRUE,"Contribution_Analysis";"acq2c",#N/A,TRUE,"Acquirer";"tar2c",#N/A,TRUE,"Target"}</definedName>
    <definedName function="false" hidden="true" name="wrn.1998._.Renewal." vbProcedure="false">{#N/A,#N/A,TRUE,"B&amp;M Med";#N/A,#N/A,TRUE,"CMED";#N/A,#N/A,TRUE,"Dental";#N/A,#N/A,TRUE,"Dev_Fund";#N/A,#N/A,TRUE,"SFGP Factor Calculation";#N/A,#N/A,TRUE,"Summary of Monthly Billing"}</definedName>
    <definedName function="false" hidden="true" name="wrn.1998._.Renewal.2" vbProcedure="false">{#N/A,#N/A,TRUE,"B&amp;M Med";#N/A,#N/A,TRUE,"CMED";#N/A,#N/A,TRUE,"Dental";#N/A,#N/A,TRUE,"Dev_Fund";#N/A,#N/A,TRUE,"SFGP Factor Calculation";#N/A,#N/A,TRUE,"Summary of Monthly Billing"}</definedName>
    <definedName function="false" hidden="true" name="wrn.2._.Print._.QTD._.Data." vbProcedure="false">{"Qtr vs ABP p1",#N/A,FALSE,"Quarter vs ABP";"Qtr vs ABP p2",#N/A,FALSE,"Quarter vs ABP";"Qtr",#N/A,FALSE,"Quarter"}</definedName>
    <definedName function="false" hidden="true" name="wrn.20." vbProcedure="false">{"cover",#N/A,TRUE,"Cover";"toc5",#N/A,TRUE,"TOC";"over",#N/A,TRUE,"Overview";"ts2",#N/A,TRUE,"Det_Trans_Sum";"ei3c",#N/A,TRUE,"Earnings Impact";"ad3",#N/A,TRUE,"accretion dilution";"pfis3",#N/A,TRUE,"Pro Forma Income Statement";"ca3",#N/A,TRUE,"Contribution_Analysis";"acq3c",#N/A,TRUE,"Acquirer";"tar3c",#N/A,TRUE,"Target"}</definedName>
    <definedName function="false" hidden="true" name="wrn.21." vbProcedure="false">{"cover",#N/A,TRUE,"Cover";"toc6",#N/A,TRUE,"TOC";"over",#N/A,TRUE,"Overview";"ts2",#N/A,TRUE,"Det_Trans_Sum";"eic",#N/A,TRUE,"Earnings Impact";"ad",#N/A,TRUE,"accretion dilution";"hg",#N/A,TRUE,"Has-Gets";"pfis",#N/A,TRUE,"Pro Forma Income Statement";"ca",#N/A,TRUE,"Contribution_Analysis";"acqc",#N/A,TRUE,"Acquirer";"tarc",#N/A,TRUE,"Target"}</definedName>
    <definedName function="false" hidden="true" name="wrn.22." vbProcedure="false">{"cover",#N/A,TRUE,"Cover";"toc6",#N/A,TRUE,"TOC";"over",#N/A,TRUE,"Overview";"ts2",#N/A,TRUE,"Det_Trans_Sum";"ei1c",#N/A,TRUE,"Earnings Impact";"ad1",#N/A,TRUE,"accretion dilution";"hg1",#N/A,TRUE,"Has-Gets";"pfis1",#N/A,TRUE,"Pro Forma Income Statement";"ca1",#N/A,TRUE,"Contribution_Analysis";"acq1c",#N/A,TRUE,"Acquirer";"tar1c",#N/A,TRUE,"Target"}</definedName>
    <definedName function="false" hidden="true" name="wrn.23." vbProcedure="false">{"cover",#N/A,TRUE,"Cover";"toc6",#N/A,TRUE,"TOC";"pfis3",#N/A,TRUE,"Overview";"ts2",#N/A,TRUE,"Det_Trans_Sum";"ei2c",#N/A,TRUE,"Earnings Impact";"ad2",#N/A,TRUE,"accretion dilution";"hg2",#N/A,TRUE,"Has-Gets";"pfis2",#N/A,TRUE,"Pro Forma Income Statement";"ca2",#N/A,TRUE,"Contribution_Analysis";"acq2c",#N/A,TRUE,"Acquirer";"tar2c",#N/A,TRUE,"Target"}</definedName>
    <definedName function="false" hidden="true" name="wrn.24." vbProcedure="false">{"cover",#N/A,TRUE,"Cover";"toc6",#N/A,TRUE,"TOC";"over",#N/A,TRUE,"Overview";"ts2",#N/A,TRUE,"Det_Trans_Sum";"ei3c",#N/A,TRUE,"Earnings Impact";"ad3",#N/A,TRUE,"accretion dilution";"hg3",#N/A,TRUE,"Has-Gets";"pfis",#N/A,TRUE,"Pro Forma Income Statement";"ca3",#N/A,TRUE,"Contribution_Analysis";"acq3c",#N/A,TRUE,"Acquirer";"tar3c",#N/A,TRUE,"Target"}</definedName>
    <definedName function="false" hidden="true" name="wrn.25." vbProcedure="false">{"cover",#N/A,TRUE,"Cover";"toc3",#N/A,TRUE,"TOC";"over",#N/A,TRUE,"Overview";"ts2",#N/A,TRUE,"Det_Trans_Sum";"ei",#N/A,TRUE,"Earnings Impact";"ad",#N/A,TRUE,"accretion dilution";"pfis",#N/A,TRUE,"Pro Forma Income Statement";"acq",#N/A,TRUE,"Acquirer";"tar",#N/A,TRUE,"Target"}</definedName>
    <definedName function="false" hidden="true" name="wrn.26." vbProcedure="false">{"cover",#N/A,TRUE,"Cover";"toc3",#N/A,TRUE,"TOC";"over",#N/A,TRUE,"Overview";"ts2",#N/A,TRUE,"Det_Trans_Sum";"ei1",#N/A,TRUE,"Earnings Impact";"ad1",#N/A,TRUE,"accretion dilution";"pfis1",#N/A,TRUE,"Pro Forma Income Statement";"acq1",#N/A,TRUE,"Acquirer";"tar1",#N/A,TRUE,"Target"}</definedName>
    <definedName function="false" hidden="true" name="wrn.27." vbProcedure="false">{"cover",#N/A,TRUE,"Cover";"toc3",#N/A,TRUE,"TOC";"over",#N/A,TRUE,"Overview";"ts2",#N/A,TRUE,"Det_Trans_Sum";"ei2",#N/A,TRUE,"Earnings Impact";"ad2",#N/A,TRUE,"accretion dilution";"pfis2",#N/A,TRUE,"Pro Forma Income Statement";"acq2",#N/A,TRUE,"Acquirer";"tar2",#N/A,TRUE,"Target"}</definedName>
    <definedName function="false" hidden="true" name="wrn.28." vbProcedure="false">{"cover",#N/A,TRUE,"Cover";"toc3",#N/A,TRUE,"TOC";"over",#N/A,TRUE,"Overview";"ts2",#N/A,TRUE,"Det_Trans_Sum";"ei3",#N/A,TRUE,"Earnings Impact";"ad3",#N/A,TRUE,"accretion dilution";"pfis3",#N/A,TRUE,"Pro Forma Income Statement";"acq3",#N/A,TRUE,"Acquirer";"tar3",#N/A,TRUE,"Target"}</definedName>
    <definedName function="false" hidden="true" name="wrn.29." vbProcedure="false">{"cover",#N/A,TRUE,"Cover";"toc4",#N/A,TRUE,"TOC";"over",#N/A,TRUE,"Overview";"ts2",#N/A,TRUE,"Det_Trans_Sum";"ei",#N/A,TRUE,"Earnings Impact";"ad",#N/A,TRUE,"accretion dilution";"tas",#N/A,TRUE,"TaintedShares";"hg",#N/A,TRUE,"Has-Gets";"pfis",#N/A,TRUE,"Pro Forma Income Statement";"ca",#N/A,TRUE,"Contribution_Analysis";"acq",#N/A,TRUE,"Acquirer";"tar",#N/A,TRUE,"Target"}</definedName>
    <definedName function="false" hidden="true" name="wrn.3." vbProcedure="false">{"cover",#N/A,TRUE,"Cover";"toc1",#N/A,TRUE,"TOC";"ts1",#N/A,TRUE,"Transaction Summary";"ei2",#N/A,TRUE,"Earnings Impact";"ad2",#N/A,TRUE,"accretion dilution"}</definedName>
    <definedName function="false" hidden="tru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true" name="wrn.3._.Print._.YTD._.Data." vbProcedure="false">{"Year vs ABP p1",#N/A,FALSE,"Year vs ABP";"Year vs ABP p2",#N/A,FALSE,"Year vs ABP";"Year",#N/A,FALSE,"Year"}</definedName>
    <definedName function="false" hidden="true" name="wrn.30." vbProcedure="false">{"cover",#N/A,TRUE,"Cover";"toc4",#N/A,TRUE,"TOC";"over",#N/A,TRUE,"Overview";"ts2",#N/A,TRUE,"Det_Trans_Sum";"ei1",#N/A,TRUE,"Earnings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function="false" hidden="true" name="wrn.31." vbProcedure="false">{"cover",#N/A,TRUE,"Cover";"toc4",#N/A,TRUE,"TOC";"over",#N/A,TRUE,"Overview";"ts2",#N/A,TRUE,"Det_Trans_Sum";"ei2",#N/A,TRUE,"Earnings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function="false" hidden="true" name="wrn.32." vbProcedure="false">{"cover",#N/A,TRUE,"Cover";"toc4",#N/A,TRUE,"TOC";"over",#N/A,TRUE,"Overview";"ts2",#N/A,TRUE,"Det_Trans_Sum";"ei3",#N/A,TRUE,"Earnings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function="false" hidden="true" name="wrn.33." vbProcedure="false">{"cover",#N/A,TRUE,"Cover";"toc5",#N/A,TRUE,"TOC";"over",#N/A,TRUE,"Overview";"ts2",#N/A,TRUE,"Det_Trans_Sum";"ei",#N/A,TRUE,"Earnings Impact";"ad",#N/A,TRUE,"accretion dilution";"pfis",#N/A,TRUE,"Pro Forma Income Statement";"ca",#N/A,TRUE,"Contribution_Analysis";"acq",#N/A,TRUE,"Acquirer";"tar",#N/A,TRUE,"Target"}</definedName>
    <definedName function="false" hidden="true" name="wrn.34." vbProcedure="false">{"cover",#N/A,TRUE,"Cover";"toc5",#N/A,TRUE,"TOC";"over",#N/A,TRUE,"Overview";"ts2",#N/A,TRUE,"Det_Trans_Sum";"ei1",#N/A,TRUE,"Earnings Impact";"ad1",#N/A,TRUE,"accretion dilution";"pfis1",#N/A,TRUE,"Pro Forma Income Statement";"ca1",#N/A,TRUE,"Contribution_Analysis";"acq1",#N/A,TRUE,"Acquirer";"tar1",#N/A,TRUE,"Target"}</definedName>
    <definedName function="false" hidden="true" name="wrn.35." vbProcedure="false">{"cover",#N/A,TRUE,"Cover";"toc5",#N/A,TRUE,"TOC";"over",#N/A,TRUE,"Overview";"ts2",#N/A,TRUE,"Det_Trans_Sum";"ei2",#N/A,TRUE,"Earnings Impact";"ad2",#N/A,TRUE,"accretion dilution";"pfis2",#N/A,TRUE,"Pro Forma Income Statement";"ca2",#N/A,TRUE,"Contribution_Analysis";"acq2",#N/A,TRUE,"Acquirer";"tar2",#N/A,TRUE,"Target"}</definedName>
    <definedName function="false" hidden="true" name="wrn.36." vbProcedure="false">{"cover",#N/A,TRUE,"Cover";"toc5",#N/A,TRUE,"TOC";"over",#N/A,TRUE,"Overview";"ts2",#N/A,TRUE,"Det_Trans_Sum";"ei3",#N/A,TRUE,"Earnings Impact";"ad3",#N/A,TRUE,"accretion dilution";"pfis3",#N/A,TRUE,"Pro Forma Income Statement";"ca3",#N/A,TRUE,"Contribution_Analysis";"acq3",#N/A,TRUE,"Acquirer";"tar3",#N/A,TRUE,"Target"}</definedName>
    <definedName function="false" hidden="true" name="wrn.37." vbProcedure="false">{"cover",#N/A,TRUE,"Cover";"toc6",#N/A,TRUE,"TOC";"over",#N/A,TRUE,"Overview";"ts2",#N/A,TRUE,"Det_Trans_Sum";"ei",#N/A,TRUE,"Earnings Impact";"ad",#N/A,TRUE,"accretion dilution";"hg",#N/A,TRUE,"Has-Gets";"pfis",#N/A,TRUE,"Pro Forma Income Statement";"ca",#N/A,TRUE,"Contribution_Analysis";"acq",#N/A,TRUE,"Acquirer";"tar",#N/A,TRUE,"Target"}</definedName>
    <definedName function="false" hidden="true" name="wrn.38." vbProcedure="false">{"cover",#N/A,TRUE,"Cover";"toc6",#N/A,TRUE,"TOC";"over",#N/A,TRUE,"Overview";"ts2",#N/A,TRUE,"Det_Trans_Sum";"ei1",#N/A,TRUE,"Earnings Impact";"ad1",#N/A,TRUE,"accretion dilution";"hg1",#N/A,TRUE,"Has-Gets";"pfis1",#N/A,TRUE,"Pro Forma Income Statement";"ca1",#N/A,TRUE,"Contribution_Analysis";"acq1",#N/A,TRUE,"Acquirer";"tar1",#N/A,TRUE,"Target"}</definedName>
    <definedName function="false" hidden="true" name="wrn.39." vbProcedure="false">{"cover",#N/A,TRUE,"Cover";"toc6",#N/A,TRUE,"TOC";"over",#N/A,TRUE,"Overview";"ts2",#N/A,TRUE,"Det_Trans_Sum";"ei2",#N/A,TRUE,"Earnings Impact";"ad2",#N/A,TRUE,"accretion dilution";"hg2",#N/A,TRUE,"Has-Gets";"pfis2",#N/A,TRUE,"Pro Forma Income Statement";"ca2",#N/A,TRUE,"Contribution_Analysis";"acq2",#N/A,TRUE,"Acquirer";"tar2",#N/A,TRUE,"Target"}</definedName>
    <definedName function="false" hidden="true" name="wrn.4." vbProcedure="false">{"toc1",#N/A,FALSE,"TOC";"cover",#N/A,FALSE,"Cover";"ts1",#N/A,FALSE,"Transaction Summary";"ei3",#N/A,FALSE,"Earnings Impact";"ad3",#N/A,FALSE,"accretion dilution"}</definedName>
    <definedName function="false" hidden="true" name="wrn.4._.Print._.Appendix._.I." vbProcedure="false">{"Appendix I",#N/A,FALSE,"Appendix I   - Assy Var"}</definedName>
    <definedName function="false" hidden="true" name="wrn.40." vbProcedure="false">{"cover",#N/A,TRUE,"Cover";"toc6",#N/A,TRUE,"TOC";"over",#N/A,TRUE,"Overview";"ts2",#N/A,TRUE,"Det_Trans_Sum";"ei3",#N/A,TRUE,"Earnings Impact";"ad3",#N/A,TRUE,"accretion dilution";"hg3",#N/A,TRUE,"Has-Gets";"pfis3",#N/A,TRUE,"Pro Forma Income Statement";"ca3",#N/A,TRUE,"Contribution_Analysis";"acq3",#N/A,TRUE,"Acquirer";"tar3",#N/A,TRUE,"Target"}</definedName>
    <definedName function="false" hidden="true" name="wrn.41." vbProcedure="false">{"cover",#N/A,TRUE,"Cover";"toc7",#N/A,TRUE,"TOC";"over",#N/A,TRUE,"Overview";"ts2",#N/A,TRUE,"Det_Trans_Sum";"eic",#N/A,TRUE,"Earnings Impact";"ad",#N/A,TRUE,"accretion dilution";"pfis",#N/A,TRUE,"Pro Forma Income Statement";"profba",#N/A,TRUE,"Pro Forma Balance Sheet";"acqc",#N/A,TRUE,"Acquirer";"tarc",#N/A,TRUE,"Target"}</definedName>
    <definedName function="false" hidden="true" name="wrn.42." vbProcedure="false">{"cover",#N/A,TRUE,"Cover";"toc7",#N/A,TRUE,"TOC";"over",#N/A,TRUE,"Overview";"ts2",#N/A,TRUE,"Det_Trans_Sum";"ei1c",#N/A,TRUE,"Earnings Impact";"ad1",#N/A,TRUE,"accretion dilution";"pfis1",#N/A,TRUE,"Pro Forma Income Statement";"profba",#N/A,TRUE,"Pro Forma Balance Sheet";"acq1c",#N/A,TRUE,"Acquirer";"tar1c",#N/A,TRUE,"Target"}</definedName>
    <definedName function="false" hidden="true" name="wrn.43." vbProcedure="false">{"cover",#N/A,TRUE,"Cover";"toc7",#N/A,TRUE,"TOC";"over",#N/A,TRUE,"Overview";"ts2",#N/A,TRUE,"Det_Trans_Sum";"ei2c",#N/A,TRUE,"Earnings Impact";"ad2",#N/A,TRUE,"accretion dilution";"pfis2",#N/A,TRUE,"Pro Forma Income Statement";"profba",#N/A,TRUE,"Pro Forma Balance Sheet";"acq2c",#N/A,TRUE,"Acquirer";"tar2c",#N/A,TRUE,"Target"}</definedName>
    <definedName function="false" hidden="true" name="wrn.44." vbProcedure="false">{"cover",#N/A,TRUE,"Cover";"toc7",#N/A,TRUE,"TOC";"over",#N/A,TRUE,"Overview";"ts2",#N/A,TRUE,"Det_Trans_Sum";"ei3c",#N/A,TRUE,"Earnings Impact";"ad3",#N/A,TRUE,"accretion dilution";"pfis3",#N/A,TRUE,"Pro Forma Income Statement";"profba",#N/A,TRUE,"Pro Forma Balance Sheet";"acq3c",#N/A,TRUE,"Acquirer";"tar3c",#N/A,TRUE,"Target"}</definedName>
    <definedName function="false" hidden="true" name="wrn.45." vbProcedure="false">{"cover",#N/A,TRUE,"Cover";"toc8",#N/A,TRUE,"TOC";"over",#N/A,TRUE,"Overview";"ts2",#N/A,TRUE,"Det_Trans_Sum";"eic",#N/A,TRUE,"Earnings Impact";"ad",#N/A,TRUE,"accretion dilution";"pfis",#N/A,TRUE,"Pro Forma Income Statement";"ca",#N/A,TRUE,"Contribution_Analysis";"profba",#N/A,TRUE,"Pro Forma Balance Sheet";"acqc",#N/A,TRUE,"Acquirer";"tarc",#N/A,TRUE,"Target"}</definedName>
    <definedName function="false" hidden="true" name="wrn.46." vbProcedure="false">{"cover",#N/A,TRUE,"Cover";"toc8",#N/A,TRUE,"TOC";"over",#N/A,TRUE,"Overview";"ts2",#N/A,TRUE,"Det_Trans_Sum";"ei1c",#N/A,TRUE,"Earnings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function="false" hidden="true" name="wrn.47." vbProcedure="false">{"cover",#N/A,TRUE,"Cover";"toc8",#N/A,TRUE,"TOC";"over",#N/A,TRUE,"Overview";"ts2",#N/A,TRUE,"Det_Trans_Sum";"ei2c",#N/A,TRUE,"Earnings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function="false" hidden="true" name="wrn.48." vbProcedure="false">{"cover",#N/A,TRUE,"Cover";"toc8",#N/A,TRUE,"TOC";"over",#N/A,TRUE,"Overview";"ts2",#N/A,TRUE,"Det_Trans_Sum";"ei3c",#N/A,TRUE,"Earnings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function="false" hidden="true" name="wrn.49." vbProcedure="false">{"cover",#N/A,TRUE,"Cover";"toc9",#N/A,TRUE,"TOC";"over",#N/A,TRUE,"Overview";"ts2",#N/A,TRUE,"Det_Trans_Sum";"eic",#N/A,TRUE,"Earnings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function="false" hidden="true" name="wrn.5." vbProcedure="false">{"cover",#N/A,TRUE,"Cover";"toc2",#N/A,TRUE,"TOC";"ts1",#N/A,TRUE,"Transaction Summary";"ei",#N/A,TRUE,"Earnings Impact";"ad",#N/A,TRUE,"accretion dilution";"hg",#N/A,TRUE,"Has-Gets"}</definedName>
    <definedName function="false" hidden="true" name="wrn.5._.Print._.Appendix._.II." vbProcedure="false">{"Appendix II",#N/A,FALSE,"Appendix II - Manu Var (Month)"}</definedName>
    <definedName function="false" hidden="true" name="wrn.50." vbProcedure="false">{"cover",#N/A,TRUE,"Cover";"toc9",#N/A,TRUE,"TOC";"over",#N/A,TRUE,"Overview";"ts2",#N/A,TRUE,"Det_Trans_Sum";"ei1c",#N/A,TRUE,"Earnings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function="false" hidden="true" name="wrn.51." vbProcedure="false">{"cover",#N/A,TRUE,"Cover";"toc9",#N/A,TRUE,"TOC";"over",#N/A,TRUE,"Overview";"ei2c",#N/A,TRUE,"Earnings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function="false" hidden="true" name="wrn.52." vbProcedure="false">{"cover",#N/A,TRUE,"Cover";"toc9",#N/A,TRUE,"TOC";"over",#N/A,TRUE,"Overview";"ts2",#N/A,TRUE,"Det_Trans_Sum";"ei3c",#N/A,TRUE,"Earnings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function="false" hidden="true" name="wrn.53." vbProcedure="false">{"cover",#N/A,TRUE,"Cover";"toc10",#N/A,TRUE,"TOC";"over",#N/A,TRUE,"Overview";"ts2",#N/A,TRUE,"Det_Trans_Sum";"eic",#N/A,TRUE,"Earnings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function="false" hidden="true" name="wrn.54." vbProcedure="false">{"cover",#N/A,TRUE,"Cover";"toc10",#N/A,TRUE,"TOC";"over",#N/A,TRUE,"Overview";"over",#N/A,TRUE,"Det_Trans_Sum";"ei1c",#N/A,TRUE,"Earnings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function="false" hidden="true" name="wrn.55." vbProcedure="false">{"cover",#N/A,TRUE,"Cover";"toc10",#N/A,TRUE,"TOC";"over",#N/A,TRUE,"Overview";"ts2",#N/A,TRUE,"Det_Trans_Sum";"ei2c",#N/A,TRUE,"Earnings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function="false" hidden="true" name="wrn.56." vbProcedure="false">{"cover",#N/A,TRUE,"Cover";"toc10",#N/A,TRUE,"TOC";"over",#N/A,TRUE,"Overview";"ts2",#N/A,TRUE,"Det_Trans_Sum";"ei3c",#N/A,TRUE,"Earnings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function="false" hidden="true" name="wrn.57." vbProcedure="false">{"cover",#N/A,TRUE,"Cover";"toc7",#N/A,TRUE,"TOC";"over",#N/A,TRUE,"Overview";"ts2",#N/A,TRUE,"Det_Trans_Sum";"ei",#N/A,TRUE,"Earnings Impact";"ad",#N/A,TRUE,"accretion dilution";"pfis",#N/A,TRUE,"Pro Forma Income Statement";"profba",#N/A,TRUE,"Pro Forma Balance Sheet";"acq",#N/A,TRUE,"Acquirer";"tar",#N/A,TRUE,"Target"}</definedName>
    <definedName function="false" hidden="true" name="wrn.58." vbProcedure="false">{"cover",#N/A,TRUE,"Cover";"toc7",#N/A,TRUE,"TOC";"over",#N/A,TRUE,"Overview";"ts2",#N/A,TRUE,"Det_Trans_Sum";"ei1",#N/A,TRUE,"Earnings Impact";"ad1",#N/A,TRUE,"accretion dilution";"pfis1",#N/A,TRUE,"Pro Forma Income Statement";"profba",#N/A,TRUE,"Pro Forma Balance Sheet";"acq1",#N/A,TRUE,"Acquirer";"tar1",#N/A,TRUE,"Target"}</definedName>
    <definedName function="false" hidden="true" name="wrn.59." vbProcedure="false">{"cover",#N/A,TRUE,"Cover";"toc7",#N/A,TRUE,"TOC";"over",#N/A,TRUE,"Overview";"ts2",#N/A,TRUE,"Det_Trans_Sum";"ei2",#N/A,TRUE,"Earnings Impact";"ad2",#N/A,TRUE,"accretion dilution";"pfis2",#N/A,TRUE,"Pro Forma Income Statement";"profba",#N/A,TRUE,"Pro Forma Balance Sheet";"acq2",#N/A,TRUE,"Acquirer";"tar2",#N/A,TRUE,"Target"}</definedName>
    <definedName function="false" hidden="true" name="wrn.5900._.WIP." vbProcedure="false">{#N/A,#N/A,FALSE,"5900 WIP"}</definedName>
    <definedName function="false" hidden="true" name="wrn.6." vbProcedure="false">{"cover",#N/A,TRUE,"Cover";"toc2",#N/A,TRUE,"TOC";"ts1",#N/A,TRUE,"Transaction Summary";"ei1",#N/A,TRUE,"Earnings Impact";"ad1",#N/A,TRUE,"accretion dilution";"hg1",#N/A,TRUE,"Has-Gets"}</definedName>
    <definedName function="false" hidden="true" name="wrn.6._.Print._.Appendix._.III." vbProcedure="false">{"Appendix III",#N/A,FALSE,"Appendix III - Manu Var (QTD) "}</definedName>
    <definedName function="false" hidden="true" name="wrn.60." vbProcedure="false">{"cover",#N/A,TRUE,"Cover";"toc7",#N/A,TRUE,"TOC";"over",#N/A,TRUE,"Overview";"ts2",#N/A,TRUE,"Det_Trans_Sum";"ei3",#N/A,TRUE,"Earnings Impact";"ad3",#N/A,TRUE,"accretion dilution";"pfis3",#N/A,TRUE,"Pro Forma Income Statement";"profba",#N/A,TRUE,"Pro Forma Balance Sheet";"acq3",#N/A,TRUE,"Acquirer";"tar3",#N/A,TRUE,"Target"}</definedName>
    <definedName function="false" hidden="true" name="wrn.61." vbProcedure="false">{"cover",#N/A,TRUE,"Cover";"toc8",#N/A,TRUE,"TOC";"over",#N/A,TRUE,"Overview";"ts2",#N/A,TRUE,"Det_Trans_Sum";"ei",#N/A,TRUE,"Earnings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function="false" hidden="true" name="wrn.62." vbProcedure="false">{"cover",#N/A,TRUE,"Cover";"toc8",#N/A,TRUE,"TOC";"over",#N/A,TRUE,"Overview";"ts2",#N/A,TRUE,"Det_Trans_Sum";"ei1",#N/A,TRUE,"Earnings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function="false" hidden="true" name="wrn.63." vbProcedure="false">{"cover",#N/A,TRUE,"Cover";"toc8",#N/A,TRUE,"TOC";"over",#N/A,TRUE,"Overview";"ts2",#N/A,TRUE,"Det_Trans_Sum";"ei2",#N/A,TRUE,"Earnings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function="false" hidden="true" name="wrn.64." vbProcedure="false">{"cover",#N/A,TRUE,"Cover";"toc8",#N/A,TRUE,"TOC";"over",#N/A,TRUE,"Overview";"ts2",#N/A,TRUE,"Det_Trans_Sum";"ei3",#N/A,TRUE,"Earnings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function="false" hidden="true" name="wrn.65." vbProcedure="false">{"cover",#N/A,TRUE,"Cover";"toc9",#N/A,TRUE,"TOC";"over",#N/A,TRUE,"Overview";"ts2",#N/A,TRUE,"Det_Trans_Sum";"ei",#N/A,TRUE,"Earnings Impact";"ad1",#N/A,TRUE,"accretion dilution";"pfis",#N/A,TRUE,"Pro Forma Income Statement";"ca",#N/A,TRUE,"Contribution_Analysis";"profba",#N/A,TRUE,"Pro Forma Balance Sheet";"acq",#N/A,TRUE,"Acquirer";"tar",#N/A,TRUE,"Target"}</definedName>
    <definedName function="false" hidden="true" name="wrn.66." vbProcedure="false">{"cover",#N/A,TRUE,"Cover";"toc9",#N/A,TRUE,"TOC";"over",#N/A,TRUE,"Overview";"ts2",#N/A,TRUE,"Det_Trans_Sum";"ei1",#N/A,TRUE,"Earnings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function="false" hidden="true" name="wrn.67." vbProcedure="false">{"cover",#N/A,TRUE,"Cover";"toc9",#N/A,TRUE,"TOC";"over",#N/A,TRUE,"Overview";"ts2",#N/A,TRUE,"Det_Trans_Sum";"ei2",#N/A,TRUE,"Earnings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function="false" hidden="true" name="wrn.68." vbProcedure="false">{"cover",#N/A,TRUE,"Cover";"toc9",#N/A,TRUE,"TOC";"over",#N/A,TRUE,"Overview";"ts2",#N/A,TRUE,"Det_Trans_Sum";"ei3",#N/A,TRUE,"Earnings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function="false" hidden="true" name="wrn.69." vbProcedure="false">{"cover",#N/A,TRUE,"Cover";"toc10",#N/A,TRUE,"TOC";"over",#N/A,TRUE,"Overview";"ts2",#N/A,TRUE,"Det_Trans_Sum";"ei",#N/A,TRUE,"Earnings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function="false" hidden="true" name="wrn.7." vbProcedure="false">{"cover",#N/A,TRUE,"Cover";"toc2",#N/A,TRUE,"TOC";"ts1",#N/A,TRUE,"Transaction Summary";"ei2c",#N/A,TRUE,"Earnings Impact";"ad2",#N/A,TRUE,"accretion dilution";"hg2",#N/A,TRUE,"Has-Gets"}</definedName>
    <definedName function="false" hidden="true" name="wrn.7._.Print._.Appendix._.IV." vbProcedure="false">{"Appendix IV",#N/A,FALSE,"Appendix IV - Inventory Change"}</definedName>
    <definedName function="false" hidden="true" name="wrn.70." vbProcedure="false">{"cover",#N/A,TRUE,"Cover";"toc10",#N/A,TRUE,"TOC";"over",#N/A,TRUE,"Overview";"ts2",#N/A,TRUE,"Det_Trans_Sum";"ei1",#N/A,TRUE,"Earnings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function="false" hidden="true" name="wrn.71." vbProcedure="false">{"cover",#N/A,TRUE,"Cover";"toc10",#N/A,TRUE,"TOC";"over",#N/A,TRUE,"Overview";"ts2",#N/A,TRUE,"Det_Trans_Sum";"ei2",#N/A,TRUE,"Earnings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function="false" hidden="true" name="wrn.72." vbProcedure="false">{"cover",#N/A,TRUE,"Cover";"toc10",#N/A,TRUE,"TOC";"over",#N/A,TRUE,"Overview";"ts2",#N/A,TRUE,"Det_Trans_Sum";"ei3",#N/A,TRUE,"Earnings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function="false" hidden="true" name="wrn.730." vbProcedure="false">{#N/A,#N/A,FALSE,"REPORT"}</definedName>
    <definedName function="false" hidden="true" name="wrn.731" vbProcedure="false">{#N/A,#N/A,FALSE,"REPORT"}</definedName>
    <definedName function="false" hidden="true" name="wrn.750." vbProcedure="false">{#N/A,#N/A,FALSE,"REPORT"}</definedName>
    <definedName function="false" hidden="true" name="wrn.7501" vbProcedure="false">{#N/A,#N/A,FALSE,"REPORT"}</definedName>
    <definedName function="false" hidden="true" name="wrn.760.16." vbProcedure="false">{#N/A,#N/A,FALSE,"REPORT"}</definedName>
    <definedName function="false" hidden="true" name="wrn.7900" vbProcedure="false">{#N/A,#N/A,FALSE,"REPORT"}</definedName>
    <definedName function="false" hidden="true" name="wrn.8." vbProcedure="false">{"cover",#N/A,TRUE,"Cover";"toc2",#N/A,TRUE,"TOC";"ts1",#N/A,TRUE,"Transaction Summary";"ei3",#N/A,TRUE,"Earnings Impact";"ad3",#N/A,TRUE,"accretion dilution";"hg3",#N/A,TRUE,"Has-Gets"}</definedName>
    <definedName function="false" hidden="true" name="wrn.9." vbProcedure="false">{"cover",#N/A,TRUE,"Cover";"toc3",#N/A,TRUE,"TOC";"over",#N/A,TRUE,"Overview";"ts2",#N/A,TRUE,"Det_Trans_Sum";"eic",#N/A,TRUE,"Earnings Impact";"ad",#N/A,TRUE,"accretion dilution";"pfis",#N/A,TRUE,"Pro Forma Income Statement";"acqc",#N/A,TRUE,"Acquirer";"tarc",#N/A,TRUE,"Target"}</definedName>
    <definedName function="false" hidden="true" name="wrn.905" vbProcedure="false">{#N/A,#N/A,FALSE,"REPORT"}</definedName>
    <definedName function="false" hidden="true" name="wrn.98BUDGET._.VS.._.97REPORJ." vbProcedure="false">{"FIRST PORTION",#N/A,TRUE,"SG&amp;A ANNUAL DEPT SUMMARY98-COMP";"SECOND PORTION",#N/A,TRUE,"SG&amp;A ANNUAL DEPT SUMMARY98-COMP";"THIRD PORTION",#N/A,TRUE,"SG&amp;A ANNUAL DEPT SUMMARY98-COMP";"FOURTH PORTION",#N/A,TRUE,"SG&amp;A ANNUAL DEPT SUMMARY98-COMP"}</definedName>
    <definedName function="false" hidden="true" name="wrn.99999" vbProcedure="false">{#N/A,#N/A,FALSE,"REPORT"}</definedName>
    <definedName function="false" hidden="tru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tru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true" name="wrn.a1._.FY9798Totals._.no._.var." vbProcedure="false">{"FY97Tot nvs",#N/A,FALSE,"FY97 - Total";"FY98Tot nvs",#N/A,FALSE,"FY98 - Total"}</definedName>
    <definedName function="false" hidden="true" name="wrn.a2._.FY97Q1234._.no._.var." vbProcedure="false">{"FY97Q1 nvs",#N/A,FALSE,"FY97 - Q1";"FY97Q2 nvs",#N/A,FALSE,"FY97 - Q2";"FY97Q3 nvs",#N/A,FALSE,"FY97 - Q3";"FY97Q4 nvs",#N/A,FALSE,"FY97 - Q4"}</definedName>
    <definedName function="false" hidden="true" name="wrn.a3._.FY98Q1234._.no._.var." vbProcedure="false">{"FY98Q1 nvs",#N/A,FALSE,"FY98 - Q1";"FY98Q2 nvs",#N/A,FALSE,"FY98 - Q2";"FY98Q3 nvs",#N/A,FALSE,"FY98 - Q3";"FY98Q4 nvs",#N/A,FALSE,"FY98 - Q4"}</definedName>
    <definedName function="false" hidden="true" name="wrn.aaa" vbProcedure="false">{#N/A,#N/A,FALSE,"Pharm";#N/A,#N/A,FALSE,"WWCM"}</definedName>
    <definedName function="false" hidden="true" name="wrn.aaaaaaa" vbProcedure="false">{#N/A,#N/A,FALSE,"Pharm";#N/A,#N/A,FALSE,"WWCM"}</definedName>
    <definedName function="false" hidden="true"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name="wrn.Accr_Dil." vbProcedure="false">{#N/A,#N/A,FALSE,"Debt Accr";#N/A,#N/A,FALSE,"Stock Accr";#N/A,#N/A,FALSE,"Debt Stock Accr"}</definedName>
    <definedName function="false" hidden="false" name="wrn.adj95." vbProcedure="false">{"adj95mult",#N/A,FALSE,"COMPCO";"adj95est",#N/A,FALSE,"COMPCO"}</definedName>
    <definedName function="false" hidden="true" name="wrn.Adjusted._.Mod._.Managed." vbProcedure="false">{"MM Visits",#N/A,TRUE,"Moderately Managed";"MM Dollars per Hour",#N/A,TRUE,"Moderately Managed";"MM Hours per Visit",#N/A,TRUE,"Moderately Managed";"MM Dollars per Visit",#N/A,TRUE,"Moderately Managed";"MM Total Visits",#N/A,TRUE,"Moderately Managed";"MM PMPM",#N/A,TRUE,"Moderately Managed"}</definedName>
    <definedName function="false" hidden="true" name="wrn.Adjusted._.Optimal." vbProcedure="false">{"OM Visits",#N/A,TRUE,"Optimal";"OM Dollars per Hour",#N/A,TRUE,"Optimal";"OM Hours per Visit",#N/A,TRUE,"Optimal";"OM Dollars per Visit",#N/A,TRUE,"Optimal";"OM Total Visits",#N/A,TRUE,"Optimal";"OM PMPM",#N/A,TRUE,"Optimal"}</definedName>
    <definedName function="false" hidden="true" name="wrn.Adjusted._.Unmanaged." vbProcedure="false">{"UM Visits",#N/A,FALSE,"Unmanaged";"UM Dollars per Hour",#N/A,FALSE,"Unmanaged";"UM Hours per Visit",#N/A,FALSE,"Unmanaged";"UM Dollars per Visit",#N/A,FALSE,"Unmanaged";"UM Total Visits",#N/A,FALSE,"Unmanaged";"UM PMPM",#N/A,FALSE,"Unmanaged"}</definedName>
    <definedName function="false" hidden="true" name="wrn.Adjustments." vbProcedure="false">{"Page1",#N/A,FALSE,"Matrix (1)";"Page2",#N/A,FALSE,"Pay-Out";"Page3",#N/A,FALSE,"Prems_Reserves";"Page4",#N/A,FALSE,"Adj. EPS";"Page5",#N/A,FALSE,"Acc_Dil"}</definedName>
    <definedName function="false" hidden="false" name="wrn.Aging._.and._.Trend._.Analysis." vbProcedure="false">{#N/A,#N/A,FALSE,"Aging Summary";#N/A,#N/A,FALSE,"Ratio Analysis";#N/A,#N/A,FALSE,"Test 120 Day Accts";#N/A,#N/A,FALSE,"Tickmarks"}</definedName>
    <definedName function="false" hidden="false" name="wrn.all." vbProcedure="false">{#N/A,#N/A,FALSE,"assumptions";#N/A,#N/A,FALSE,"v_projcy";#N/A,#N/A,FALSE,"tar_proj";#N/A,#N/A,FALSE,"contrib_annual";#N/A,#N/A,FALSE,"Proforma";#N/A,#N/A,FALSE,"purc_97";#N/A,#N/A,FALSE,"syn_purc_97";#N/A,#N/A,FALSE,"pool_97";#N/A,#N/A,FALSE,"syn_pool_97";#N/A,#N/A,FALSE,"pool1_FY2"}</definedName>
    <definedName function="false" hidden="false" name="wrn.all.2" vbProcedure="false">{#N/A,#N/A,FALSE,"DCF";#N/A,#N/A,FALSE,"WACC";#N/A,#N/A,FALSE,"Sales_EBIT";#N/A,#N/A,FALSE,"Capex_Depreciation";#N/A,#N/A,FALSE,"WC";#N/A,#N/A,FALSE,"Interest";#N/A,#N/A,FALSE,"Assumptions"}</definedName>
    <definedName function="false" hidden="true" name="wrn.ALL._.ALLOCATIONS." vbProcedure="false">{"ALLOCATION1",#N/A,FALSE,"EXPENSE ALLOCATIONS";"ALLOCATION2",#N/A,FALSE,"EXPENSE ALLOCATIONS";"ALLOCATION3",#N/A,FALSE,"EXPENSE ALLOCATIONS";"ALLOCATION4",#N/A,FALSE,"EXPENSE ALLOCATIONS"}</definedName>
    <definedName function="false" hidden="true" name="wrn.ALL._.ASSEM._.REPORTS."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wrn.All._.Counties." vbProcedure="false">{#N/A,#N/A,FALSE,"Adair";#N/A,#N/A,FALSE,"Blaine";#N/A,#N/A,FALSE,"Canadian";#N/A,#N/A,FALSE,"Cherokee";#N/A,#N/A,FALSE,"Cleveland";#N/A,#N/A,FALSE,"Craig";#N/A,#N/A,FALSE,"Creek";#N/A,#N/A,FALSE,"Delaware";#N/A,#N/A,FALSE,"Garfield";#N/A,#N/A,FALSE,"Garvin";#N/A,#N/A,FALSE,"Grady";#N/A,#N/A,FALSE,"Haskell";#N/A,#N/A,FALSE,"Hughes";#N/A,#N/A,FALSE,"Kingfisher";#N/A,#N/A,FALSE,"Lincoln";#N/A,#N/A,FALSE,"Logan";#N/A,#N/A,FALSE,"McClain";#N/A,#N/A,FALSE,"McIntosh";#N/A,#N/A,FALSE,"Major";#N/A,#N/A,FALSE,"Mayes";#N/A,#N/A,FALSE,"Muskogee";#N/A,#N/A,FALSE,"Noble";#N/A,#N/A,FALSE,"Nowata";#N/A,#N/A,FALSE,"Okfuskee";#N/A,#N/A,FALSE,"Oklahoma";#N/A,#N/A,FALSE,"Okmulgee";#N/A,#N/A,FALSE,"Osage";#N/A,#N/A,FALSE,"Ottawa";#N/A,#N/A,FALSE,"Pawnee";#N/A,#N/A,FALSE,"Payne";#N/A,#N/A,FALSE,"Pontotoc";#N/A,#N/A,FALSE,"Pottawatomie";#N/A,#N/A,FALSE,"Rogers";#N/A,#N/A,FALSE,"Seminole";#N/A,#N/A,FALSE,"Sequoyah";#N/A,#N/A,FALSE,"Tulsa";#N/A,#N/A,FALSE,"Wagoner";#N/A,#N/A,FALSE,"Washington"}</definedName>
    <definedName function="false" hidden="true" name="wrn.ALL._.DPAK._.REPORTS." vbProcedure="false">{"TOTALDPAK",#N/A,FALSE,"DPAK PRODUCTION";"HADPAK",#N/A,FALSE,"DPAK PRODUCTION";"PSIDPAK",#N/A,FALSE,"DPAK PRODUCTION"}</definedName>
    <definedName function="false" hidden="true" name="wrn.ALL._.FAB._.2._.EXP._.REPORTS."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wrn.ALL._.FAB._.I._.EXP._.REPORTS." vbProcedure="false">{"TOTALFAB",#N/A,FALSE,"WAFER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function="false" hidden="true" name="wrn.ALL._.FAB._9._.EXP._.REPORTS."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wrn.ALL._.FACILITIES._.REPORT." vbProcedure="false">{"TOTAL",#N/A,FALSE,"FACILITIES EXPENSE";"TOTALDETAIL",#N/A,FALSE,"FACILITIES EXPENSE";"MATERIALS",#N/A,FALSE,"FACILITIES EXPENSE";"FACILITIES",#N/A,FALSE,"FACILITIES EXPENSE";"CHEM",#N/A,FALSE,"FACILITIES EXPENSE";"GENSVC",#N/A,FALSE,"FACILITIES EXPENSE";"SAFETY",#N/A,FALSE,"FACILITIES EXPENSE"}</definedName>
    <definedName function="false" hidden="tru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name="wrn.ALL._.PACKAGE." vbProcedure="false">{#N/A,#N/A,FALSE,"COVER";#N/A,#N/A,FALSE," index";#N/A,#N/A,FALSE,"notes";#N/A,#N/A,FALSE,"Perform";#N/A,#N/A,FALSE,"Graphs";#N/A,#N/A,FALSE,"FAMILIES GRAPHS";#N/A,#N/A,FALSE,"WWP&amp;Lsum";#N/A,#N/A,FALSE,"WWP&amp;Lfam";#N/A,#N/A,FALSE,"SALCOMP";#N/A,#N/A,FALSE,"Assets";#N/A,#N/A,FALSE,"assgraph";#N/A,#N/A,FALSE,"FG Inventory Aging";#N/A,#N/A,FALSE,"WWINVSUM";#N/A,#N/A,FALSE,"WWinvFAM";#N/A,#N/A,FALSE,"RM&amp;WIP";#N/A,#N/A,FALSE,"CUSTOM";#N/A,#N/A,FALSE,"cesd cust";#N/A,#N/A,FALSE,"cesd cust";#N/A,#N/A,FALSE,"PRODUCT"}</definedName>
    <definedName function="false" hidden="true" name="wrn.ALL._.PAGES." vbProcedure="false">{#N/A,#N/A,FALSE,"puboff";#N/A,#N/A,FALSE,"financials";#N/A,#N/A,FALSE,"valuation";#N/A,#N/A,FALSE,"split"}</definedName>
    <definedName function="false" hidden="true" name="wrn.ALL._.QR._.EXP._.REPORTS." vbProcedure="false">{"QAEXPENSE",#N/A,FALSE,"QUALITY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function="false" hidden="true" name="wrn.All._.Sections." vbProcedure="false">{"Data Entry",#N/A,FALSE,"COMPTEMP";"Ratios",#N/A,FALSE,"COMPTEMP";"Aggregate Values",#N/A,FALSE,"COMPTEMP";"Equity Multiples",#N/A,FALSE,"COMPTEMP";"Summary Overview",#N/A,FALSE,"COMPTEMP"}</definedName>
    <definedName function="false" hidden="true" name="wrn.ALL._.SHEETS." vbProcedure="false">{#N/A,#N/A,FALSE,"Adj Proj";#N/A,#N/A,FALSE,"Sheet1";#N/A,#N/A,FALSE,"LBO";#N/A,#N/A,FALSE,"LBOMER";#N/A,#N/A,FALSE,"WACC";#N/A,#N/A,FALSE,"DCF";#N/A,#N/A,FALSE,"DCFMER";#N/A,#N/A,FALSE,"Pooling";#N/A,#N/A,FALSE,"income";#N/A,#N/A,FALSE,"Offer"}</definedName>
    <definedName function="false" hidden="true" name="wrn.ALL._.SUMMARY._.EXP._.RPTS." vbProcedure="false">{"TOTALHEXAMEXPENSE",#N/A,FALSE,"MANUFACTURING EXPENSE SUMMARY";"TOTALASSEMBLYEXPENSE",#N/A,FALSE,"MANUFACTURING EXPENSE SUMMARY";"TOTALWAFERFABEXPENSE",#N/A,FALSE,"MANUFACTURING EXPENSE SUMMARY";"TOTALMATERIALSEXPENSE",#N/A,FALSE,"MANUFACTURING EXPENSE SUMMARY";"TOTALQAEXPENSE",#N/A,FALSE,"MANUFACTURING EXPENSE SUMMARY";"TOTALSUBEXPNESE",#N/A,FALSE,"MANUFACTURING EXPENSE SUMMARY";"TOTALFACILITIESEXPENSE",#N/A,FALSE,"MANUFACTURING EXPENSE SUMMARY";"TOTALWAFERFAB2EXPENSE",#N/A,FALSE,"MANUFACTURING EXPENSE SUMMARY"}</definedName>
    <definedName function="false" hidden="true" name="wrn.ALL._.TO220._.REPORTS." vbProcedure="false">{"TOTALTO220",#N/A,FALSE,"TO-220 PRODUCTION";"HATO220",#N/A,FALSE,"TO-220 PRODUCTION";"MXTO220",#N/A,FALSE,"TO-220 PRODUCTION";"PSITO220",#N/A,FALSE,"TO-220 PRODUCTION";"MOTTO220",#N/A,FALSE,"TO-220 PRODUCTION"}</definedName>
    <definedName function="false" hidden="false" name="wrn.ALL2." vbProcedure="false">{#N/A,#N/A,FALSE,"DCF";#N/A,#N/A,FALSE,"WACC";#N/A,#N/A,FALSE,"Sales_EBIT";#N/A,#N/A,FALSE,"Capex_Depreciation";#N/A,#N/A,FALSE,"WC";#N/A,#N/A,FALSE,"Interest";#N/A,#N/A,FALSE,"Assumptions"}</definedName>
    <definedName function="false" hidden="tru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true" name="wrn.AllModels." vbProcedure="false">{#N/A,#N/A,FALSE,"AD_Purchase";#N/A,#N/A,FALSE,"Credit";#N/A,#N/A,FALSE,"PF Acquisition";#N/A,#N/A,FALSE,"PF Offering"}</definedName>
    <definedName function="false" hidden="true" name="wrn.ALLOC._.Q1._.AND._.Q2._.FY96." vbProcedure="false">{"ALLOCATION1",#N/A,FALSE,"EXPENSE ALLOCATIONS"}</definedName>
    <definedName function="false" hidden="true" name="wrn.ALLOC._.Q1._.AND._.Q2._.FY97." vbProcedure="false">{"ALLOCATION3",#N/A,FALSE,"EXPENSE ALLOCATIONS"}</definedName>
    <definedName function="false" hidden="true" name="wrn.ALLOC._.Q3._.AND._.Q4._.FY96." vbProcedure="false">{"ALLOCATION2",#N/A,FALSE,"EXPENSE ALLOCATIONS"}</definedName>
    <definedName function="false" hidden="true" name="wrn.ALLOC._.Q3._.AND._.Q4._.FY97." vbProcedure="false">{"ALLOCATION4",#N/A,FALSE,"EXPENSE ALLOCATIONS"}</definedName>
    <definedName function="false" hidden="true" name="wrn.Allocation." vbProcedure="false">{#N/A,#N/A,FALSE,"Allocation"}</definedName>
    <definedName function="false" hidden="true" name="wrn.Allocation._.Matrix." vbProcedure="false">{"Allocation Matrix p1",#N/A,FALSE,"Allocation Matrix";"Allocation Matrix p2",#N/A,FALSE,"Allocation Matrix";"Allocation Matrix p3",#N/A,FALSE,"Allocation Matrix"}</definedName>
    <definedName function="false" hidden="true" name="wrn.Alloutput." vbProcedure="false">{#N/A,#N/A,TRUE,"Deal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function="false" hidden="true" name="wrn.All_Contracts." vbProcedure="false">{"All Contracts",#N/A,FALSE,"Contracts"}</definedName>
    <definedName function="false" hidden="true" name="wrn.All_Models." vbProcedure="false">{#N/A,#N/A,FALSE,"Summary";#N/A,#N/A,FALSE,"Projections";#N/A,#N/A,FALSE,"Mkt Mults";#N/A,#N/A,FALSE,"DCF";#N/A,#N/A,FALSE,"Accr Dil";#N/A,#N/A,FALSE,"PIC LBO";#N/A,#N/A,FALSE,"MULT10_4";#N/A,#N/A,FALSE,"CBI LBO"}</definedName>
    <definedName function="false" hidden="true" name="wrn.All_Sheets." vbProcedure="false">{#N/A,#N/A,FALSE,"Projections";#N/A,#N/A,FALSE,"Contribution_Stock";#N/A,#N/A,FALSE,"PF_Combo_Stock";#N/A,#N/A,FALSE,"Projections";#N/A,#N/A,FALSE,"Contribution_Cash";#N/A,#N/A,FALSE,"PF_Combo_Cash";#N/A,#N/A,FALSE,"IPO_Cash"}</definedName>
    <definedName function="false" hidden="true" name="wrn.Americas." vbProcedure="false">{#N/A,#N/A,FALSE,"Americas"}</definedName>
    <definedName function="false" hidden="true" name="wrn.Amortization." vbProcedure="false">{"Exist Debt Amort",#N/A,TRUE,"Financials";"Intangible Amort",#N/A,TRUE,"Financials";"Proj Debt Amort",#N/A,TRUE,"Financials";"Proj Pfd Amort",#N/A,TRUE,"Financials"}</definedName>
    <definedName function="false" hidden="true" name="wrn.Approval." vbProcedure="false">{#N/A,#N/A,FALSE,"Approval Form"}</definedName>
    <definedName function="false" hidden="true" name="wrn.Approval2." vbProcedure="false">{#N/A,#N/A,FALSE,"Approval2"}</definedName>
    <definedName function="false" hidden="true" name="wrn.APRIL." vbProcedure="false">{"APRIL",#N/A,FALSE,"Q4"}</definedName>
    <definedName function="false" hidden="false"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wrn.ASSEM._.SALARY._.CALC." vbProcedure="false">{"SALMGMT",#N/A,FALSE,"ASSEMBLY EXPENSE";"SALMFGENG",#N/A,FALSE,"ASSEMBLY EXPENSE";"SALEQUIPENG",#N/A,FALSE,"ASSEMBLY EXPENSE";"SALTO220MGMT",#N/A,FALSE,"ASSEMBLY EXPENSE";"SALEQUIPSUP",#N/A,FALSE,"ASSEMBLY EXPENSE";"SALMATPROCESS",#N/A,FALSE,"ASSEMBLY EXPENSE"}</definedName>
    <definedName function="false" hidden="true" name="wrn.ASSETS." vbProcedure="false">{#N/A,#N/A,FALSE,"notes";#N/A,#N/A,FALSE,"Assets";#N/A,#N/A,FALSE,"assgraph";#N/A,#N/A,FALSE,"FG Inventory Aging";#N/A,#N/A,FALSE,"WWINVSUM";#N/A,#N/A,FALSE,"WWinvFAM";#N/A,#N/A,FALSE,"RM&amp;WIP"}</definedName>
    <definedName function="false" hidden="true" name="wrn.Assumptions." vbProcedure="false">{"Rev and Exp",#N/A,TRUE,"Financials";"Working Capital",#N/A,TRUE,"Financials"}</definedName>
    <definedName function="false" hidden="true" name="wrn.AUGUST." vbProcedure="false">{"Q1AUG",#N/A,FALSE,"Q1"}</definedName>
    <definedName function="false" hidden="true" name="wrn.Auto._.Comp." vbProcedure="false">{#N/A,#N/A,FALSE,"Sheet1"}</definedName>
    <definedName function="false" hidden="true" name="wrn.A_VALUATION." vbProcedure="false">{#N/A,#N/A,FALSE,"A_D";#N/A,#N/A,FALSE,"WACC";#N/A,#N/A,FALSE,"DCF";#N/A,#N/A,FALSE,"A";#N/A,#N/A,FALSE,"LBO";#N/A,#N/A,FALSE,"C";#N/A,#N/A,FALSE,"impd";#N/A,#N/A,FALSE,"comps"}</definedName>
    <definedName function="false" hidden="true" name="wrn.b1._.FY9798Totals." vbProcedure="false">{"FY97Total",#N/A,FALSE,"FY97 - Total";"FY98Total",#N/A,FALSE,"FY98 - Total"}</definedName>
    <definedName function="false" hidden="true" name="wrn.b2._.FY97Q1234." vbProcedure="false">{"FY97Q1",#N/A,FALSE,"FY97 - Q1";"FY97Q2",#N/A,FALSE,"FY97 - Q2";"FY97Q3",#N/A,FALSE,"FY97 - Q3";"FY97Q4",#N/A,FALSE,"FY97 - Q4"}</definedName>
    <definedName function="false" hidden="true" name="wrn.b3._.FY98Q1234." vbProcedure="false">{"FY98Q1",#N/A,FALSE,"FY98 - Q1";"FY98Q2",#N/A,FALSE,"FY98 - Q2";"FY98Q3",#N/A,FALSE,"FY98 - Q3";"FY98Q4",#N/A,FALSE,"FY98 - Q4"}</definedName>
    <definedName function="false" hidden="true" name="wrn.backup." vbProcedure="false">{"financials",#N/A,FALSE,"BASIC";"interest",#N/A,FALSE,"BASIC";"leasing and financing",#N/A,FALSE,"BASIC";"returns back up",#N/A,FALSE,"BASIC"}</definedName>
    <definedName function="false" hidden="true" name="wrn.Backup._.Pages." vbProcedure="false">{#N/A,#N/A,FALSE,"Admin - PS 98";#N/A,#N/A,FALSE,"Dep Ratio Adj"}</definedName>
    <definedName function="false" hidden="false" name="wrn.balance._.sheet." vbProcedure="false">{"bs",#N/A,FALSE,"SCF"}</definedName>
    <definedName function="false" hidden="true" name="wrn.bank._.model." vbProcedure="false">{"banks",#N/A,FALSE,"BASIC"}</definedName>
    <definedName function="false" hidden="true" name="wrn.Bank._.Referrals._.and._.Other._.Intangibles." vbProcedure="false">{"bank_mcbee",#N/A,FALSE,"Summary";"bank_safeguard",#N/A,FALSE,"Summary";"mcbee_paycheck",#N/A,FALSE,"Summary";"cons_software",#N/A,FALSE,"Summary"}</definedName>
    <definedName function="false" hidden="true" name="wrn.Bankers." vbProcedure="false">{#N/A,#N/A,FALSE,"COVER";#N/A,#N/A,FALSE,"SUMMARY";#N/A,#N/A,FALSE,"INCOME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function="false" hidden="false" name="wrn.Basic._.Report." vbProcedure="false">{#N/A,#N/A,FALSE,"New Depr Sch-150% DB";#N/A,#N/A,FALSE,"Cash Flows RLP";#N/A,#N/A,FALSE,"IRR";#N/A,#N/A,FALSE,"Proforma IS";#N/A,#N/A,FALSE,"Assumptions"}</definedName>
    <definedName function="false" hidden="true" name="wrn.basics." vbProcedure="false">{#N/A,#N/A,FALSE,"TSUM";#N/A,#N/A,FALSE,"shares";#N/A,#N/A,FALSE,"earnout";#N/A,#N/A,FALSE,"Heaty";#N/A,#N/A,FALSE,"self-tend";#N/A,#N/A,FALSE,"self-sum"}</definedName>
    <definedName function="false" hidden="true" name="wrn.bm" vbProcedure="false">{#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function="false" hidden="true" name="wrn.Borrowing._.Base._.Certificate._.Forms." vbProcedure="false">{#N/A,#N/A,FALSE,"BBC FORM";#N/A,#N/A,FALSE,"BBC FORM INSTRUCTIONS";#N/A,#N/A,FALSE,"AR INELIGIBLE FORM";#N/A,#N/A,FALSE,"AR INELIGIBLE FORM INSTRUCTIONS";#N/A,#N/A,FALSE,"INVENTORY STATUS CERTIFICATE"}</definedName>
    <definedName function="false" hidden="true" name="wrn.breakup." vbProcedure="false">{"comps1",#N/A,FALSE,"Comps Sheet";"comps2",#N/A,FALSE,"Comps Sheet";"comps3",#N/A,FALSE,"Comps Sheet";"comps4",#N/A,FALSE,"Comps Sheet";"comps5",#N/A,FALSE,"Comps Sheet";"comps6",#N/A,FALSE,"Comps Sheet";"ec",#N/A,FALSE,"E&amp;C";"environmental",#N/A,FALSE,"Environmental";"heavy",#N/A,FALSE,"Heavy Const."}</definedName>
    <definedName function="false" hidden="true" name="wrn.BSAnnualModel." vbProcedure="false">{"BSAnnualModel",#N/A,FALSE,"BS"}</definedName>
    <definedName function="false" hidden="true" name="wrn.Budget." vbProcedure="false">{#N/A,#N/A,TRUE,"Deckblatt";#N/A,#N/A,TRUE,"Inhaltsverz.";#N/A,#N/A,TRUE,"1.1. Organisationsplan";#N/A,#N/A,TRUE,"1.2. Budget-Übersicht";#N/A,#N/A,TRUE,"2. AE-AB-UE";#N/A,#N/A,TRUE,"3.1. 5-Jahres-Plan";#N/A,#N/A,TRUE,"3.2. Plan-Erg.rg.";#N/A,#N/A,TRUE,"4. Bilanz";#N/A,#N/A,TRUE,"5. Finanzplan";#N/A,#N/A,TRUE,"6. Investionen";#N/A,#N/A,TRUE,"7. Personalplan"}</definedName>
    <definedName function="false" hidden="true" name="wrn.bullshit1." vbProcedure="false">{#N/A,#N/A,FALSE,"Sheet1";#N/A,#N/A,FALSE,"Summary";#N/A,#N/A,FALSE,"proj1";#N/A,#N/A,FALSE,"proj2"}</definedName>
    <definedName function="false" hidden="true" name="wrn.c1._.FY9798Totals._.var._.only." vbProcedure="false">{"FY97Total var",#N/A,FALSE,"FY97 - Total";"FY98Total var",#N/A,FALSE,"FY98 - Total"}</definedName>
    <definedName function="false" hidden="true" name="wrn.c2._.FY97Q1234._.var._.only." vbProcedure="false">{"FY97Q1 var",#N/A,FALSE,"FY97 - Q1";"FY97Q2 var",#N/A,FALSE,"FY97 - Q2";"FY97Q3 var",#N/A,FALSE,"FY97 - Q3";"FY97Q4 var",#N/A,FALSE,"FY97 - Q4"}</definedName>
    <definedName function="false" hidden="true" name="wrn.c3._.FY98Q1234._.var._.only." vbProcedure="false">{"FY98Q1 var",#N/A,FALSE,"FY98 - Q1";"FY98Q2 var",#N/A,FALSE,"FY98 - Q2";"FY98Q3 var",#N/A,FALSE,"FY98 - Q3";"FY98Q4 var",#N/A,FALSE,"FY98 - Q4"}</definedName>
    <definedName function="false" hidden="true" name="wrn.Cananwill._.AE._.Detailed._.Report." vbProcedure="false">{#N/A,#N/A,FALSE,"AE detail rpt"}</definedName>
    <definedName function="false" hidden="true" name="wrn.Cananwill._.AE._.Summary._.Report." vbProcedure="false">{#N/A,#N/A,FALSE,"AE summary rpt";#N/A,#N/A,FALSE,"CopySummary";#N/A,#N/A,FALSE,"CopySummary"}</definedName>
    <definedName function="false" hidden="true" name="wrn.Capital._.Dispositions." vbProcedure="false">{"CHART2",#N/A,FALSE,"D2"}</definedName>
    <definedName function="false" hidden="true" name="wrn.Capital._.Gain." vbProcedure="false">{"CHART1",#N/A,FALSE,"D2"}</definedName>
    <definedName function="false" hidden="true" name="wrn.Cardiovasculars." vbProcedure="false">{#N/A,#N/A,FALSE,"Card";#N/A,#N/A,FALSE,"Prav";#N/A,#N/A,FALSE,"Irbe";#N/A,#N/A,FALSE,"Plavix";#N/A,#N/A,FALSE,"Capt";#N/A,#N/A,FALSE,"Fosi"}</definedName>
    <definedName function="false" hidden="true" name="wrn.Cash._.Flow._.statement." vbProcedure="false">{#N/A,#N/A,TRUE,"Cash Flow Statement"}</definedName>
    <definedName function="false" hidden="true" name="wrn.Cash._.V._.LY." vbProcedure="false">{"cash",#N/A,FALSE,"Aerospace";"cash",#N/A,FALSE,"Engines";"cash",#N/A,FALSE,"AES";"cash",#N/A,FALSE,"ES";"cash",#N/A,FALSE,"CAS";"cash",#N/A,FALSE,"ATSC";"cash",#N/A,FALSE,"FMT";"cash",#N/A,FALSE,"Aero Other";"cash",#N/A,FALSE,"Judgement"}</definedName>
    <definedName function="false" hidden="true" name="wrn.Cash._.V._.Prior." vbProcedure="false">{"cash",#N/A,FALSE,"Aero V prior";"cash",#N/A,FALSE,"Eng V Prior";"cash",#N/A,FALSE,"AES V Prior";"cash",#N/A,FALSE,"ES V Prior";"cash",#N/A,FALSE,"CAS V Prior";"cash",#N/A,FALSE,"ATSC V Prior";"cash",#N/A,FALSE,"FMT V Prior";"cash",#N/A,FALSE,"Aero Other V Prior";"cash",#N/A,FALSE,"Judge V Prior"}</definedName>
    <definedName function="false" hidden="true" name="wrn.CASHPROJ." vbProcedure="false">{"CASHPROJ",#N/A,FALSE,"CASHPROJ";"BANK",#N/A,FALSE,"Bank";"SALES",#N/A,FALSE,"Sales";"AR",#N/A,FALSE,"AR";"AP",#N/A,FALSE,"AP";"DAILE",#N/A,FALSE,"Daily";"SALESVAR",#N/A,FALSE,"SalesVar";"SUM",#N/A,FALSE,"Sum"}</definedName>
    <definedName function="false" hidden="true" name="wrn.Central._.Nervous._.System." vbProcedure="false">{#N/A,#N/A,FALSE,"CNS";#N/A,#N/A,FALSE,"Serz";#N/A,#N/A,FALSE,"Ace"}</definedName>
    <definedName function="false" hidden="true" name="wrn.CESD._.PERFORMANCE." vbProcedure="false">{#N/A,#N/A,FALSE,"CUSTOM";#N/A,#N/A,FALSE,"cesd cust";#N/A,#N/A,FALSE,"PRODUCT";#N/A,#N/A,FALSE,"cesd family"}</definedName>
    <definedName function="false" hidden="true" name="wrn.CFSModel." vbProcedure="false">{"CFSModel",#N/A,FALSE,"CFS"}</definedName>
    <definedName function="false" hidden="true" name="wrn.CGIC._.PLICO._.Statutory._.Results." vbProcedure="false">{#N/A,#N/A,FALSE,"TEMPLATE";#N/A,#N/A,FALSE,"CG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function="false" hidden="true" name="wrn.CHART." vbProcedure="false">{"CHART",#N/A,FALSE,"Arch Communications"}</definedName>
    <definedName function="false" hidden="true" name="wrn.CIS." vbProcedure="false">{"bsheet",#N/A,FALSE,"Present";"income",#N/A,FALSE,"Present";"ratios1",#N/A,FALSE,"Present";"expenses",#N/A,FALSE,"Present";"ratios2",#N/A,FALSE,"Present";"cashflow",#N/A,FALSE,"Present";"GAAP",#N/A,FALSE,"Present";"dividends",#N/A,FALSE,"Present";"invest1",#N/A,FALSE,"Present";"earned",#N/A,FALSE,"Present";"reserves1",#N/A,FALSE,"Present";"reserves2",#N/A,FALSE,"Present"}</definedName>
    <definedName function="false" hidden="true" name="wrn.Claudius." vbProcedure="false">{"Cotation",#N/A,TRUE,"Quotation"}</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lumbus." vbProcedure="false">{"IS_plan vs Act",#N/A,FALSE,"IS_Plan-Act";"is_curr&amp;YTD",#N/A,FALSE,"IS_Plan-Act";"is_last5mos",#N/A,FALSE,"IS_Plan-Act";"is_vsYTD_RR",#N/A,FALSE,"IS_Plan-Act";"bs",#N/A,FALSE,"IS_Plan-Act";"bs_last5mos",#N/A,FALSE,"IS_Plan-Act";"cf",#N/A,FALSE,"IS_Plan-Act"}</definedName>
    <definedName function="false" hidden="true" name="wrn.Combined." vbProcedure="false">{"bs combined",#N/A,FALSE,"Consol BS";"PL Combined",#N/A,FALSE,"CONSOL PL";"CF COMBINED",#N/A,FALSE,"CONSOL CF"}</definedName>
    <definedName function="false" hidden="true" name="wrn.compare." vbProcedure="false">{"page1",#N/A,FALSE,"Temp";"page2",#N/A,FALSE,"Temp";"page3",#N/A,FALSE,"Temp";"page4",#N/A,FALSE,"Temp";"page5",#N/A,FALSE,"Temp";"page6",#N/A,FALSE,"Temp"}</definedName>
    <definedName function="false" hidden="true" name="wrn.compare.s" vbProcedure="false">{"page1",#N/A,FALSE,"Temp";"page2",#N/A,FALSE,"Temp";"page3",#N/A,FALSE,"Temp";"page4",#N/A,FALSE,"Temp";"page5",#N/A,FALSE,"Temp";"page6",#N/A,FALSE,"Temp"}</definedName>
    <definedName function="false" hidden="false" name="wrn.COMPCO." vbProcedure="false">{"Page1",#N/A,FALSE,"CompCo";"Page2",#N/A,FALSE,"CompCo"}</definedName>
    <definedName function="false" hidden="false" name="wrn.Complete._.Report." vbProcedure="false">{#N/A,#N/A,FALSE,"Assumptions";#N/A,#N/A,FALSE,"Proforma IS";#N/A,#N/A,FALSE,"Cash Flows RLP";#N/A,#N/A,FALSE,"IRR";#N/A,#N/A,FALSE,"New Depr Sch-150% DB";#N/A,#N/A,FALSE,"Comments"}</definedName>
    <definedName function="false" hidden="true" name="wrn.CONBS." vbProcedure="false">{#N/A,#N/A,FALSE,"Conbalance";#N/A,#N/A,FALSE,"MPSCbs";#N/A,#N/A,FALSE,"MHSCbs";#N/A,#N/A,FALSE,"GFSbs";#N/A,#N/A,FALSE,"IMONICSbs"}</definedName>
    <definedName function="false" hidden="true" name="wrn.CONINCOME." vbProcedure="false">{#N/A,#N/A,FALSE,"Conincome";#N/A,#N/A,FALSE,"MPSCis";#N/A,#N/A,FALSE,"mhscIS";#N/A,#N/A,FALSE,"GFSis";#N/A,#N/A,FALSE,"IMONICS"}</definedName>
    <definedName function="false" hidden="false" name="wrn.consolidated." vbProcedure="false">{"IS_planvsActual",#N/A,FALSE,"IS_Plan-Act";"IS_curr&amp;YTD",#N/A,FALSE,"IS";"BS_curr&amp;lastmo",#N/A,FALSE,"BS";"bs 4 qtrs",#N/A,FALSE,"BS";"cf",#N/A,FALSE,"CF"}</definedName>
    <definedName function="false" hidden="true" name="wrn.Consumer._.Medicines." vbProcedure="false">{#N/A,#N/A,FALSE,"OTC";#N/A,#N/A,FALSE,"Ther";#N/A,#N/A,FALSE,"Temp";#N/A,#N/A,FALSE,"Exce";#N/A,#N/A,FALSE,"Buff";#N/A,#N/A,FALSE,"Picot";#N/A,#N/A,FALSE,"Luftal";#N/A,#N/A,FALSE,"Comt"}</definedName>
    <definedName function="false" hidden="false"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true" name="wrn.Contributory._.Asset._.Charge." vbProcedure="false">{"cont_charge_cons",#N/A,FALSE,"Contributory Assets";"cont_charge_nebs",#N/A,FALSE,"Contributory Assets";"cont_charge_chiswick",#N/A,FALSE,"Contributory Assets";"cont_charge_rapidforms",#N/A,FALSE,"Contributory Assets";"cont_charge_premium",#N/A,FALSE,"Contributory Assets";"cont_charge_russell",#N/A,FALSE,"Contributory Assets";"cont_charge_canada",#N/A,FALSE,"Contributory Assets";"cont_charge_mcbee",#N/A,FALSE,"Contributory Assets";"cont_charge_safeguard",#N/A,FALSE,"Contributory Assets";"cont_charge_dfs",#N/A,FALSE,"Contributory Assets"}</definedName>
    <definedName function="false" hidden="true" name="wrn.CONTROL." vbProcedure="false">{"CONTROL",#N/A,FALSE,"REVENUE AND GM "}</definedName>
    <definedName function="false" hidden="true" name="wrn.Cosmos._.Report." vbProcedure="false">{#N/A,#N/A,FALSE,"Cosmos Report"}</definedName>
    <definedName function="false" hidden="true" name="wrn.Cost._.Center._.Opex." vbProcedure="false">{"510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function="false" hidden="false" name="wrn.cotop." vbProcedure="false">{"ReportTop",#N/A,FALSE,"report top"}</definedName>
    <definedName function="false" hidden="false" name="wrn.Cover." vbProcedure="false">{"coverall",#N/A,FALSE,"Definitions";"cover1",#N/A,FALSE,"Definitions";"cover2",#N/A,FALSE,"Definitions";"cover3",#N/A,FALSE,"Definitions";"cover4",#N/A,FALSE,"Definitions";"cover5",#N/A,FALSE,"Definitions";"blank",#N/A,FALSE,"Definitions"}</definedName>
    <definedName function="false" hidden="true" name="wrn.Current._.Year._.Plan._.Only." vbProcedure="false">{#N/A,#N/A,FALSE,"Part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function="false" hidden="true" name="wrn.Data." vbProcedure="false">{"cy",#N/A,FALSE,"SLSSUM";"py",#N/A,FALSE,"SLSSUM";"prjctn",#N/A,FALSE,"SLSSUM"}</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2." vbProcedure="false">{"mgmt forecast",#N/A,FALSE,"Mgmt Forecast";"dcf table",#N/A,FALSE,"Mgmt Forecast";"sensitivity",#N/A,FALSE,"Mgmt Forecast";"table inputs",#N/A,FALSE,"Mgmt Forecast";"calculations",#N/A,FALSE,"Mgmt Forecast"}</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true" name="wrn.Debt._.Report." vbProcedure="false">{#N/A,#N/A,FALSE,"Debt Summaries";#N/A,#N/A,FALSE,"Debt Exposure";#N/A,#N/A,FALSE,"Debt Deal";#N/A,#N/A,FALSE,"Debt Maturity";#N/A,#N/A,FALSE,"Debt Country";#N/A,#N/A,FALSE,"Debt Inv Strategy"}</definedName>
    <definedName function="false" hidden="true" name="wrn.DECEMBER." vbProcedure="false">{"DECEMBER",#N/A,FALSE,"Q2"}</definedName>
    <definedName function="false" hidden="true" name="wrn.Depreciation." vbProcedure="false">{"GAAP Deprec",#N/A,TRUE,"Financials";"Tax Deprec",#N/A,TRUE,"Financials"}</definedName>
    <definedName function="false" hidden="false"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true" name="wrn.Detail._.Balance._.Sheet." vbProcedure="false">{#N/A,#N/A,FALSE,"Detail"}</definedName>
    <definedName function="false" hidden="true" name="wrn.Detail_Projection." vbProcedure="false">{#N/A,#N/A,FALSE,"Detail YTD"}</definedName>
    <definedName function="false" hidden="true" name="wrn.Development._.Hours." vbProcedure="false">{#N/A,#N/A,FALSE,"July 95";#N/A,#N/A,FALSE,"Aug 95";#N/A,#N/A,FALSE,"Sep 95";#N/A,#N/A,FALSE,"October 95"}</definedName>
    <definedName function="false" hidden="false" name="wrn.document." vbProcedure="false">{"consolidated",#N/A,FALSE,"Sheet1";"cms",#N/A,FALSE,"Sheet1";"fse",#N/A,FALSE,"Sheet1"}</definedName>
    <definedName function="false" hidden="true" name="wrn.DPI._.Summary." vbProcedure="false">{#N/A,#N/A,TRUE,"Summary";#N/A,#N/A,TRUE,"Financials"}</definedName>
    <definedName function="false" hidden="false" name="wrn.Draft." vbProcedure="false">{"Draft",#N/A,FALSE,"Feb-96"}</definedName>
    <definedName function="false" hidden="false" name="wrn.Economic._.Value._.Added._.Analysis." vbProcedure="false">{"EVA",#N/A,FALSE,"EVA";"WACC",#N/A,FALSE,"WACC"}</definedName>
    <definedName function="false" hidden="true" name="wrn.Entire._.Model._.with._.Backup." vbProcedure="false">{#N/A,#N/A,FALSE,"BS";#N/A,#N/A,FALSE,"v. plan";#N/A,#N/A,FALSE,"v. py";#N/A,#N/A,FALSE,"Summ";#N/A,#N/A,FALSE,"Oprec";#N/A,#N/A,FALSE,"Sales Impact";#N/A,#N/A,FALSE,"Sales Mix";#N/A,#N/A,FALSE,"Prod Cat Mix";#N/A,#N/A,FALSE,"v. plan ytd ";#N/A,#N/A,FALSE,"v. py ytd";#N/A,#N/A,FALSE,"Summ ytd";#N/A,#N/A,FALSE,"oprec YTD";#N/A,#N/A,FALSE,"Sales Impact YTD";#N/A,#N/A,FALSE,"Sales Mix YTD";#N/A,#N/A,FALSE,"Prod Cat Mix YTD";#N/A,#N/A,FALSE,"category mix - plan YTD";#N/A,#N/A,FALSE,"stdtostd YTD"}</definedName>
    <definedName function="false" hidden="false"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true" name="wrn.Exception._.Report." vbProcedure="false">{#N/A,#N/A,FALSE,"Exception Report"}</definedName>
    <definedName function="false" hidden="true" name="wrn.exec." vbProcedure="false">{"exec",#N/A,FALSE,"EXECSUM";"int",#N/A,FALSE,"EXECSUM"}</definedName>
    <definedName function="false" hidden="true" name="wrn.Exec._.Sum." vbProcedure="false">{#N/A,#N/A,FALSE,"Consol - Summary";#N/A,#N/A,FALSE,"Consol - Detail";#N/A,#N/A,FALSE,"Consol NS";#N/A,#N/A,FALSE,"Consol GP";#N/A,#N/A,FALSE,"Consol Spending";#N/A,#N/A,FALSE,"Consol Prod Contrib";#N/A,#N/A,FALSE,"Consol NS Detail";#N/A,#N/A,FALSE,"Consol GP Detail";#N/A,#N/A,FALSE,"Consol Spending Detail";#N/A,#N/A,FALSE,"Consol Prod Contrib Detail"}</definedName>
    <definedName function="false" hidden="false" name="wrn.exhibits." vbProcedure="false">{#N/A,#N/A,FALSE,"Base";#N/A,#N/A,FALSE,"TAC";#N/A,#N/A,FALSE,"TDC";#N/A,#N/A,FALSE,"Base (2)";#N/A,#N/A,FALSE,"T-Bonus";#N/A,#N/A,FALSE,"T-Bonus (2)"}</definedName>
    <definedName function="false" hidden="true" name="wrn.F812." vbProcedure="false">{"F8P2",#N/A,TRUE,"F8";"F8P1",#N/A,TRUE,"F8";"F8P3",#N/A,TRUE,"F8"}</definedName>
    <definedName function="false" hidden="true" name="wrn.FAB._.1._.TOTAL." vbProcedure="false">{"FB1_T",#N/A,FALSE,"FAB 1"}</definedName>
    <definedName function="false" hidden="true" name="wrn.FAB._.2._.ADMIN._.EXP." vbProcedure="false">{"FABMATERIALS",#N/A,FALSE,"WAFER FAB 2 EXPENSE"}</definedName>
    <definedName function="false" hidden="true" name="wrn.FAB._.2._.ENG._.EXP." vbProcedure="false">{"FABENGINEERING",#N/A,FALSE,"WAFER FAB 2 EXPENSE"}</definedName>
    <definedName function="false" hidden="true" name="wrn.FAB._.2._.EQUIP._.SUP._.EXP." vbProcedure="false">{"FABEQUIPSUPPORT",#N/A,FALSE,"WAFER FAB 2 EXPENSE"}</definedName>
    <definedName function="false" hidden="true" name="wrn.FAB._.2._.PROD._.EXP." vbProcedure="false">{"FABPRODUCTION",#N/A,FALSE,"WAFER FAB 2 EXPENSE"}</definedName>
    <definedName function="false" hidden="true" name="wrn.FAB._.2._.PROD._.LINE._.EXP." vbProcedure="false">{"FABPRODUCTLINE",#N/A,FALSE,"WAFER FAB 2 EXPENSE"}</definedName>
    <definedName function="false" hidden="true" name="wrn.FAB._.2._.SALARY._.REPORTS." vbProcedure="false">{"SALFABENG",#N/A,FALSE,"WAFER FAB 2 EXPENSE";"SALFABMAT",#N/A,FALSE,"WAFER FAB 2 EXPENSE"}</definedName>
    <definedName function="false" hidden="true" name="wrn.FAB._.ONE._.3420." vbProcedure="false">{"FB342O",#N/A,FALSE,"FAB 1"}</definedName>
    <definedName function="false" hidden="true" name="wrn.FAB._.ONE._.3430." vbProcedure="false">{"FB343O",#N/A,FALSE,"FAB 1"}</definedName>
    <definedName function="false" hidden="true" name="wrn.Factors." vbProcedure="false">{#N/A,#N/A,FALSE,"Factors"}</definedName>
    <definedName function="false" hidden="true" name="wrn.FB3410." vbProcedure="false">{"FB341O",#N/A,FALSE,"FAB 1"}</definedName>
    <definedName function="false" hidden="true" name="wrn.fcb2" vbProcedure="false">{"FCB_ALL",#N/A,FALSE,"FCB"}</definedName>
    <definedName function="false" hidden="true" name="wrn.FDII6_01PortReview." vbProcedure="false">{#N/A,#N/A,TRUE,"Port Summary II";#N/A,#N/A,TRUE,"BV Valuation";#N/A,#N/A,TRUE,"FV Valuation";#N/A,#N/A,TRUE,"JRI";#N/A,#N/A,TRUE,"Weasler";#N/A,#N/A,TRUE,"Stronghaven";#N/A,#N/A,TRUE,"Connor";#N/A,#N/A,TRUE,"HWC";#N/A,#N/A,TRUE,"Temple"}</definedName>
    <definedName function="false" hidden="tru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true" name="wrn.FEBRUARY." vbProcedure="false">{"FEBRUARY",#N/A,FALSE,"Q3"}</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true" name="wrn.Filter." vbProcedure="false">{#N/A,#N/A,FALSE,"Assump2";#N/A,#N/A,FALSE,"Income2";#N/A,#N/A,FALSE,"Balance2";#N/A,#N/A,FALSE,"DCF Filter";#N/A,#N/A,FALSE,"Trans Assump2";#N/A,#N/A,FALSE,"Combined Income2";#N/A,#N/A,FALSE,"Combined Balance2"}</definedName>
    <definedName function="false" hidden="tru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tru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true" name="wrn.Financial._.Packet." vbProcedure="false">{#N/A,#N/A,TRUE,"Cover";#N/A,#N/A,TRUE,"Rev &amp; Exp";#N/A,#N/A,TRUE,"Medical loss ratio";#N/A,#N/A,TRUE,"Admin";#N/A,#N/A,TRUE,"Combined";#N/A,#N/A,TRUE,"Membership";#N/A,#N/A,TRUE,"Hospital Days";#N/A,#N/A,TRUE,"Admissions";#N/A,#N/A,TRUE,"ALOS";#N/A,#N/A,TRUE,"Cost per day";#N/A,#N/A,TRUE,"Page 1";#N/A,#N/A,TRUE,"Page 2";#N/A,#N/A,TRUE,"Page 3";#N/A,#N/A,TRUE,"Page 4";#N/A,#N/A,TRUE,"Page 5";#N/A,#N/A,TRUE,"Page 6";#N/A,#N/A,TRUE,"Page 7";#N/A,#N/A,TRUE,"Page 8";#N/A,#N/A,TRUE,"Page 9";#N/A,#N/A,TRUE,"Page 11";#N/A,#N/A,TRUE,"Page 12";#N/A,#N/A,TRUE,"Page 13";#N/A,#N/A,TRUE,"Page 14";#N/A,#N/A,TRUE,"Page 15";#N/A,#N/A,TRUE,"Page 16";#N/A,#N/A,TRUE,"Page 17";#N/A,#N/A,TRUE,"Page 18";#N/A,#N/A,TRUE,"Page 19"}</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true" name="wrn.Financials." vbProcedure="false">{"Inc Stmt",#N/A,TRUE,"Financials";"Common Size",#N/A,TRUE,"Financials";"BS Assets",#N/A,TRUE,"Financials";"BS Liabilities",#N/A,TRUE,"Financials";"Cash Flow Stmt",#N/A,TRUE,"Financials";"DCF",#N/A,TRUE,"Financials"}</definedName>
    <definedName function="false" hidden="true" name="wrn.first2." vbProcedure="false">{#N/A,#N/A,FALSE,"sum-don";#N/A,#N/A,FALSE,"inc-don"}</definedName>
    <definedName function="false" hidden="true" name="wrn.first3." vbProcedure="false">{#N/A,#N/A,FALSE,"Summary";#N/A,#N/A,FALSE,"proj1";#N/A,#N/A,FALSE,"proj2"}</definedName>
    <definedName function="false" hidden="true" name="wrn.first4." vbProcedure="false">{#N/A,#N/A,FALSE,"Summary";#N/A,#N/A,FALSE,"proj1";#N/A,#N/A,FALSE,"proj2";#N/A,#N/A,FALSE,"DCF"}</definedName>
    <definedName function="false" hidden="true" name="wrn.Five._.Year._.Plan." vbProcedure="false">{#N/A,#N/A,FALSE,"Part B - Five Year Projections";#N/A,#N/A,FALSE,"B.1 Financial Summary";#N/A,#N/A,FALSE,"B.1a Financial Sum wks";#N/A,#N/A,FALSE,"B.2 Five Year Assumptions";#N/A,#N/A,FALSE,"B.3 Five Year Income";#N/A,#N/A,FALSE,"B.4 Five Year Balance Sheets";#N/A,#N/A,FALSE,"B.5 Five Year Cash Flows"}</definedName>
    <definedName function="false" hidden="false" name="wrn.for._.TenneT." vbProcedure="false">{42,42,TRUE,"Cover";42,42,TRUE,"Corrections";42,42,TRUE,"Tariffs DTe";42,42,TRUE,"Revenues";42,42,TRUE,"Energie&amp;Vermogen";42,42,TRUE,"TPA";42,42,TRUE,"Opex 1";42,42,TRUE,"Capital Expenditures";42,42,TRUE,"Budget TenneT";42,42,TRUE,"P&amp;L";42,42,TRUE,"BS";42,42,TRUE,"Debt";42,42,TRUE,"Lines";42,42,TRUE,"Stations";42,42,TRUE,"Cap. Expenses";42,42,TRUE,"Land";42,42,TRUE,"Cen Proces Sys";42,42,TRUE,"telecom";42,42,TRUE,"Other"}</definedName>
    <definedName function="false" hidden="true" name="wrn.Freedom._.FY._.98._.Budget." vbProcedure="false">{#N/A,#N/A,TRUE,"Rollup";#N/A,#N/A,TRUE,"ContCost";#N/A,#N/A,TRUE,"LabSum";#N/A,#N/A,TRUE,"Benes";#N/A,#N/A,TRUE,"Apr";#N/A,#N/A,TRUE,"May";#N/A,#N/A,TRUE,"Jun";#N/A,#N/A,TRUE,"Jul";#N/A,#N/A,TRUE,"Aug";#N/A,#N/A,TRUE,"Oct";#N/A,#N/A,TRUE,"Sep";#N/A,#N/A,TRUE,"Nov";#N/A,#N/A,TRUE,"Dec";#N/A,#N/A,TRUE,"Jan";#N/A,#N/A,TRUE,"Feb";#N/A,#N/A,TRUE,"Mar";#N/A,#N/A,TRUE,"Major non Rebuild";#N/A,#N/A,TRUE,"Manning 97";#N/A,#N/A,TRUE,"Manning 98";#N/A,#N/A,TRUE,"major non";#N/A,#N/A,TRUE,"Rebuild accrual";#N/A,#N/A,TRUE,"days";#N/A,#N/A,TRUE,"prodction history";#N/A,#N/A,TRUE,"manpower";#N/A,#N/A,TRUE,"major non breakdown"}</definedName>
    <definedName function="false" hidden="true" name="wrn.Full." vbProcedure="false">{"Summary",#N/A,TRUE,"Sheet1";"Returns",#N/A,TRUE,"Sheet1";"IS",#N/A,TRUE,"Sheet1";"BS",#N/A,TRUE,"Sheet1";"CF",#N/A,TRUE,"Sheet1";"Cover6",#N/A,TRUE,"Sheet1";"WC7",#N/A,TRUE,"Sheet1";"Debt8",#N/A,TRUE,"Sheet1";"Tax9",#N/A,TRUE,"Sheet1"}</definedName>
    <definedName function="false" hidden="true" name="wrn.Full._.Business._.Plan._.Package." vbProcedure="false">{#N/A,#N/A,FALSE,"Cover";#N/A,#N/A,FALSE,"Exception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function="false" hidden="true" name="wrn.Full._.Model." vbProcedure="false">{"P&amp;L",#N/A,FALSE,"P&amp;LPlan";"Cashflow",#N/A,FALSE,"Cash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function="false" hidden="false" name="wrn.Full._.Report." vbProcedure="false">{#N/A,#N/A,TRUE,"Income Statement";#N/A,#N/A,TRUE,"Gas Assumptions";#N/A,#N/A,TRUE,"DCF";#N/A,#N/A,TRUE,"Depreciation Matrix";#N/A,#N/A,TRUE,"Matrix";#N/A,#N/A,TRUE,"Matrix_Perpetuity"}</definedName>
    <definedName function="false" hidden="true" name="wrn.Full._.Year._.in._.USD._.with._.all._.details." vbProcedure="false">{#N/A,#N/A,FALSE,"TFX Med. Europe Full Year in $"}</definedName>
    <definedName function="false" hidden="tru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true" name="wrn.Fund._.II._.Adv.._.Brd._.June._.2000." vbProcedure="false">{#N/A,#N/A,TRUE,"FD II Portfolio Summary";#N/A,#N/A,TRUE,"JRI";#N/A,#N/A,TRUE,"NDS";#N/A,#N/A,TRUE,"Weasler";#N/A,#N/A,TRUE,"Stronghaven";#N/A,#N/A,TRUE,"Connor";#N/A,#N/A,TRUE,"Docu";#N/A,#N/A,TRUE,"HWC";#N/A,#N/A,TRUE,"Temple"}</definedName>
    <definedName function="false" hidden="tru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tru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tru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tru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tru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true" name="wrn.Fund._.IV._.Adv.._.Brd.._.June._.2000." vbProcedure="false">{#N/A,#N/A,TRUE,"FD IV Portfolio Summary ";#N/A,#N/A,TRUE,"Western";#N/A,#N/A,TRUE,"Kranson";#N/A,#N/A,TRUE,"ARC";#N/A,#N/A,TRUE,"Precise";#N/A,#N/A,TRUE,"WNA"}</definedName>
    <definedName function="false" hidden="true" name="wrn.Funnel._.Report." vbProcedure="false">{#N/A,#N/A,FALSE,"funnel";#N/A,#N/A,FALSE,"AE Summary";#N/A,#N/A,FALSE,"Product Summary"}</definedName>
    <definedName function="false" hidden="false" name="wrn.FY96sbp99" vbProcedure="false">{#N/A,#N/A,FALSE,"FY97";#N/A,#N/A,FALSE,"FY98";#N/A,#N/A,FALSE,"FY99";#N/A,#N/A,FALSE,"FY00";#N/A,#N/A,FALSE,"FY01"}</definedName>
    <definedName function="false" hidden="false" name="wrn.FY97SBP." vbProcedure="false">{#N/A,#N/A,FALSE,"FY97";#N/A,#N/A,FALSE,"FY98";#N/A,#N/A,FALSE,"FY99";#N/A,#N/A,FALSE,"FY00";#N/A,#N/A,FALSE,"FY01"}</definedName>
    <definedName function="false" hidden="false" name="wrn.FY97SBP2" vbProcedure="false">{#N/A,#N/A,FALSE,"FY97";#N/A,#N/A,FALSE,"FY98";#N/A,#N/A,FALSE,"FY99";#N/A,#N/A,FALSE,"FY00";#N/A,#N/A,FALSE,"FY01"}</definedName>
    <definedName function="false" hidden="true" name="wrn.General._.OTC." vbProcedure="false">{#N/A,#N/A,FALSE,"Title Page (3)";#N/A,#N/A,FALSE,"YTD - OTC";#N/A,#N/A,FALSE,"MTH - OTC"}</definedName>
    <definedName function="false" hidden="true" name="wrn.General._.Pharm." vbProcedure="false">{#N/A,#N/A,FALSE,"Title Page (2)";#N/A,#N/A,FALSE,"YTD - Pharm";#N/A,#N/A,FALSE,"MTH - Pharm"}</definedName>
    <definedName function="false" hidden="true" name="wrn.General._.Total." vbProcedure="false">{#N/A,#N/A,FALSE,"Title Page (4)";#N/A,#N/A,FALSE,"YTD - Total";#N/A,#N/A,FALSE,"MTH - Total"}</definedName>
    <definedName function="false" hidden="true" name="wrn.Generic_Moomba_Outlook." vbProcedure="false">{"Generic_Moomba_North_1999_Dev_Well",#N/A,FALSE,"Moomba Generic";"Peter_Bainbrigge_Moomba_Outlook",#N/A,FALSE,"Moomba Generic";"Moomba_Typical_Well",#N/A,FALSE,"Moomba Generic"}</definedName>
    <definedName function="false" hidden="true" name="wrn.GGR._.Network._.Exhibit." vbProcedure="false">{"Network Summary",#N/A,TRUE,"Summary";"Piping Summary",#N/A,TRUE," Piping";"Meters Summary",#N/A,TRUE,"Meters &amp; Connections";"Connections Summary",#N/A,TRUE,"Meters &amp; Connections";"Stations Summary",#N/A,TRUE,"Stations Pivot"}</definedName>
    <definedName function="false" hidden="true" name="wrn.GRAPHS." vbProcedure="false">{#N/A,#N/A,FALSE,"Graphs";#N/A,#N/A,FALSE,"FAMILIES GRAPHS";#N/A,#N/A,FALSE,"assgraph";#N/A,#N/A,FALSE,"FG Inventory Aging"}</definedName>
    <definedName function="false" hidden="true" name="wrn.HEAT." vbProcedure="false">{#N/A,#N/A,FALSE,"Heat";#N/A,#N/A,FALSE,"DCF";#N/A,#N/A,FALSE,"LBO";#N/A,#N/A,FALSE,"A";#N/A,#N/A,FALSE,"C";#N/A,#N/A,FALSE,"impd";#N/A,#N/A,FALSE,"Accr-Dilu"}</definedName>
    <definedName function="false" hidden="true" name="wrn.HIG." vbProcedure="false">{#N/A,#N/A,FALSE,"Cover";"bs",#N/A,FALSE,"Final_Reports";"soo",#N/A,FALSE,"Final_Reports";"socf",#N/A,FALSE,"Final_Reports";"sose",#N/A,FALSE,"Final_Reports";"bs_by_month",#N/A,FALSE,"Final_Reports";"soo_by_month",#N/A,FALSE,"Final_Reports";"socf_by_month",#N/A,FALSE,"Final_Reports";#N/A,#N/A,FALSE,"Variance";"kpi",#N/A,FALSE,"KPI"}</definedName>
    <definedName function="false" hidden="false" name="wrn.Historical._.Cost._.PWC." vbProcedure="false">{42,42,TRUE,"Cover His PWC";42,42,TRUE,"P&amp;L";42,42,TRUE,"BS";42,42,TRUE,"Depreciation";42,42,TRUE,"GRAPHS";42,42,TRUE,"DCF EBITDA Multiple";42,42,TRUE,"DCF Perpetual Growth"}</definedName>
    <definedName function="false" hidden="false" name="wrn.Historical._.Cost._.TenneT." vbProcedure="false">{42,42,TRUE,"Cover His T";42,42,TRUE,"P&amp;L";42,42,TRUE,"BS";42,42,TRUE,"Depreciation";42,42,TRUE,"GRAPHS";42,42,TRUE,"DCF EBITDA Multiple";42,42,TRUE,"DCF Perpetual Growth"}</definedName>
    <definedName function="false" hidden="tru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true" name="wrn.Hydraulic2." vbProcedure="false">{#N/A,#N/A,FALSE,"HuscoCombined-Summ";#N/A,#N/A,FALSE,"HuscoCombined-Income";#N/A,#N/A,FALSE,"HuscoCombined-Offering";#N/A,#N/A,FALSE,"Husco-Income";#N/A,#N/A,FALSE,"TargetEngineer";#N/A,#N/A,FALSE,"TargetAcqCalc";#N/A,#N/A,FALSE,"Husco-Acq"}</definedName>
    <definedName function="false" hidden="true" name="wrn.II._.PortRev33102." vbProcedure="false">{#N/A,#N/A,TRUE,"Port Summary II";#N/A,#N/A,TRUE,"BV Valuation";#N/A,#N/A,TRUE,"FV Valuation";#N/A,#N/A,TRUE,"JRI";#N/A,#N/A,TRUE,"Weasler";#N/A,#N/A,TRUE,"Stronghaven";#N/A,#N/A,TRUE,"Connor";#N/A,#N/A,TRUE,"HWC";#N/A,#N/A,TRUE,"Temple"}</definedName>
    <definedName function="false" hidden="false" name="wrn.income._.statement." vbProcedure="false">{"income statement",#N/A,FALSE,"ATLAS-A"}</definedName>
    <definedName function="false" hidden="true" name="wrn.IncStmt." vbProcedure="false">{#N/A,#N/A,FALSE,"IS-Forecast";#N/A,#N/A,FALSE,"IS-13month"}</definedName>
    <definedName function="false" hidden="true" name="wrn.Infectious._.Diseases." vbProcedure="false">{#N/A,#N/A,FALSE,"Anti";#N/A,#N/A,FALSE,"Cefa";#N/A,#N/A,FALSE,"Ceph";#N/A,#N/A,FALSE,"Cefp";#N/A,#N/A,FALSE,"Cefe";#N/A,#N/A,FALSE,"Pens";#N/A,#N/A,FALSE,"Ampi";#N/A,#N/A,FALSE,"Amox";#N/A,#N/A,FALSE,"Isox";#N/A,#N/A,FALSE,"Aztr";#N/A,#N/A,FALSE,"Videx";#N/A,#N/A,FALSE,"Zerit"}</definedName>
    <definedName function="false" hidden="true" name="wrn.ING." vbProcedure="false">{"bs-ING",#N/A,FALSE,"ING Reports";"soo-ING",#N/A,FALSE,"ING Reports";"socf-ING",#N/A,FALSE,"ING Reports"}</definedName>
    <definedName function="false" hidden="true" name="wrn.INPUT." vbProcedure="false">{"INPUT",#N/A,FALSE,"REVENUE AND GM "}</definedName>
    <definedName function="false" hidden="true" name="wrn.Inputs." vbProcedure="false">{"Input1",#N/A,FALSE,"PF";"Input2",#N/A,FALSE,"PF";"Input3",#N/A,FALSE,"PF"}</definedName>
    <definedName function="false" hidden="true" name="wrn.Internal." vbProcedure="false">{#N/A,#N/A,FALSE,"COVER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function="false" hidden="true" name="wrn.INTERNAL._.REPORTS." vbProcedure="false">{"capex",#N/A,FALSE,"CAPEX RECAP";"asset disposals",#N/A,FALSE,"ASSET DISPOSITIONS";#N/A,#N/A,FALSE,"G&amp;A by Month";#N/A,#N/A,FALSE,"G&amp;A Compare";#N/A,#N/A,FALSE,"G&amp;A Month Only Compare"}</definedName>
    <definedName function="false" hidden="true" name="wrn.Investment._.Summary." vbProcedure="false">{#N/A,#N/A,TRUE,"Summary";#N/A,#N/A,TRUE,"Financials";#N/A,#N/A,TRUE,"Assumptions";#N/A,#N/A,TRUE,"Pro Forma";#N/A,#N/A,TRUE,"Debt";#N/A,#N/A,TRUE,"Amortization";#N/A,#N/A,TRUE,"GG Returns"}</definedName>
    <definedName function="false" hidden="true" name="wrn.ipovalue." vbProcedure="false">{#N/A,#N/A,FALSE,"puboff";#N/A,#N/A,FALSE,"valuation";#N/A,#N/A,FALSE,"finanalsis";#N/A,#N/A,FALSE,"split";#N/A,#N/A,FALSE,"ownership"}</definedName>
    <definedName function="false" hidden="true" name="wrn.ISAnnualModel." vbProcedure="false">{"AnnModel",#N/A,FALSE,"IS"}</definedName>
    <definedName function="false" hidden="true" name="wrn.ISCG._.model." vbProcedure="false">{#N/A,#N/A,FALSE,"Second";#N/A,#N/A,FALSE,"ownership";#N/A,#N/A,FALSE,"Valuation";#N/A,#N/A,FALSE,"Eqiv";#N/A,#N/A,FALSE,"Mults";#N/A,#N/A,FALSE,"ISCG Graphics"}</definedName>
    <definedName function="false" hidden="true" name="wrn.ISQtrModel." vbProcedure="false">{"QtrModel",#N/A,FALSE,"IS"}</definedName>
    <definedName function="false" hidden="true" name="wrn.JanBob." vbProcedure="false">{#N/A,#N/A,TRUE,"Index";#N/A,#N/A,TRUE,"Income Statement vs Original Pl";#N/A,#N/A,TRUE,"Income Statement vs Reproj";#N/A,#N/A,TRUE,"Dental Care DHMO Original Plan";#N/A,#N/A,TRUE,"Dental Care DHMO Revised";#N/A,#N/A,TRUE,"Premium Analysis vs Prior Month";#N/A,#N/A,TRUE,"CURRENT AR";#N/A,#N/A,TRUE,"MO TO MO UNEARNED PREM";#N/A,#N/A,TRUE,"MO TO MO AR ANALYSIS";#N/A,#N/A,TRUE,"MO BY MO SG&amp;A FULL YR";#N/A,#N/A,TRUE,"Book of Business"}</definedName>
    <definedName function="false" hidden="true" name="wrn.JANI._.REBATES." vbProcedure="false">{"TOTAL",#N/A,FALSE,"A";"FISCAL94",#N/A,FALSE,"A";"FISCAL95",#N/A,FALSE,"A";"FISCAL96",#N/A,FALSE,"A";"misc page",#N/A,FALSE,"A"}</definedName>
    <definedName function="false" hidden="true" name="wrn.JANUARY." vbProcedure="false">{"JANUARY",#N/A,FALSE,"Q3"}</definedName>
    <definedName function="false" hidden="true" name="wrn.Japan._.Data." vbProcedure="false">{"Analysis1Q95",#N/A,FALSE,"Japan";"Analysis2Q95",#N/A,FALSE,"Japan";"Analysis1H95",#N/A,FALSE,"Japan";"Data",#N/A,FALSE,"Japan";"Margin Summary",#N/A,FALSE,"Japan";"Sales Summary",#N/A,FALSE,"Japan"}</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true" name="wrn.Journal._.Entries." vbProcedure="false">{"COST CENTER DIST",#N/A,FALSE,"22C";"PAYROLL TAXES",#N/A,FALSE,"22C";"PAYMENT OF PAYROLL",#N/A,FALSE,"22C";"PAYMENT OF TAXES",#N/A,FALSE,"22C"}</definedName>
    <definedName function="false" hidden="true" name="wrn.JULY." vbProcedure="false">{"Q1JUL",#N/A,FALSE,"Q1"}</definedName>
    <definedName function="false" hidden="true" name="wrn.JUNE." vbProcedure="false">{"JUNE",#N/A,FALSE,"Q4"}</definedName>
    <definedName function="false" hidden="true" name="wrn.labor." vbProcedure="false">{#N/A,#N/A,FALSE,"Oct";#N/A,#N/A,FALSE,"Nov";#N/A,#N/A,FALSE,"Dec";#N/A,#N/A,FALSE,"Jan";#N/A,#N/A,FALSE,"Feb";#N/A,#N/A,FALSE,"Mar";#N/A,#N/A,FALSE,"Apr";#N/A,#N/A,FALSE,"May";#N/A,#N/A,FALSE,"Jun";#N/A,#N/A,FALSE,"July";#N/A,#N/A,FALSE,"Aug";#N/A,#N/A,FALSE,"Sept"}</definedName>
    <definedName function="false" hidden="true" name="wrn.LBO._.Summary." vbProcedure="false">{"LBO Summary",#N/A,FALSE,"Summary"}</definedName>
    <definedName function="false" hidden="true" name="wrn.LC._.COST." vbProcedure="false">{"LCCOST",#N/A,FALSE,"FC-3 "}</definedName>
    <definedName function="false" hidden="true" name="wrn.LC._.FC3." vbProcedure="false">{"LCFC3",#N/A,FALSE,"FC-3 "}</definedName>
    <definedName function="false" hidden="true" name="wrn.legal." vbProcedure="false">{"long",#N/A,FALSE,"ESC"}</definedName>
    <definedName function="false" hidden="true" name="wrn.LOB." vbProcedure="false">{"grossprem(LOB)",#N/A,FALSE,"TEMPLATE";"gpwgrowth(LOB)",#N/A,FALSE,"TEMPLATE";"retention(LOB)",#N/A,FALSE,"TEMPLATE";"netprem(LOB)",#N/A,FALSE,"TEMPLATE";"npwgrowth(LOB)",#N/A,FALSE,"TEMPLATE";"premearned(LOB)",#N/A,FALSE,"TEMPLATE";"lossratio(LOB)",#N/A,FALSE,"TEMPLATE";"commratio(LOB)",#N/A,FALSE,"TEMPLATE";"uwratio(LOB)",#N/A,FALSE,"TEMPLATE";"expenseratio(LOB)",#N/A,FALSE,"TEMPLATE";"combined(LOB)",#N/A,FALSE,"TEMPLATE";"savings(LOB)",#N/A,FALSE,"TEMPLATE";"GAAPexpense(LOB)",#N/A,FALSE,"TEMPLATE";"GAAPcombined(LOB)",#N/A,FALSE,"TEMPLATE";"DAC%(LOB)",#N/A,FALSE,"TEMPLATE";"DAC$(LOB)",#N/A,FALSE,"TEMPLATE";"lossdoll(LOB)",#N/A,FALSE,"TEMPLATE";"uwexpgrowth(LOB)",#N/A,FALSE,"TEMPLATE";"uwdoll(LOB)",#N/A,FALSE,"TEMPLATE";"commdoll(LOB)",#N/A,FALSE,"TEMPLATE";"expensedoll(LOB)",#N/A,FALSE,"TEMPLATE"}</definedName>
    <definedName function="false" hidden="true" name="wrn.Log._.Summary." vbProcedure="false">{"Final Results",#N/A,FALSE,"Final Results";"Log Estimate",#N/A,FALSE,"Log Estimate"}</definedName>
    <definedName function="false" hidden="true" name="wrn.LOOKUP._.TABLE." vbProcedure="false">{"LOOKUP TABLE",#N/A,FALSE,"FC-3 "}</definedName>
    <definedName function="false" hidden="tru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tru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true" name="wrn.Maine." vbProcedure="false">{"Assumptions",#N/A,TRUE,"Assumptions";"Income",#N/A,TRUE,"Income";"Balance",#N/A,TRUE,"Balance"}</definedName>
    <definedName function="false" hidden="tru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true" name="wrn.MARCH." vbProcedure="false">{"MARCH",#N/A,FALSE,"Q3"}</definedName>
    <definedName function="false" hidden="true" name="wrn.Marketing._.and._.Back._.up." vbProcedure="false">{#N/A,#N/A,TRUE,"Table of Contents";#N/A,#N/A,TRUE,"Cover Page";#N/A,#N/A,TRUE,"Paid Claim Experience";#N/A,#N/A,TRUE,"1998 Renewal Normalized";#N/A,#N/A,TRUE,"1998 Actual Annualized";#N/A,#N/A,TRUE,"1999 Renewal";#N/A,#N/A,TRUE,"Stop Loss Exhibit";#N/A,#N/A,TRUE,"Claim Projection Comparisons";#N/A,#N/A,TRUE,"Fee Comparisons";#N/A,#N/A,TRUE,"Admin - PS 98";#N/A,#N/A,TRUE,"Dep Ratio Adj"}</definedName>
    <definedName function="false" hidden="true" name="wrn.Marketing._.Pages." vbProcedure="false">{#N/A,#N/A,FALSE,"Table of Contents";#N/A,#N/A,FALSE,"Cover Page";#N/A,#N/A,FALSE,"Paid Claim Experience";#N/A,#N/A,FALSE,"1998 Renewal Normalized";#N/A,#N/A,FALSE,"1998 Actual Annualized";#N/A,#N/A,FALSE,"1999 Renewal";#N/A,#N/A,FALSE,"1999 Dental";#N/A,#N/A,FALSE,"Stop Loss Exhibit";#N/A,#N/A,FALSE,"Claim Projection Comparisons";#N/A,#N/A,FALSE,"Fee Comparisons"}</definedName>
    <definedName function="false" hidden="true" name="wrn.MAY." vbProcedure="false">{"MAY",#N/A,FALSE,"Q4"}</definedName>
    <definedName function="false" hidden="false" name="wrn.May._.21." vbProcedure="false">{42,42,TRUE,"Cover";42,42,TRUE,"Tariffs DTe";42,42,TRUE,"Revenues";42,42,TRUE,"Operating Expenses";42,42,TRUE,"Energy &amp; Power";42,42,TRUE,"Grid Costs";42,42,TRUE,"TPA";42,42,TRUE,"Maintenance";42,42,TRUE,"Personnel";42,42,TRUE,"General";42,42,TRUE,"P&amp;L";42,42,TRUE,"Capital Expenditures";42,42,TRUE,"Assumptions";42,42,TRUE,"Working Capital";42,42,TRUE,"Cash";42,42,TRUE,"Equity";42,42,TRUE,"Deferred Income";42,42,TRUE,"Provisions";42,42,TRUE,"Debt";42,42,TRUE,"BS";42,42,TRUE,"WACC_DTe"}</definedName>
    <definedName function="false" hidden="false" name="wrn.MAY95." vbProcedure="false">{#N/A,#N/A,FALSE,"MAY";#N/A,#N/A,FALSE,"Q2";#N/A,#N/A,FALSE,"YTD"}</definedName>
    <definedName function="false" hidden="false" name="wrn.may959" vbProcedure="false">{#N/A,#N/A,FALSE,"MAY";#N/A,#N/A,FALSE,"Q2";#N/A,#N/A,FALSE,"YTD"}</definedName>
    <definedName function="false" hidden="true" name="wrn.MEDICAL." vbProcedure="false">{#N/A,#N/A,FALSE,"Worksheet";#N/A,#N/A,FALSE,"RawData";#N/A,#N/A,FALSE,"Claim Counts";#N/A,#N/A,FALSE,"ILProjDisc";#N/A,#N/A,FALSE,"ICAdj";#N/A,#N/A,FALSE,"RatesLivesMan";#N/A,#N/A,FALSE,"BENAdj";#N/A,#N/A,FALSE,"Admin";#N/A,#N/A,FALSE,"ISLcalc";#N/A,#N/A,FALSE,"Database";#N/A,#N/A,FALSE,"Summary";#N/A,#N/A,FALSE,"ASLSummary";#N/A,#N/A,FALSE,"Individual Large Claims";#N/A,#N/A,FALSE,"Benefit Adjustments";#N/A,#N/A,FALSE,"Trend Analysis"}</definedName>
    <definedName function="false" hidden="true" name="wrn.Medical._.Ratio." vbProcedure="false">{#N/A,#N/A,FALSE,"Medical Ratio"}</definedName>
    <definedName function="false" hidden="true" name="wrn.merge." vbProcedure="false">{#N/A,#N/A,FALSE,"IPO";#N/A,#N/A,FALSE,"DCF";#N/A,#N/A,FALSE,"LBO";#N/A,#N/A,FALSE,"MULT_VAL";#N/A,#N/A,FALSE,"Status Quo";#N/A,#N/A,FALSE,"Recap"}</definedName>
    <definedName function="false" hidden="true" name="wrn.Method._.Comparison." vbProcedure="false">{#N/A,#N/A,FALSE,"Admin. Costs";#N/A,#N/A,FALSE,"Admin. Costs (2)";#N/A,#N/A,FALSE,"Facility, PC, Phone";#N/A,#N/A,FALSE,"Facilities pmpm"}</definedName>
    <definedName function="false" hidden="true" name="wrn.MIE._.Summary." vbProcedure="false">{#N/A,#N/A,FALSE,"MIE Total";#N/A,#N/A,FALSE,"Japan";#N/A,#N/A,FALSE,"North America";#N/A,#N/A,FALSE,"Asia";#N/A,#N/A,FALSE,"Europe"}</definedName>
    <definedName function="false" hidden="true" name="wrn.Mill._.Sheets." vbProcedure="false">{#N/A,#N/A,FALSE,"C";#N/A,#N/A,FALSE,"D";#N/A,#N/A,FALSE,"D (2)";#N/A,#N/A,FALSE,"E";#N/A,#N/A,FALSE,"F";#N/A,#N/A,FALSE,"G";#N/A,#N/A,FALSE,"H";#N/A,#N/A,FALSE,"I";#N/A,#N/A,FALSE,"J";#N/A,#N/A,FALSE,"K";#N/A,#N/A,FALSE,"L";#N/A,#N/A,FALSE,"M";#N/A,#N/A,FALSE,"N";#N/A,#N/A,FALSE,"O";#N/A,#N/A,FALSE,"P";#N/A,#N/A,FALSE,"Q";#N/A,#N/A,FALSE,"R";#N/A,#N/A,FALSE,"R (2)";#N/A,#N/A,FALSE,"S";#N/A,#N/A,FALSE,"T";#N/A,#N/A,FALSE,"U";#N/A,#N/A,FALSE,"V";#N/A,#N/A,FALSE,"W";#N/A,#N/A,FALSE,"X";#N/A,#N/A,FALSE,"X (2)";#N/A,#N/A,FALSE,"X (3)";#N/A,#N/A,FALSE,"Y";#N/A,#N/A,FALSE,"Y (2)";#N/A,#N/A,FALSE,"Y (3)";#N/A,#N/A,FALSE,"Z";#N/A,#N/A,FALSE,"AA";#N/A,#N/A,FALSE,"AB";#N/A,#N/A,FALSE,"AC";#N/A,#N/A,FALSE,"AD";#N/A,#N/A,FALSE,"AE";#N/A,#N/A,FALSE,"AF";#N/A,#N/A,FALSE,"AG";#N/A,#N/A,FALSE,"AH";#N/A,#N/A,FALSE,"AI";#N/A,#N/A,FALSE,"AJ";#N/A,#N/A,FALSE,"AK";#N/A,#N/A,FALSE,"AL";#N/A,#N/A,FALSE,"AM";#N/A,#N/A,FALSE,"AN";#N/A,#N/A,FALSE,"AO";#N/A,#N/A,FALSE,"AP";#N/A,#N/A,FALSE,"AP (2)";#N/A,#N/A,FALSE,"AQ";#N/A,#N/A,FALSE,"AR";#N/A,#N/A,FALSE,"AS";#N/A,#N/A,FALSE,"AT";#N/A,#N/A,FALSE,"AU";#N/A,#N/A,FALSE,"AV";#N/A,#N/A,FALSE,"AW";#N/A,#N/A,FALSE,"AX";#N/A,#N/A,FALSE,"AY";#N/A,#N/A,FALSE,"AZ";#N/A,#N/A,FALSE,"BA"}</definedName>
    <definedName function="false" hidden="true" name="wrn.model." vbProcedure="false">{"page1",#N/A,FALSE,"GIRLBO";"page2",#N/A,FALSE,"GIRLBO";"page3",#N/A,FALSE,"GIRLBO";"page4",#N/A,FALSE,"GIRLBO";"page5",#N/A,FALSE,"GIRLBO"}</definedName>
    <definedName function="false" hidden="true" name="wrn.Model._.Output." vbProcedure="false">{#N/A,#N/A,FALSE,"Purchase_50_Stock";#N/A,#N/A,FALSE,"Purchase_All_Stock";"Summary",#N/A,FALSE,"PF";"Income Statement",#N/A,FALSE,"PF";"Earnings",#N/A,FALSE,"PF";"Balance Sheet",#N/A,FALSE,"PF"}</definedName>
    <definedName function="false" hidden="true" name="wrn.Monthly._.reports." vbProcedure="false">{"P_Linformation",#N/A,FALSE,"Manuf_summ";#N/A,#N/A,FALSE,"Detail";#N/A,#N/A,FALSE,"Reconciliation"}</definedName>
    <definedName function="false" hidden="true" name="wrn.MOTOROLA._.TO220." vbProcedure="false">{"MOTTO220",#N/A,FALSE,"TO-220 PRODUCTION"}</definedName>
    <definedName function="false" hidden="true"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name="wrn.m_cash." vbProcedure="false">{"cash_marc",#N/A,FALSE,"dec95cr.xls"}</definedName>
    <definedName function="false" hidden="tru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true" name="wrn.newest." vbProcedure="false">{#N/A,#N/A,TRUE,"TS";#N/A,#N/A,TRUE,"Combo";#N/A,#N/A,TRUE,"FAIR";#N/A,#N/A,TRUE,"RBC";#N/A,#N/A,TRUE,"xxxx"}</definedName>
    <definedName function="false" hidden="true" name="wrn.Nico." vbProcedure="false">{#N/A,#N/A,TRUE,"Cover";#N/A,#N/A,TRUE,"Transaction Summary";#N/A,#N/A,TRUE,"Earnings Impact";#N/A,#N/A,TRUE,"accretion dilution"}</definedName>
    <definedName function="false" hidden="true" name="wrn.No.._.America._.Data." vbProcedure="false">{"Data",#N/A,FALSE,"North America";"Sales Summary",#N/A,FALSE,"North America"}</definedName>
    <definedName function="false" hidden="true" name="wrn.NovBob." vbProcedure="false">{#N/A,#N/A,TRUE,"Index";#N/A,#N/A,TRUE,"Income Statement vs Original Pl";#N/A,#N/A,TRUE,"Income Statement vs Reproj";#N/A,#N/A,TRUE,"Dental Care DHMO Original Plan";#N/A,#N/A,TRUE,"Dental Care DHMO Revised";#N/A,#N/A,TRUE,"Premium Analysis vs Prior Month";#N/A,#N/A,TRUE,"CURRENT AR";#N/A,#N/A,TRUE,"MO TO MO UNEARNED PREM";#N/A,#N/A,TRUE,"MO TO MO AR ANALYSIS";#N/A,#N/A,TRUE,"MO BY MO SG&amp;A FULL YR";#N/A,#N/A,TRUE,"Book of Business"}</definedName>
    <definedName function="false" hidden="true" name="wrn.NOVEMBER." vbProcedure="false">{"NOVEMBER",#N/A,FALSE,"Q2"}</definedName>
    <definedName function="false" hidden="true" name="wrn.OCTOBER." vbProcedure="false">{"OCTOBER",#N/A,FALSE,"Q2"}</definedName>
    <definedName function="false" hidden="true" name="wrn.Oncology." vbProcedure="false">{#N/A,#N/A,FALSE,"Onco";#N/A,#N/A,FALSE,"Taxol";#N/A,#N/A,FALSE,"UFT";#N/A,#N/A,FALSE,"Carb"}</definedName>
    <definedName function="false" hidden="false" name="wrn.Operating._.Models." vbProcedure="false">{#N/A,#N/A,TRUE,"Eastern Market";#N/A,#N/A,TRUE,"Western Market";#N/A,#N/A,TRUE,"Sulphur Services";#N/A,#N/A,TRUE,"Global Business";#N/A,#N/A,TRUE,"Incremental Overhead";#N/A,#N/A,TRUE,"Acquired Business"}</definedName>
    <definedName function="false" hidden="true" name="wrn.Opportunity._.Assessment." vbProcedure="false">{#N/A,#N/A,TRUE,"Summary";#N/A,#N/A,TRUE,"Assumptions";#N/A,#N/A,TRUE,"Comparison";#N/A,#N/A,TRUE,"Financials";#N/A,#N/A,TRUE,"Plan v. Act"}</definedName>
    <definedName function="false" hidden="true" name="wrn.OTC._.Market._.Report." vbProcedure="false">{#N/A,#N/A,FALSE,"Sales Graph";#N/A,#N/A,FALSE,"BUC Graph";#N/A,#N/A,FALSE,"P&amp;L - YTD"}</definedName>
    <definedName function="false" hidden="true" name="wrn.OTHER." vbProcedure="false">{"OTHER",#N/A,FALSE,"EXP PIE"}</definedName>
    <definedName function="false" hidden="true" name="wrn.Other._.Pharm." vbProcedure="false">{#N/A,#N/A,FALSE,"Other";#N/A,#N/A,FALSE,"Ace";#N/A,#N/A,FALSE,"Derm"}</definedName>
    <definedName function="false" hidden="false"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true" name="wrn.p" vbProcedure="false">{#N/A,#N/A,FALSE,"1";#N/A,#N/A,FALSE,"2";#N/A,#N/A,FALSE,"16 - 17";#N/A,#N/A,FALSE,"18 - 19";#N/A,#N/A,FALSE,"26";#N/A,#N/A,FALSE,"27";#N/A,#N/A,FALSE,"28"}</definedName>
    <definedName function="false" hidden="tru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true" name="wrn.Pages._.for._.Distribution." vbProcedure="false">{#N/A,#N/A,FALSE,"DISTRIBUTION";#N/A,#N/A,FALSE,"Overview";#N/A,#N/A,FALSE,"QRTLY EPS";#N/A,#N/A,FALSE,"Category Summary";#N/A,#N/A,FALSE,"Sales Variance";#N/A,#N/A,FALSE,"Operating Profit Variance";#N/A,#N/A,FALSE,"Opportunities and Risks";#N/A,#N/A,FALSE,"Total P&amp;L Outlook"}</definedName>
    <definedName function="false" hidden="tru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tru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tru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tru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tru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tru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tru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tru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tru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tru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tru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tru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true" name="wrn.PH._.Financials." vbProcedure="false">{#N/A,#N/A,FALSE,"Cover";#N/A,#N/A,FALSE,"Rev &amp; Exp";#N/A,#N/A,FALSE,"Medical loss ratio";#N/A,#N/A,FALSE,"Admin";#N/A,#N/A,FALSE,"Combined";#N/A,#N/A,FALSE,"Membership";#N/A,#N/A,FALSE,"Hospital Days";#N/A,#N/A,FALSE,"Admissions";#N/A,#N/A,FALSE,"ALOS";#N/A,#N/A,FALSE,"Cost per day";#N/A,#N/A,FALSE,"Page 1";#N/A,#N/A,FALSE,"Page 2";#N/A,#N/A,FALSE,"Page 3";#N/A,#N/A,FALSE,"Page 4";#N/A,#N/A,FALSE,"Page 5";#N/A,#N/A,FALSE,"Page 6";#N/A,#N/A,FALSE,"Page 7";#N/A,#N/A,FALSE,"Page 8";#N/A,#N/A,FALSE,"Page 9";#N/A,#N/A,FALSE,"Page 10";#N/A,#N/A,FALSE,"Page 11";#N/A,#N/A,FALSE,"Page 12";#N/A,#N/A,FALSE,"Page 13";#N/A,#N/A,FALSE,"Page 14";#N/A,#N/A,FALSE,"Page 15";#N/A,#N/A,FALSE,"Page 16";#N/A,#N/A,FALSE,"Page 17"}</definedName>
    <definedName function="false" hidden="true" name="wrn.Pharm._.Market._.Report." vbProcedure="false">{#N/A,#N/A,FALSE,"Sales Graph";#N/A,#N/A,FALSE,"PSBM";#N/A,#N/A,FALSE,"BUC Graph";#N/A,#N/A,FALSE,"P&amp;L - YTD"}</definedName>
    <definedName function="false" hidden="true" name="wrn.Pharmaceuticals." vbProcedure="false">{#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function="false" hidden="false" name="wrn.phoenix." vbProcedure="false">{"is_plan vs Act",#N/A,FALSE,"IS_Plan-Act";"is_curr&amp;YTD",#N/A,FALSE,"IS_Plan-Act";"is_last5mos",#N/A,FALSE,"IS_Plan-Act";"is_vsYTD_RR",#N/A,FALSE,"IS_Plan-Act";"bs",#N/A,FALSE,"IS_Plan-Act";"bs_last5mos",#N/A,FALSE,"IS_Plan-Act";"cf",#N/A,FALSE,"IS_Plan-Act"}</definedName>
    <definedName function="false" hidden="true" name="wrn.pl" vbProcedure="false">{#N/A,#N/A,FALSE,"Exhibits 5-7"}</definedName>
    <definedName function="false" hidden="true" name="wrn.pl." vbProcedure="false">{#N/A,#N/A,FALSE,"Exhibits 5-7"}</definedName>
    <definedName function="false" hidden="true" name="wrn.Plan._.Support._.Only." vbProcedure="false">{#N/A,#N/A,FALSE,"Part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true" name="wrn.PMPM._.Summary." vbProcedure="false">{"Final Results",#N/A,TRUE,"Final Results";"PMPM Estimate",#N/A,TRUE,"PMPM Init Est"}</definedName>
    <definedName function="false" hidden="true" name="wrn.ppp" vbProcedure="false">{#N/A,#N/A,FALSE,"1";#N/A,#N/A,FALSE,"2";#N/A,#N/A,FALSE,"16 - 17";#N/A,#N/A,FALSE,"18 - 19";#N/A,#N/A,FALSE,"26";#N/A,#N/A,FALSE,"27";#N/A,#N/A,FALSE,"28"}</definedName>
    <definedName function="false" hidden="true" name="wrn.Preliminary._.Plan." vbProcedure="false">{#N/A,#N/A,FALSE,"Part E";#N/A,#N/A,FALSE,"E.1 Prelim Earnings Plan"}</definedName>
    <definedName function="false" hidden="true" name="wrn.President._.Report." vbProcedure="false">{#N/A,#N/A,FALSE,"President's Cover";#N/A,#N/A,FALSE,"A.1 1998 Objectives";#N/A,#N/A,FALSE,"A.2 President's Measures";#N/A,#N/A,FALSE,"A.3 Commentary"}</definedName>
    <definedName function="false" hidden="false" name="wrn.PRES_OUT." vbProcedure="false">{"page1",#N/A,FALSE,"PRESENTATION";"page2",#N/A,FALSE,"PRESENTATION";#N/A,#N/A,FALSE,"Valuation Summary"}</definedName>
    <definedName function="false" hidden="true" name="wrn.prin2._.all." vbProcedure="false">{#N/A,#N/A,FALSE,"Pharm";#N/A,#N/A,FALSE,"WWCM"}</definedName>
    <definedName function="false" hidden="true" name="wrn.prin3" vbProcedure="false">{#N/A,#N/A,FALSE,"Pharm";#N/A,#N/A,FALSE,"WWCM"}</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 vbProcedure="false">{#N/A,#N/A,FALSE,"Japan 2003";#N/A,#N/A,FALSE,"Sheet2"}</definedName>
    <definedName function="false" hidden="true" name="wrn.Print._.ACR." vbProcedure="false">{#N/A,#N/A,FALSE,"AAPCC (HMO&amp;Non-HMO)"}</definedName>
    <definedName function="false" hidden="true" name="wrn.PRINT._.ALL.2" vbProcedure="false">{#N/A,#N/A,FALSE,"Pharm";#N/A,#N/A,FALSE,"WWCM"}</definedName>
    <definedName function="false" hidden="tru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name="wrn.PRINT._.ALL._.REPORTS." vbProcedure="false">{"USDFC3",#N/A,FALSE,"FC-3 ";"USDCOST",#N/A,FALSE,"FC-3 ";"LCFC3",#N/A,FALSE,"FC-3 ";"LCCOST",#N/A,FALSE,"FC-3 "}</definedName>
    <definedName function="false" hidden="true" name="wrn.Print._.All._.Worksheets." vbProcedure="false">{#N/A,#N/A,FALSE,"Capitaliztion Matrix";#N/A,#N/A,FALSE,"4YR P&amp;L";#N/A,#N/A,FALSE,"Program Contributions";#N/A,#N/A,FALSE,"P&amp;L Trans YR 2";#N/A,#N/A,FALSE,"Rev &amp; EBITDA YR2";#N/A,#N/A,FALSE,"P&amp;L Trans YR 1";#N/A,#N/A,FALSE,"Rev &amp; EBITDA YR1"}</definedName>
    <definedName function="false" hidden="true" name="wrn.print._.all2" vbProcedure="false">{#N/A,#N/A,FALSE,"Pharm";#N/A,#N/A,FALSE,"WWCM"}</definedName>
    <definedName function="false" hidden="true" name="wrn.Print._.Customer._.Lists." vbProcedure="false">{"customers_chiswick",#N/A,FALSE,"Summary";"customers_dfs",#N/A,FALSE,"Summary";"customers_mcbee",#N/A,FALSE,"Summary";"customers_nebs",#N/A,FALSE,"Summary";"customers_premium",#N/A,FALSE,"Summary";"customers_rapidforms",#N/A,FALSE,"Summary";"customers_russell",#N/A,FALSE,"Summary";"customers_safeguard",#N/A,FALSE,"Summary"}</definedName>
    <definedName function="false" hidden="false" name="wrn.print._.graphs." vbProcedure="false">{"cap_structure",#N/A,FALSE,"Graph-Mkt Cap";"price",#N/A,FALSE,"Graph-Price";"ebit",#N/A,FALSE,"Graph-EBITDA";"ebitda",#N/A,FALSE,"Graph-EBITDA"}</definedName>
    <definedName function="false" hidden="true" name="wrn.Print._.Historicals._.and._.Estimates." vbProcedure="false">{"management_canada",#N/A,FALSE,"Summary";"management_chiswick",#N/A,FALSE,"Summary";"management_dfs",#N/A,FALSE,"Summary";"management_europe",#N/A,FALSE,"Summary";"management_fossler",#N/A,FALSE,"Summary";"management_mcbeewpayroll",#N/A,FALSE,"Summary";"management_mcbeenopayroll",#N/A,FALSE,"Summary";"management_mcbeejustpayroll",#N/A,FALSE,"Summary";"management_nebs",#N/A,FALSE,"Summary";"management_premiumwear",#N/A,FALSE,"Summary";"management_rapidforms",#N/A,FALSE,"Summary";"management_russellandmiller",#N/A,FALSE,"Summary";"management_safeguard",#N/A,FALSE,"Summary"}</definedName>
    <definedName function="false" hidden="false" name="wrn.Print._.LBO._.Model." vbProcedure="false">{"toc",#N/A,TRUE,"TOC";"summary",#N/A,TRUE,"Summary";"credit",#N/A,TRUE,"Model";"income",#N/A,TRUE,"Model";"balance",#N/A,TRUE,"Model";"cash",#N/A,TRUE,"Model";"capitalization",#N/A,TRUE,"Model";"margins",#N/A,TRUE,"Model";"acq_bal",#N/A,TRUE,"Model";"dep_amort",#N/A,TRUE,"Model";"tax",#N/A,TRUE,"Model";"dep_tax",#N/A,TRUE,"TOC";#N/A,#N/A,TRUE,"Expenses";"returns",#N/A,TRUE,"Model";"return_calc",#N/A,TRUE,"Returns"}</definedName>
    <definedName function="false" hidden="true" name="wrn.PRINT._.LC._.CAPITAL." vbProcedure="false">{"LC",#N/A,FALSE,"FC-15 Cap Expend"}</definedName>
    <definedName function="false" hidden="false" name="wrn.Print._.Model." vbProcedure="false">{"Summary",#N/A,TRUE,"Model";"Returns I",#N/A,TRUE,"Model";"BS - Open",#N/A,TRUE,"Model";"Assumptions",#N/A,TRUE,"Model";"IS",#N/A,TRUE,"Model";"BS",#N/A,TRUE,"Model";"CF",#N/A,TRUE,"Model";"Debt",#N/A,TRUE,"Model";"Debt / Tax",#N/A,TRUE,"Model";"Returns II",#N/A,TRUE,"Model"}</definedName>
    <definedName function="false" hidden="false" name="wrn.print._.raw._.data._.entry." vbProcedure="false">{"inputs raw data",#N/A,TRUE,"INPUT"}</definedName>
    <definedName function="false" hidden="true" name="wrn.Print._.Reduced._.Scenario._.2." vbProcedure="false">{"Reduced Scenario 2",#N/A,FALSE,"Deliv B Up 1999 2004 SC 2"}</definedName>
    <definedName function="false" hidden="true" name="wrn.Print._.Report." vbProcedure="false">{"four",#N/A,FALSE,"FLASH";"one",#N/A,FALSE,"FLASH";"three",#N/A,FALSE,"FLASH"}</definedName>
    <definedName function="false" hidden="false" name="wrn.print._.summary._.sheets." vbProcedure="false">{"summary1",#N/A,TRUE,"Comps";"summary2",#N/A,TRUE,"Comps";"summary3",#N/A,TRUE,"Comps"}</definedName>
    <definedName function="false" hidden="true" name="wrn.Print._.Trademarks." vbProcedure="false">{"trademark_canada",#N/A,FALSE,"Summary";"trademark_chiswick",#N/A,FALSE,"Summary";"trademark_dfs",#N/A,FALSE,"Summary";"trademark_fossler",#N/A,FALSE,"Summary";"trademark_mcbee",#N/A,FALSE,"Summary";"trademark_premium",#N/A,FALSE,"Summary";"trademark_nebs",#N/A,FALSE,"Summary";"trademark_rapidforms",#N/A,FALSE,"Summary";"trademark_russell",#N/A,FALSE,"Summary";"trademark_safeguard",#N/A,FALSE,"Summary"}</definedName>
    <definedName function="false" hidden="true" name="wrn.PRINT._.USD._.CAPITAL." vbProcedure="false">{"USD",#N/A,FALSE,"FC-15 Cap Expend"}</definedName>
    <definedName function="false" hidden="true" name="wrn.print._all1." vbProcedure="false">{#N/A,#N/A,FALSE,"Pharm";#N/A,#N/A,FALSE,"WWCM"}</definedName>
    <definedName function="false" hidden="true" name="wrn.PRINT1." vbProcedure="false">{"page1",#N/A,FALSE,"PF";"page2",#N/A,FALSE,"PF";"page3",#N/A,FALSE,"PF";"page4",#N/A,FALSE,"Bal_Sht"}</definedName>
    <definedName function="false" hidden="false" name="wrn.print2" vbProcedure="false">{"page1",#N/A,FALSE,"PROFORMA";"page2",#N/A,FALSE,"PROFORMA";"page3",#N/A,FALSE,"PROFORMA";"page4",#N/A,FALSE,"PROFORMA";"page5",#N/A,FALSE,"PROFORMA";"page6",#N/A,FALSE,"PROFORMA";"page7",#N/A,FALSE,"PROFORMA";"page8",#N/A,FALSE,"PROFORMA"}</definedName>
    <definedName function="false" hidden="true" name="wrn.print2." vbProcedure="false">{"page1",#N/A,FALSE,"PF";"page2",#N/A,FALSE,"PF";"page3",#N/A,FALSE,"PF";"page4",#N/A,FALSE,"Bal_Sht"}</definedName>
    <definedName function="false" hidden="true" name="wrn.print3." vbProcedure="false">{"page1",#N/A,FALSE,"PF";"page2",#N/A,FALSE,"PF";"page3",#N/A,FALSE,"PF";"page4",#N/A,FALSE,"Bal_Sht"}</definedName>
    <definedName function="false" hidden="false" name="wrn.PRINTREP." vbProcedure="false">{"PRINTREP",#N/A,FALSE,"Sheet1"}</definedName>
    <definedName function="false" hidden="true" name="wrn.Print_Scenario_1_Full_Size." vbProcedure="false">{"Scenario 1 Full Size",#N/A,FALSE,"Deliv B Up 1999 2004 SC 1"}</definedName>
    <definedName function="false" hidden="true" name="wrn.Print_Scenario_2_Full_Size." vbProcedure="false">{"Scenario 2 Full Size",#N/A,FALSE,"Deliv B Up 1999 2004 SC 2"}</definedName>
    <definedName function="false" hidden="true" name="wrn.Pro._.Formas_All." vbProcedure="false">{#N/A,#N/A,FALSE,"Synopsis";#N/A,#N/A,FALSE,"Summary";#N/A,#N/A,FALSE,"5 Year Analysis";#N/A,#N/A,FALSE,"InCenter Standards";#N/A,#N/A,FALSE,"Home Standards";#N/A,#N/A,FALSE,"Acute Standards"}</definedName>
    <definedName function="false" hidden="true" name="wrn.Pro._.Formas_Brief." vbProcedure="false">{#N/A,#N/A,FALSE,"Synopsis";#N/A,#N/A,FALSE,"Summary"}</definedName>
    <definedName function="false" hidden="true" name="wrn.prodcon." vbProcedure="false">{"closed",#N/A,FALSE,"Consolidated Products - Budget";"expanded",#N/A,FALSE,"Consolidated Products - Budget"}</definedName>
    <definedName function="false" hidden="true" name="wrn.products" vbProcedure="false">{#N/A,#N/A,FALSE,"1";#N/A,#N/A,FALSE,"2";#N/A,#N/A,FALSE,"16 - 17";#N/A,#N/A,FALSE,"18 - 19";#N/A,#N/A,FALSE,"26";#N/A,#N/A,FALSE,"27";#N/A,#N/A,FALSE,"28"}</definedName>
    <definedName function="false" hidden="true" name="wrn.Products." vbProcedure="false">{#N/A,#N/A,FALSE,"1";#N/A,#N/A,FALSE,"2";#N/A,#N/A,FALSE,"16 - 17";#N/A,#N/A,FALSE,"18 - 19";#N/A,#N/A,FALSE,"26";#N/A,#N/A,FALSE,"27";#N/A,#N/A,FALSE,"28"}</definedName>
    <definedName function="false" hidden="true" name="wrn.profit._.p" vbProcedure="false">{"profit",#N/A,FALSE,"Aerospace";"profit",#N/A,FALSE,"Engines";"profit",#N/A,FALSE,"AES";"profit",#N/A,FALSE,"ES";"profit",#N/A,FALSE,"CAS";"profit",#N/A,FALSE,"ATSC";"profit",#N/A,FALSE,"FMT";"profit",#N/A,FALSE,"Aero Other";"profit",#N/A,FALSE,"Judgement"}</definedName>
    <definedName function="false" hidden="true" name="wrn.Profit._.V._.LY." vbProcedure="false">{"profit",#N/A,FALSE,"Aerospace";"profit",#N/A,FALSE,"Engines";"profit",#N/A,FALSE,"AES";"profit",#N/A,FALSE,"ES";"profit",#N/A,FALSE,"CAS";"profit",#N/A,FALSE,"ATSC";"profit",#N/A,FALSE,"FMT";"profit",#N/A,FALSE,"Aero Other";"profit",#N/A,FALSE,"Judgement"}</definedName>
    <definedName function="false" hidden="true" name="wrn.Profit._.V._.Prior._.Fcst.." vbProcedure="false">{"profit",#N/A,FALSE,"Aero V prior";"profit",#N/A,FALSE,"Eng V Prior";"profit",#N/A,FALSE,"AES V Prior";"profit",#N/A,FALSE,"ES V Prior";"profit",#N/A,FALSE,"CAS V Prior";"profit",#N/A,FALSE,"ATSC V Prior";"profit",#N/A,FALSE,"FMT V Prior";"profit",#N/A,FALSE,"Aero Other V Prior";"profit",#N/A,FALSE,"Judge V Prior"}</definedName>
    <definedName function="false" hidden="tru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true" name="wrn.pror" vbProcedure="false">{#N/A,#N/A,FALSE,"Pharm";#N/A,#N/A,FALSE,"WWCM"}</definedName>
    <definedName function="false" hidden="true" name="wrn.Pump." vbProcedure="false">{#N/A,#N/A,FALSE,"Assump";#N/A,#N/A,FALSE,"Income";#N/A,#N/A,FALSE,"Balance";#N/A,#N/A,FALSE,"DCF Pump";#N/A,#N/A,FALSE,"Trans Assump";#N/A,#N/A,FALSE,"Combined Income";#N/A,#N/A,FALSE,"Combined Balance"}</definedName>
    <definedName function="false" hidden="true" name="wrn.P_and_L." vbProcedure="false">{#N/A,#N/A,FALSE,"RMS Base (allocated)";#N/A,#N/A,FALSE,"Humana";#N/A,#N/A,FALSE,"NJRM";#N/A,#N/A,FALSE,"GSNS";#N/A,#N/A,FALSE,"Total"}</definedName>
    <definedName function="false" hidden="true" name="wrn.Q1._.QUARTER._.TO._.DATE." vbProcedure="false">{"Q1QTD",#N/A,FALSE,"Q1"}</definedName>
    <definedName function="false" hidden="true" name="wrn.Q2._.QUARTER._.TO._.DATE." vbProcedure="false">{"QUARTER TO DATE",#N/A,FALSE,"Q2"}</definedName>
    <definedName function="false" hidden="true" name="wrn.Q3._.Prof._.Serv._.Summary." vbProcedure="false">{"Professional Service Summary",#N/A,FALSE,"Q3 Prof Serv"}</definedName>
    <definedName function="false" hidden="true" name="wrn.Q3._.Professional._.service._.detail." vbProcedure="false">{"Professional Service Detail",#N/A,FALSE,"Q3 Prof Serv"}</definedName>
    <definedName function="false" hidden="true" name="wrn.Q3._.QUARTER._.TO._.DATE." vbProcedure="false">{"QUARTER TO DATE",#N/A,FALSE,"Q3"}</definedName>
    <definedName function="false" hidden="true" name="wrn.Q4._.QUARTER._.TO._.DATE." vbProcedure="false">{"QUARTER TO DATE",#N/A,FALSE,"Q4"}</definedName>
    <definedName function="false" hidden="true" name="wrn.Quarter._.1._.Forecast." vbProcedure="false">{#N/A,#N/A,FALSE,"Forecast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function="false" hidden="true" name="wrn.Quarter._.2._.Forecast." vbProcedure="false">{#N/A,#N/A,FALSE,"Forecast Cover";#N/A,#N/A,FALSE,"D.1 Bal. Sheet";#N/A,#N/A,FALSE,"D.2 Income Statement";#N/A,#N/A,FALSE,"D.3 Quarterly Forecast";#N/A,#N/A,FALSE,"E.2 Monthly Forecast Q2";#N/A,#N/A,FALSE,"E.7 Capital";#N/A,#N/A,FALSE,"E.8 Research &amp; Development";#N/A,#N/A,FALSE,"E.9 New Business Development";#N/A,#N/A,FALSE,"E.10 Tax Information"}</definedName>
    <definedName function="false" hidden="true" name="wrn.Quarter._.3._.Forecast." vbProcedure="false">{#N/A,#N/A,FALSE,"Forecast Cover";#N/A,#N/A,FALSE,"D.1 Bal. Sheet";#N/A,#N/A,FALSE,"D.2 Income Statement";#N/A,#N/A,FALSE,"D.3 Quarterly Forecast";#N/A,#N/A,FALSE,"E.1 Monthly Forecast Q3";#N/A,#N/A,FALSE,"E.7 Capital";#N/A,#N/A,FALSE,"E.8 Research &amp; Development";#N/A,#N/A,FALSE,"E.9 New Business Development";#N/A,#N/A,FALSE,"E.10 Tax Information"}</definedName>
    <definedName function="false" hidden="true" name="wrn.Quarterly._.Consolidation._.Report." vbProcedure="false">{#N/A,#N/A,FALSE,"Front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function="false" hidden="true" name="wrn.quick." vbProcedure="false">{"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function="false" hidden="true" name="wrn.rates." vbProcedure="false">{"rates",#N/A,FALSE,"Summary"}</definedName>
    <definedName function="false" hidden="true" name="wrn.Reduced._.Scenario._.1." vbProcedure="false">{"Reduced Scenario 1",#N/A,FALSE,"Deliv B Up 1999 2004 SC 1"}</definedName>
    <definedName function="false" hidden="true" name="wrn.Reduced_Sc_2." vbProcedure="false">{"Reduced Sc 2",#N/A,FALSE,"Deliv B Up 1999 2004 SC 2"}</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true" name="wrn.RELEVANTSHEETS." vbProcedure="false">{#N/A,#N/A,FALSE,"AD_Purch";#N/A,#N/A,FALSE,"Projections";#N/A,#N/A,FALSE,"DCF";#N/A,#N/A,FALSE,"Mkt Val"}</definedName>
    <definedName function="false" hidden="true" name="wrn.Renewal." vbProcedure="false">{#N/A,#N/A,FALSE,"Approval Form";#N/A,#N/A,FALSE,"Renewal";#N/A,#N/A,FALSE,"Cosmos Report"}</definedName>
    <definedName function="false" hidden="true" name="wrn.Renewal._.Justification." vbProcedure="false">{#N/A,#N/A,FALSE,"Renewal"}</definedName>
    <definedName function="false" hidden="false" name="wrn.Replacement._.Cost." vbProcedure="false">{42,42,TRUE,"Cover Repl";42,42,TRUE,"P&amp;L";42,42,TRUE,"P&amp;L (2)";42,42,TRUE,"BS";42,42,TRUE,"Depreciation";42,42,TRUE,"GRAPHS";42,42,TRUE,"DCF EBITDA Multiple";42,42,TRUE,"DCF Perpetual Growth"}</definedName>
    <definedName function="false" hidden="false" name="wrn.report." vbProcedure="false">{#N/A,#N/A,TRUE,"Mgmt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function="false" hidden="true" name="wrn.Report._.1." vbProcedure="false">{#N/A,#N/A,TRUE,"Cover";#N/A,#N/A,TRUE,"Contents";"Statements",#N/A,TRUE,"Income Statement";"Statements",#N/A,TRUE,"Cash Flow Statement";"Statements",#N/A,TRUE,"Balance Sheet ";#N/A,#N/A,TRUE,"Revenue Data Table";#N/A,#N/A,TRUE,"Costs &amp; Expenses Data Table";#N/A,#N/A,TRUE,"Cash Flow Data Table ";#N/A,#N/A,TRUE,"Shor-term Interest Expense";#N/A,#N/A,TRUE,"Income Taxes";#N/A,#N/A,TRUE,"New Issue Test";#N/A,#N/A,TRUE,"Ratios"}</definedName>
    <definedName function="false" hidden="true" name="wrn.REPORTING._.PACKAGE." vbProcedure="false">{#N/A,#N/A,TRUE,"Cover";#N/A,#N/A,TRUE,"BS";#N/A,#N/A,TRUE,"BS (2)";#N/A,#N/A,TRUE,"BS (3)";#N/A,#N/A,TRUE,"Supp Info-BS";#N/A,#N/A,TRUE,"IS";#N/A,#N/A,TRUE,"IS (2)";#N/A,#N/A,TRUE,"IS (3)";#N/A,#N/A,TRUE,"Supp Info-IS";#N/A,#N/A,TRUE,"CF";#N/A,#N/A,TRUE,"Supp Info-CF";#N/A,#N/A,TRUE,"SH";#N/A,#N/A,TRUE,"Supp Info-SH"}</definedName>
    <definedName function="false" hidden="false" name="wrn.Restricted._.Rpts." vbProcedure="false">{"RptRY",#N/A,FALSE,"CDGy";"RptRQ",#N/A,FALSE,"CDGq";"RptRM",#N/A,FALSE,"CDGm"}</definedName>
    <definedName function="false" hidden="true" name="wrn.review." vbProcedure="false">{"review",#N/A,FALSE,"FACTSHT"}</definedName>
    <definedName function="false" hidden="true" name="wrn.review1." vbProcedure="false">{"review",#N/A,FALSE,"FACTSHT"}</definedName>
    <definedName function="false" hidden="false" name="wrn.Revs." vbProcedure="false">{"Base_rev",#N/A,FALSE,"Proj_IS_Base";"Projrev",#N/A,FALSE,"Proj_IS_wOTLC";"Delta",#N/A,FALSE,"Delta Rev_PV"}</definedName>
    <definedName function="false" hidden="true" name="wrn.S.T._.Int.._.Expense._.Calculation." vbProcedure="false">{#N/A,#N/A,TRUE,"Shor-term Interest Expense"}</definedName>
    <definedName function="false" hidden="true" name="wrn.SALARY._.CALC._.REPORTS." vbProcedure="false">{"SALDIR",#N/A,FALSE,"WAFER FAB 1 EXPENSE";"SALMGMT",#N/A,FALSE,"WAFER FAB 1 EXPENSE";"SALENGINEERING",#N/A,FALSE,"WAFER FAB 1 EXPENSE";"SALEQUIPSUPPORT",#N/A,FALSE,"WAFER FAB 1 EXPENSE";"SALFABMAT",#N/A,FALSE,"WAFER FAB 1 EXPENSE"}</definedName>
    <definedName function="false" hidden="false" name="wrn.sales." vbProcedure="false">{"sales",#N/A,FALSE,"Sales";"sales existing",#N/A,FALSE,"Sales";"sales rd1",#N/A,FALSE,"Sales";"sales rd2",#N/A,FALSE,"Sales"}</definedName>
    <definedName function="false" hidden="true" name="wrn.SAW._.AND._.SUPPORT." vbProcedure="false">{"SAW",#N/A,FALSE,"ASSEMBLY EXPENSE"}</definedName>
    <definedName function="false" hidden="true" name="wrn.SBEI." vbProcedure="false">{#N/A,#N/A,TRUE,"Table1";#N/A,#N/A,TRUE,"Table2";#N/A,#N/A,TRUE,"Table3";#N/A,#N/A,TRUE,"Table4";#N/A,#N/A,TRUE,"Table5";#N/A,#N/A,TRUE,"Table6";#N/A,#N/A,TRUE,"Table7";#N/A,#N/A,TRUE,"Table8";#N/A,#N/A,TRUE,"Table9";#N/A,#N/A,TRUE,"Table10";#N/A,#N/A,TRUE,"Table11";#N/A,#N/A,TRUE,"Table12";#N/A,#N/A,TRUE,"Table13";#N/A,#N/A,TRUE,"Table14"}</definedName>
    <definedName function="false" hidden="true" name="wrn.sens." vbProcedure="false">{"sens1\",#N/A,FALSE,"PF";"sens2",#N/A,FALSE,"PF";"sens3",#N/A,FALSE,"PF";"sens4",#N/A,FALSE,"PF"}</definedName>
    <definedName function="false" hidden="true" name="wrn.sens3." vbProcedure="false">{"sens1\",#N/A,FALSE,"PF";"sens2",#N/A,FALSE,"PF";"sens3",#N/A,FALSE,"PF";"sens4",#N/A,FALSE,"PF"}</definedName>
    <definedName function="false" hidden="true" name="wrn.SEPTEMBER." vbProcedure="false">{"Q1SEP",#N/A,FALSE,"Q1"}</definedName>
    <definedName function="false" hidden="true" name="wrn.Seven._.Page." vbProcedure="false">{"Income",#N/A,FALSE,"income";"Sales",#N/A,FALSE,"income";"Critical",#N/A,FALSE,"income";"Market",#N/A,FALSE,"Market";"Returns",#N/A,FALSE,"returns";"Balance",#N/A,FALSE,"balance";"Cash Flow",#N/A,FALSE,"balance"}</definedName>
    <definedName function="false" hidden="true" name="wrn.Site._.Report." vbProcedure="false">{"Site",#N/A,FALSE,"Net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function="false" hidden="true" name="wrn.Six._.Page." vbProcedure="false">{"Income",#N/A,FALSE,"Earnings";"Critical Measures",#N/A,FALSE,"Earnings";"Balance",#N/A,FALSE,"Balance";"Cash Flow",#N/A,FALSE,"Balance";"Market",#N/A,FALSE,"Market";"Returns",#N/A,FALSE,"Returns"}</definedName>
    <definedName function="false" hidden="true" name="wrn.Sixpage." vbProcedure="false">{"Income",#N/A,FALSE,"income";"Critical",#N/A,FALSE,"income";"Balance",#N/A,FALSE,"Balance";"Cash Flow",#N/A,FALSE,"Balance";"Returns",#N/A,FALSE,"Returns";"Market",#N/A,FALSE,"Market"}</definedName>
    <definedName function="false" hidden="true" name="wrn.ST.._.LUKE._.HOSPITAL._.LOS." vbProcedure="false">{#N/A,#N/A,FALSE,"LOS West";#N/A,#N/A,FALSE,"LOS East";#N/A,#N/A,FALSE,"LOS Inc."}</definedName>
    <definedName function="false" hidden="true" name="wrn.STANDARDIZED._.AUDIT." vbProcedure="false">{#N/A,#N/A,FALSE,"ROUTING PAGE";#N/A,#N/A,FALSE,"WORKSHEET INDEX";#N/A,#N/A,FALSE,"GENERAL INFORMATION";#N/A,#N/A,FALSE,"BOOKS AND RECORDS ANALYSIS";#N/A,#N/A,FALSE,"COLLATERAL AND LOAN POSITION";#N/A,#N/A,FALSE,"COLLATERAL POSITION FOOTNOTES";#N/A,#N/A,FALSE,"GL REVOLVING LOAN BALANCES";#N/A,#N/A,FALSE,"GENERAL AR INFORMATION";#N/A,#N/A,FALSE,"AR AGINGS";#N/A,#N/A,FALSE,"ANALYSIS OF DELINQUENT ACCOUNTS";#N/A,#N/A,FALSE,"ALLOWANCE FOR DOUBTFUL ACCOUNTS";#N/A,#N/A,FALSE,"AR CONCENTRATION &amp; INELIGIBLES";#N/A,#N/A,FALSE,"AR ACTIVITY";#N/A,#N/A,FALSE,"PROOF OF DELIVERY";#N/A,#N/A,FALSE,"CREDIT MEMO ANALYSIS";#N/A,#N/A,FALSE,"GENERAL INVENTORY INFORMATION";#N/A,#N/A,FALSE,"INVENTORY SUMMARY";#N/A,#N/A,FALSE,"INVENTORY BY LOCATION";#N/A,#N/A,FALSE,"INVENTORY WRITE-OFFS";#N/A,#N/A,FALSE,"INVENTORY ACTIVITY";#N/A,#N/A,FALSE,"INVENTORY TEST COUNT";#N/A,#N/A,FALSE,"GROSS MARGIN ANALYSIS";#N/A,#N/A,FALSE,"UNIT COST ANALYSIS";#N/A,#N/A,FALSE,"FIXED ASSETS";#N/A,#N/A,FALSE,"AP AGING";#N/A,#N/A,FALSE,"AP CONCENTRATION";#N/A,#N/A,FALSE,"PAYROLL &amp; OTHER TAXES";#N/A,#N/A,FALSE,"BANK INFORMATION";#N/A,#N/A,FALSE,"NOTES AND CONTRACTS RECEIVABLE";#N/A,#N/A,FALSE,"NOTES PAYABLE &amp; CONTINGENT LIAB"}</definedName>
    <definedName function="false" hidden="true" name="wrn.Statements." vbProcedure="false">{"Statements",#N/A,TRUE,"Income Statement";"Statements",#N/A,TRUE,"Cash Flow Statement";"Statements",#N/A,TRUE,"Balance Sheet ";#N/A,#N/A,TRUE,"Revenue Data Table";#N/A,#N/A,TRUE,"Costs &amp; Expenses Data Table";#N/A,#N/A,TRUE,"Cash Flow Data Table ";#N/A,#N/A,TRUE,"Shor-term Interest Expense"}</definedName>
    <definedName function="false" hidden="false" name="wrn.sum." vbProcedure="false">{"Opsys",#N/A,FALSE,"NPV_OPsys";"NT",#N/A,FALSE,"NPV_NT";"DevP",#N/A,FALSE,"NPV_DevPdt";"Office",#N/A,FALSE,"NPV_Office"}</definedName>
    <definedName function="false" hidden="false"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true" name="wrn.Summary." vbProcedure="false">{#N/A,#N/A,FALSE,"Deal Summary";#N/A,#N/A,FALSE,"CGIC &amp;PLICO Results";#N/A,#N/A,FALSE,"Consolidated Results";#N/A,#N/A,FALSE,"Consolidated Source_Uses&amp;Debt ";#N/A,#N/A,FALSE,"Bal_Sht";#N/A,#N/A,FALSE,"Income Statement";#N/A,#N/A,FALSE,"Accretion_Dilution";#N/A,#N/A,FALSE,"Matrix";#N/A,#N/A,FALSE,"Purchase_sensitivity"}</definedName>
    <definedName function="false" hidden="true" name="wrn.SUMMARY._.ASSEM._.EXP." vbProcedure="false">{"TOTALASSEMBLYEXPENSE",#N/A,FALSE,"MANUFACTURING EXPENSE SUMMARY"}</definedName>
    <definedName function="false" hidden="true" name="wrn.SUMMARY._.FAB._.I._.EXP." vbProcedure="false">{"TOTALWAFERFABEXPENSE",#N/A,FALSE,"MANUFACTURING EXPENSE SUMMARY"}</definedName>
    <definedName function="false" hidden="true" name="wrn.SUMMARY._.FAB._.II._.EXP." vbProcedure="false">{"TOTALWAFERFAB2EXPENSE",#N/A,FALSE,"MANUFACTURING EXPENSE SUMMARY"}</definedName>
    <definedName function="false" hidden="true" name="wrn.SUMMARY._.FACIL._.EXP." vbProcedure="false">{"TOTALFACILITIESEXPENSE",#N/A,FALSE,"MANUFACTURING EXPENSE SUMMARY"}</definedName>
    <definedName function="false" hidden="true" name="wrn.SUMMARY._.MATLS._.EXP." vbProcedure="false">{"TOTALMATERIALSEXPENSE",#N/A,FALSE,"MANUFACTURING EXPENSE SUMMARY"}</definedName>
    <definedName function="false" hidden="true" name="wrn.SUMMARY._.QR._.EXP." vbProcedure="false">{"TOTALQAEXPENSE",#N/A,FALSE,"MANUFACTURING EXPENSE SUMMARY"}</definedName>
    <definedName function="false" hidden="true" name="wrn.Summary._.Report." vbProcedure="false">{#N/A,#N/A,FALSE,"Cover";"Summary",#N/A,FALSE,"Net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function="false" hidden="true" name="wrn.SUMMARY._.SUBCNTRT._.EXP." vbProcedure="false">{"TOTALSUBEXPNESE",#N/A,FALSE,"MANUFACTURING EXPENSE SUMMARY"}</definedName>
    <definedName function="false" hidden="true" name="wrn.Supplemental._.Pkg.." vbProcedure="false">{#N/A,#N/A,FALSE,"Cover";#N/A,#N/A,FALSE,"Index";#N/A,#N/A,FALSE,"Supp. A";#N/A,#N/A,FALSE,"Supp. B";#N/A,#N/A,FALSE,"Supp. C";#N/A,#N/A,FALSE,"Supp. D";#N/A,#N/A,FALSE,"Supp. E";#N/A,#N/A,FALSE,"Supp. F";#N/A,#N/A,FALSE,"Supp. G";#N/A,#N/A,FALSE,"Supp. H";#N/A,#N/A,FALSE,"Supp. I";#N/A,#N/A,FALSE,"Supp. J";#N/A,#N/A,FALSE,"Supp. K";#N/A,#N/A,FALSE,"Supp. L"}</definedName>
    <definedName function="false" hidden="true" name="wrn.SWITCH." vbProcedure="false">{"SWITCH",#N/A,FALSE,"REVENUE AND GM "}</definedName>
    <definedName function="false" hidden="true" name="wrn.Taxes." vbProcedure="false">{"Def Tax Long",#N/A,TRUE,"Financials";"Def Tax Short",#N/A,TRUE,"Financials";"Cons Tax Sched",#N/A,TRUE,"Financials"}</definedName>
    <definedName function="false" hidden="false" name="wrn.test." vbProcedure="false">{#N/A,#N/A,TRUE,"stops- rsrvs";#N/A,#N/A,TRUE,"P&amp;L phoenix";#N/A,#N/A,TRUE,"BS phoenix";#N/A,#N/A,TRUE,"P&amp;L columbus";#N/A,#N/A,TRUE,"BS columbus"}</definedName>
    <definedName function="false" hidden="true" name="wrn.Things." vbProcedure="false">{#N/A,#N/A,FALSE,"Bank Rec Cover Sheet";#N/A,#N/A,FALSE,"Bank Rec Details"}</definedName>
    <definedName function="false" hidden="tru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tru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true" name="wrn.Total._.Business." vbProcedure="fals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function="false" hidden="true" name="wrn.TOTAL._.FAB._.2._.EXPENSE." vbProcedure="false">{"TOTALFAB",#N/A,FALSE,"WAFER FAB 2 EXPENSE"}</definedName>
    <definedName function="false" hidden="true" name="wrn.Total._.Market._.Report." vbProcedure="false">{#N/A,#N/A,FALSE,"Sales Graph";#N/A,#N/A,FALSE,"BUC Graph";#N/A,#N/A,FALSE,"P&amp;L - YTD"}</definedName>
    <definedName function="false" hidden="true" name="wrn.TransPrcd_123." vbProcedure="false">{#N/A,#N/A,TRUE,"TransPrcd 1";#N/A,#N/A,TRUE,"TransPrcd 2";#N/A,#N/A,TRUE,"TransPrcd 3"}</definedName>
    <definedName function="false" hidden="true" name="wrn.t_cash." vbProcedure="false">{"cash_tes",#N/A,FALSE,"dec95cr.xls"}</definedName>
    <definedName function="false" hidden="true" name="wrn.UHCO._.Statutory._.Results." vbProcedure="false">{#N/A,#N/A,FALSE,"UHCO Statutory Info ----&gt;";#N/A,#N/A,FALSE,"UHCO Source_Use";#N/A,#N/A,FALSE,"UHCO_Debt Paydown";#N/A,#N/A,FALSE,"Union Bankers";#N/A,#N/A,FALSE,"Penn Life";#N/A,#N/A,FALSE,"Constitution"}</definedName>
    <definedName function="false" hidden="false" name="wrn.upstairs." vbProcedure="false">{"histincome",#N/A,FALSE,"hyfins";"closing balance",#N/A,FALSE,"hyfins"}</definedName>
    <definedName function="false" hidden="true" name="wrn.USD._.COST." vbProcedure="false">{"USDCOST",#N/A,FALSE,"FC-3 "}</definedName>
    <definedName function="false" hidden="true" name="wrn.USD._.FC3." vbProcedure="false">{"USDFC3",#N/A,FALSE,"FC-3 "}</definedName>
    <definedName function="false" hidden="true" name="wrn.VALUATION." vbProcedure="false">{#N/A,#N/A,FALSE,"Pooling";#N/A,#N/A,FALSE,"income";#N/A,#N/A,FALSE,"valuation"}</definedName>
    <definedName function="false" hidden="false" name="wrn.Valuation._.Committee." vbProcedure="false">{42,42,TRUE,"Cover";42,42,TRUE,"Macro Assumptions";42,42,TRUE,"Tariffs DTe";42,42,TRUE,"2000 Revenues";42,42,TRUE,"Initial RAB";42,42,TRUE,"inflated RAB";42,42,TRUE,"Budget TenneT";42,42,TRUE,"Revenues";42,42,TRUE,"Operating Expenses";42,42,TRUE,"Energy &amp; Power";42,42,TRUE,"Grid Costs";42,42,TRUE,"TPA";42,42,TRUE,"Maintenance";42,42,TRUE,"Personnel";42,42,TRUE,"General";42,42,TRUE,"Depr";42,42,TRUE,"P&amp;L";42,42,TRUE,"Fixed Assets_Sum";42,42,TRUE,"Assumptions";42,42,TRUE,"FA";42,42,TRUE,"CapEx";42,42,TRUE,"Work in Progress";42,42,TRUE,"Working Capital";42,42,TRUE,"Cash";42,42,TRUE,"Equity";42,42,TRUE,"Provisions";42,42,TRUE,"Debt";42,42,TRUE,"BS";42,42,TRUE,"CF";42,42,TRUE,"Lines";42,42,TRUE,"Stations";42,42,TRUE,"Cap. Expenses";42,42,TRUE,"Land";42,42,TRUE,"Cen Proces Sys";42,42,TRUE,"IT";42,42,TRUE,"telecom";42,42,TRUE,"Other";42,42,TRUE,"WACC_DTe_pre";42,42,TRUE,"WACC_DTe_post";42,42,TRUE,"Wacc";42,42,TRUE,"DCF EBITDA Multiple";42,42,TRUE,"DCF Perpetual Growth";42,42,TRUE,"RAB (DTe)";42,42,TRUE,"P&amp;L (2)";42,42,TRUE,"TComps"}</definedName>
    <definedName function="false" hidden="true" name="wrn.Wacortg96." vbProcedure="false">{#N/A,#N/A,FALSE,"Summary of Monthly Billing";#N/A,#N/A,FALSE,"Narrative  ";#N/A,#N/A,FALSE,"Exp Analysis - RX";#N/A,#N/A,FALSE,"Experience Analysis for Funding";#N/A,#N/A,FALSE,"Development of Funding Reqrmnts";#N/A,#N/A,FALSE,"SFGP Factor Calculation";#N/A,#N/A,FALSE,"Official Notification Letter"}</definedName>
    <definedName function="false" hidden="true" name="wrn.Washington._.4._.Plans." vbProcedure="false">{#N/A,#N/A,FALSE,"Washington Plan 1";#N/A,#N/A,FALSE,"Washington Plan 2";#N/A,#N/A,FALSE,"Washington Plan 3";#N/A,#N/A,FALSE,"Washington Plan 4";#N/A,#N/A,FALSE,"WA 50th";#N/A,#N/A,FALSE,"Summary"}</definedName>
    <definedName function="false" hidden="tru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true" name="wrn.wicor." vbProcedure="false">{#N/A,#N/A,FALSE,"FACTSHEETS";#N/A,#N/A,FALSE,"pump";#N/A,#N/A,FALSE,"filter"}</definedName>
    <definedName function="false" hidden="true" name="wrn.Workpapers." vbProcedure="false">{"working_capital_all",#N/A,FALSE,"Summary";"royalty_source",#N/A,FALSE,"Summary";"WARA",#N/A,FALSE,"Summary";"Asset_Summary",#N/A,FALSE,"Summary";"workforce1",#N/A,FALSE,"Summary";"Revenue_Detail",#N/A,FALSE,"Summary";"workforce2",#N/A,FALSE,"Summary";"workforce3",#N/A,FALSE,"Summary"}</definedName>
    <definedName function="false" hidden="true" name="wrn.WW._.PROFIT._.AND._.LOSS." vbProcedure="false">{#N/A,#N/A,FALSE,"notes";#N/A,#N/A,FALSE,"Perform";#N/A,#N/A,FALSE,"Graphs";#N/A,#N/A,FALSE,"FAMILIES GRAPHS";#N/A,#N/A,FALSE,"WWP&amp;Lsum";#N/A,#N/A,FALSE,"WWP&amp;Lfam";#N/A,#N/A,FALSE,"SALCOMP"}</definedName>
    <definedName function="false" hidden="true" name="wrn.Year._.End._.Reporting._.Pkg.." vbProcedure="false">{#N/A,#N/A,FALSE,"Front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function="false" hidden="true" name="wrn.YEAR._.TO._.DATE." vbProcedure="false">{"YEAR TO DATE",#N/A,FALSE,"YTD"}</definedName>
    <definedName function="false" hidden="true" name="wrn.דוח_מרכז." vbProcedure="false">{"רווח והפסד",#N/A,FALSE,"תכנית לבנק (2)";"באור_ראשון",#N/A,FALSE,"תכנית לבנק (2)";"באור_שני",#N/A,FALSE,"תכנית לבנק (2)";"מכירות",#N/A,FALSE,"SALES"}</definedName>
    <definedName function="false" hidden="true" name="wrn.הערות._.רבעון._.3." vbProcedure="false">{"הערות",#N/A,FALSE,"תקציב מול ביצוע (2)"}</definedName>
    <definedName function="false" hidden="true" name="wrn.השקעות." vbProcedure="false">{"השקעות",#N/A,FALSE,"investments";"מפעל חדש",#N/A,FALSE,"nf"}</definedName>
    <definedName function="false" hidden="tru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true" name="wrn.מאזן." vbProcedure="false">{"מאזן",#N/A,FALSE,"מאזן בוחן"}</definedName>
    <definedName function="false" hidden="true" name="wrn.מאזן_בוחן_כללי." vbProcedure="false">{#N/A,#N/A,FALSE,"מאזן בוחן";"כל_מאזן_בוחן",#N/A,FALSE,"מאזן בוחן"}</definedName>
    <definedName function="false" hidden="true" name="wrn.מופ." vbProcedure="false">{"באור_מופ",#N/A,FALSE,"R&amp;D";"מופ_לפי_מוצרים",#N/A,FALSE,"R&amp;D"}</definedName>
    <definedName function="false" hidden="tru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true" name="wrn1.total" vbProcedure="false">{#N/A,#N/A,FALSE,"US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function="false" hidden="false" name="wrn3.ALL." vbProcedure="false">{#N/A,#N/A,FALSE,"DCF";#N/A,#N/A,FALSE,"WACC";#N/A,#N/A,FALSE,"Sales_EBIT";#N/A,#N/A,FALSE,"Capex_Depreciation";#N/A,#N/A,FALSE,"WC";#N/A,#N/A,FALSE,"Interest";#N/A,#N/A,FALSE,"Assumptions"}</definedName>
    <definedName function="false" hidden="false" name="wrnfy97" vbProcedure="false">{#N/A,#N/A,FALSE,"FY97";#N/A,#N/A,FALSE,"FY98";#N/A,#N/A,FALSE,"FY99";#N/A,#N/A,FALSE,"FY00";#N/A,#N/A,FALSE,"FY01"}</definedName>
    <definedName function="false" hidden="true" name="wss" vbProcedure="false">#REF!</definedName>
    <definedName function="false" hidden="false" name="wt" vbProcedure="false">{#N/A,#N/A,FALSE,"FY97";#N/A,#N/A,FALSE,"FY98";#N/A,#N/A,FALSE,"FY99";#N/A,#N/A,FALSE,"FY00";#N/A,#N/A,FALSE,"FY01"}</definedName>
    <definedName function="false" hidden="true" name="wtvr" vbProcedure="false">{#N/A,#N/A,TRUE,"Hist &amp; Proj BS 98-02";#N/A,#N/A,TRUE,"Hist &amp; Proj IS 98-02";#N/A,#N/A,TRUE,"Hist &amp; Proj Oper Exp 98-02";#N/A,#N/A,TRUE,"Hist &amp; Proj CF 99-02";#N/A,#N/A,TRUE,"Mnthly Cash 99";#N/A,#N/A,TRUE,"Mnthly Cash 00";#N/A,#N/A,TRUE,"Mnthly Cash 01";#N/A,#N/A,TRUE,"Mnthly Cash 02";#N/A,#N/A,TRUE,"Mnthly IS 99";#N/A,#N/A,TRUE,"Mnthly IS 00";#N/A,#N/A,TRUE,"Mnthly IS 01";#N/A,#N/A,TRUE,"Mnthly IS 02"}</definedName>
    <definedName function="false" hidden="false" name="wvu.ALL."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false" name="wvu.all3"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true" name="wvu.Analysis1H95." vbProcedure="false">{TRUE,TRUE,-1.25,-15.5,484.5,276.75,FALSE,TRUE,TRUE,TRUE,0,112,#N/A,156,#N/A,14.21875,18.2941176470588,1,FALSE,FALSE,3,TRUE,1,FALSE,100,"Swvu.Analysis1H95.","ACwvu.Analysis1H95.",#N/A,FALSE,FALSE,0.5,0,0,0,2,"","",TRUE,TRUE,FALSE,FALSE,1,#N/A,1,1,"=R130C94:R170C123",FALSE,"Rwvu.Analysis1H95.",#N/A,FALSE,FALSE,FALSE,1,65532,65532,FALSE,FALSE,TRUE,TRUE,TRUE}</definedName>
    <definedName function="false" hidden="true" name="wvu.Analysis1Q95." vbProcedure="false">{TRUE,TRUE,-1.25,-15.5,484.5,276.75,FALSE,TRUE,TRUE,TRUE,0,111,#N/A,58,#N/A,14.21875,18.8888888888889,1,FALSE,FALSE,3,TRUE,1,FALSE,100,"Swvu.Analysis1Q95.","ACwvu.Analysis1Q95.",#N/A,FALSE,FALSE,0.5,0,0,0,2,"","",TRUE,TRUE,FALSE,FALSE,1,#N/A,1,1,"=R130C94:R170C123",FALSE,"Rwvu.Analysis1Q95.",#N/A,FALSE,FALSE,FALSE,1,65532,65532,FALSE,FALSE,TRUE,TRUE,TRUE}</definedName>
    <definedName function="false" hidden="true" name="wvu.Analysis2Q95." vbProcedure="false">{TRUE,TRUE,-1.25,-15.5,484.5,276.75,FALSE,TRUE,TRUE,TRUE,0,111,#N/A,120,#N/A,14.21875,17.9411764705882,1,FALSE,FALSE,3,TRUE,1,FALSE,100,"Swvu.Analysis2Q95.","ACwvu.Analysis2Q95.",#N/A,FALSE,FALSE,0.5,0,0,0,2,"","",TRUE,TRUE,FALSE,FALSE,1,#N/A,1,1,"=R130C94:R170C123",FALSE,"Rwvu.Analysis2Q95.",#N/A,FALSE,FALSE,FALSE,1,65532,65532,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wvu.Margin._.Summary." vbProcedure="false">{TRUE,TRUE,-1.25,-15.5,484.5,276.75,FALSE,TRUE,TRUE,TRUE,0,91,#N/A,33,#N/A,11.575,18.8823529411765,1,FALSE,FALSE,3,TRUE,1,FALSE,100,"Swvu.Margin._.Summary.","ACwvu.Margin._.Summary.",#N/A,FALSE,FALSE,0.5,0,0,0,2,"","",TRUE,TRUE,FALSE,FALSE,1,#N/A,1,1,"=R130C94:R170C123",FALSE,"Rwvu.Margin._.Summary.",#N/A,FALSE,FALSE,FALSE,1,65532,65532,FALSE,FALSE,TRUE,TRUE,TRUE}</definedName>
    <definedName function="false" hidden="false" name="wvu.PRT."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wvu.prt.2"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wvu.prt.3"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wvu.prt2"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wvu.prt3"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w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true" name="www" vbProcedure="false">{"'xls'!$A$71:$A$78","'xls'!$A$1:$J$77"}</definedName>
    <definedName function="false" hidden="true" name="wwww" vbProcedure="false">#REF!</definedName>
    <definedName function="false" hidden="false" name="x" vbProcedure="false">{#N/A,#N/A,FALSE,"FY97";#N/A,#N/A,FALSE,"FY98";#N/A,#N/A,FALSE,"FY99";#N/A,#N/A,FALSE,"FY00";#N/A,#N/A,FALSE,"FY01"}</definedName>
    <definedName function="false" hidden="true" name="xcd" vbProcedure="false">{#N/A,#N/A,FALSE,"AE detail rpt"}</definedName>
    <definedName function="false" hidden="true" name="xcvbnm" vbProcedure="false">{"cash_tes",#N/A,FALSE,"dec95cr.xls"}</definedName>
    <definedName function="false" hidden="true" name="xde" vbProcedure="false">{"FY97Total",#N/A,FALSE,"FY97 - Total";"FY98Total",#N/A,FALSE,"FY98 - Total"}</definedName>
    <definedName function="false" hidden="true" name="xdif_RefreshIncludeLists" vbProcedure="false">FALSE()</definedName>
    <definedName function="false" hidden="true" name="XRefActiveRow" vbProcedure="false">#REF!</definedName>
    <definedName function="false" hidden="false" name="XRefColumnsCount" vbProcedure="false">4</definedName>
    <definedName function="false" hidden="true" name="XRefCopy1" vbProcedure="false">#REF!</definedName>
    <definedName function="false" hidden="true" name="XRefCopy10" vbProcedure="false">#REF!</definedName>
    <definedName function="false" hidden="true" name="XRefCopy10Row" vbProcedure="false">#REF!</definedName>
    <definedName function="false" hidden="true" name="XRefCopy11" vbProcedure="false">#REF!</definedName>
    <definedName function="false" hidden="true" name="XRefCopy11Row" vbProcedure="false">#REF!</definedName>
    <definedName function="false" hidden="true" name="XRefCopy12" vbProcedure="false">#REF!</definedName>
    <definedName function="false" hidden="true" name="XRefCopy12Row" vbProcedure="false">#REF!</definedName>
    <definedName function="false" hidden="true" name="XRefCopy13" vbProcedure="false">#REF!</definedName>
    <definedName function="false" hidden="true" name="XRefCopy13Row" vbProcedure="false">#REF!</definedName>
    <definedName function="false" hidden="true" name="XRefCopy14" vbProcedure="false">#REF!</definedName>
    <definedName function="false" hidden="true" name="XRefCopy14Row" vbProcedure="false">#REF!</definedName>
    <definedName function="false" hidden="true" name="XRefCopy15" vbProcedure="false">#REF!</definedName>
    <definedName function="false" hidden="true" name="XRefCopy15Row" vbProcedure="false">#REF!</definedName>
    <definedName function="false" hidden="true" name="XRefCopy16" vbProcedure="false">#REF!</definedName>
    <definedName function="false" hidden="true" name="XRefCopy16Row" vbProcedure="false">#REF!</definedName>
    <definedName function="false" hidden="true" name="XRefCopy17" vbProcedure="false">#REF!</definedName>
    <definedName function="false" hidden="true" name="XRefCopy17Row" vbProcedure="false">#REF!</definedName>
    <definedName function="false" hidden="true" name="XRefCopy18" vbProcedure="false">#REF!</definedName>
    <definedName function="false" hidden="true" name="XRefCopy18Row" vbProcedure="false">#REF!</definedName>
    <definedName function="false" hidden="true" name="XRefCopy19" vbProcedure="false">#REF!</definedName>
    <definedName function="false" hidden="true" name="XRefCopy19Row" vbProcedure="false">#REF!</definedName>
    <definedName function="false" hidden="true" name="XRefCopy1Row" vbProcedure="false">#REF!</definedName>
    <definedName function="false" hidden="true" name="XRefCopy2" vbProcedure="false">#REF!</definedName>
    <definedName function="false" hidden="true" name="XRefCopy20" vbProcedure="false">#REF!</definedName>
    <definedName function="false" hidden="true" name="XRefCopy20Row" vbProcedure="false">#REF!</definedName>
    <definedName function="false" hidden="true" name="XRefCopy21" vbProcedure="false">#REF!</definedName>
    <definedName function="false" hidden="true" name="XRefCopy21Row" vbProcedure="false">#REF!</definedName>
    <definedName function="false" hidden="true" name="XRefCopy22" vbProcedure="false">#REF!</definedName>
    <definedName function="false" hidden="true" name="XRefCopy22Row" vbProcedure="false">#REF!</definedName>
    <definedName function="false" hidden="true" name="XRefCopy23" vbProcedure="false">#REF!</definedName>
    <definedName function="false" hidden="true" name="XRefCopy23Row" vbProcedure="false">#REF!</definedName>
    <definedName function="false" hidden="true" name="XRefCopy24" vbProcedure="false">#REF!</definedName>
    <definedName function="false" hidden="true" name="XRefCopy24Row" vbProcedure="false">#REF!</definedName>
    <definedName function="false" hidden="true" name="XRefCopy25" vbProcedure="false">#REF!</definedName>
    <definedName function="false" hidden="true" name="XRefCopy25Row" vbProcedure="false">#REF!</definedName>
    <definedName function="false" hidden="true" name="XRefCopy26" vbProcedure="false">#REF!</definedName>
    <definedName function="false" hidden="true" name="XRefCopy26Row" vbProcedure="false">#REF!</definedName>
    <definedName function="false" hidden="true" name="XRefCopy27" vbProcedure="false">#REF!</definedName>
    <definedName function="false" hidden="true" name="XRefCopy27Row" vbProcedure="false">#REF!</definedName>
    <definedName function="false" hidden="true" name="XRefCopy28" vbProcedure="false">#REF!</definedName>
    <definedName function="false" hidden="true" name="XRefCopy28Row" vbProcedure="false">#REF!</definedName>
    <definedName function="false" hidden="true" name="XRefCopy29" vbProcedure="false">#REF!</definedName>
    <definedName function="false" hidden="true" name="XRefCopy29Row" vbProcedure="false">#REF!</definedName>
    <definedName function="false" hidden="true" name="XRefCopy2Row" vbProcedure="false">#REF!</definedName>
    <definedName function="false" hidden="true" name="XRefCopy3" vbProcedure="false">#REF!</definedName>
    <definedName function="false" hidden="true" name="XRefCopy30" vbProcedure="false">#REF!</definedName>
    <definedName function="false" hidden="true" name="XRefCopy30Row" vbProcedure="false">#REF!</definedName>
    <definedName function="false" hidden="true" name="XRefCopy31" vbProcedure="false">#REF!</definedName>
    <definedName function="false" hidden="true" name="XRefCopy31Row" vbProcedure="false">#REF!</definedName>
    <definedName function="false" hidden="true" name="XRefCopy32" vbProcedure="false">#REF!</definedName>
    <definedName function="false" hidden="true" name="XRefCopy32Row" vbProcedure="false">#REF!</definedName>
    <definedName function="false" hidden="true" name="XRefCopy33" vbProcedure="false">#REF!</definedName>
    <definedName function="false" hidden="true" name="XRefCopy33Row" vbProcedure="false">#REF!</definedName>
    <definedName function="false" hidden="true" name="XRefCopy34" vbProcedure="false">#REF!</definedName>
    <definedName function="false" hidden="true" name="XRefCopy34Row" vbProcedure="false">#REF!</definedName>
    <definedName function="false" hidden="true" name="XRefCopy35" vbProcedure="false">#REF!</definedName>
    <definedName function="false" hidden="true" name="XRefCopy35Row" vbProcedure="false">#REF!</definedName>
    <definedName function="false" hidden="true" name="XRefCopy36" vbProcedure="false">#REF!</definedName>
    <definedName function="false" hidden="true" name="XRefCopy36Row" vbProcedure="false">#REF!</definedName>
    <definedName function="false" hidden="true" name="XRefCopy37" vbProcedure="false">#REF!</definedName>
    <definedName function="false" hidden="true" name="XRefCopy37Row" vbProcedure="false">#REF!</definedName>
    <definedName function="false" hidden="true" name="XRefCopy38" vbProcedure="false">#REF!</definedName>
    <definedName function="false" hidden="true" name="XRefCopy38Row" vbProcedure="false">#REF!</definedName>
    <definedName function="false" hidden="true" name="XRefCopy39" vbProcedure="false">#REF!</definedName>
    <definedName function="false" hidden="true" name="XRefCopy39Row" vbProcedure="false">#REF!</definedName>
    <definedName function="false" hidden="true" name="XRefCopy3Row" vbProcedure="false">#REF!</definedName>
    <definedName function="false" hidden="true" name="XRefCopy4" vbProcedure="false">#REF!</definedName>
    <definedName function="false" hidden="true" name="XRefCopy40" vbProcedure="false">#REF!</definedName>
    <definedName function="false" hidden="true" name="XRefCopy40Row" vbProcedure="false">#REF!</definedName>
    <definedName function="false" hidden="true" name="XRefCopy41" vbProcedure="false">#REF!</definedName>
    <definedName function="false" hidden="true" name="XRefCopy41Row" vbProcedure="false">#REF!</definedName>
    <definedName function="false" hidden="true" name="XRefCopy42" vbProcedure="false">#REF!</definedName>
    <definedName function="false" hidden="true" name="XRefCopy42Row" vbProcedure="false">#REF!</definedName>
    <definedName function="false" hidden="true" name="XRefCopy43" vbProcedure="false">#REF!</definedName>
    <definedName function="false" hidden="true" name="XRefCopy43Row" vbProcedure="false">#REF!</definedName>
    <definedName function="false" hidden="true" name="XRefCopy44" vbProcedure="false">#REF!</definedName>
    <definedName function="false" hidden="true" name="XRefCopy44Row" vbProcedure="false">#REF!</definedName>
    <definedName function="false" hidden="true" name="XRefCopy45" vbProcedure="false">#REF!</definedName>
    <definedName function="false" hidden="true" name="XRefCopy45Row" vbProcedure="false">#REF!</definedName>
    <definedName function="false" hidden="true" name="XRefCopy46" vbProcedure="false">#REF!</definedName>
    <definedName function="false" hidden="true" name="XRefCopy46Row" vbProcedure="false">#REF!</definedName>
    <definedName function="false" hidden="true" name="XRefCopy47" vbProcedure="false">#REF!</definedName>
    <definedName function="false" hidden="true" name="XRefCopy47Row" vbProcedure="false">#REF!</definedName>
    <definedName function="false" hidden="true" name="XRefCopy48" vbProcedure="false">#REF!</definedName>
    <definedName function="false" hidden="true" name="XRefCopy48Row" vbProcedure="false">#REF!</definedName>
    <definedName function="false" hidden="true" name="XRefCopy49" vbProcedure="false">#REF!</definedName>
    <definedName function="false" hidden="true" name="XRefCopy49Row" vbProcedure="false">#REF!</definedName>
    <definedName function="false" hidden="true" name="XRefCopy4Row" vbProcedure="false">#REF!</definedName>
    <definedName function="false" hidden="true" name="XRefCopy5" vbProcedure="false">#REF!</definedName>
    <definedName function="false" hidden="true" name="XRefCopy50" vbProcedure="false">#REF!</definedName>
    <definedName function="false" hidden="true" name="XRefCopy50Row" vbProcedure="false">#REF!</definedName>
    <definedName function="false" hidden="true" name="XRefCopy51" vbProcedure="false">#REF!</definedName>
    <definedName function="false" hidden="true" name="XRefCopy51Row" vbProcedure="false">#REF!</definedName>
    <definedName function="false" hidden="true" name="XRefCopy52" vbProcedure="false">#REF!</definedName>
    <definedName function="false" hidden="true" name="XRefCopy52Row" vbProcedure="false">#REF!</definedName>
    <definedName function="false" hidden="true" name="XRefCopy53" vbProcedure="false">#REF!</definedName>
    <definedName function="false" hidden="true" name="XRefCopy53Row" vbProcedure="false">#REF!</definedName>
    <definedName function="false" hidden="true" name="XRefCopy54" vbProcedure="false">#REF!</definedName>
    <definedName function="false" hidden="true" name="XRefCopy54Row" vbProcedure="false">#REF!</definedName>
    <definedName function="false" hidden="true" name="XRefCopy55" vbProcedure="false">#REF!</definedName>
    <definedName function="false" hidden="true" name="XRefCopy55Row" vbProcedure="false">#REF!</definedName>
    <definedName function="false" hidden="true" name="XRefCopy56" vbProcedure="false">#REF!</definedName>
    <definedName function="false" hidden="true" name="XRefCopy56Row" vbProcedure="false">#REF!</definedName>
    <definedName function="false" hidden="true" name="XRefCopy57" vbProcedure="false">#REF!</definedName>
    <definedName function="false" hidden="true" name="XRefCopy57Row" vbProcedure="false">#REF!</definedName>
    <definedName function="false" hidden="true" name="XRefCopy58" vbProcedure="false">#REF!</definedName>
    <definedName function="false" hidden="true" name="XRefCopy59" vbProcedure="false">#REF!</definedName>
    <definedName function="false" hidden="true" name="XRefCopy59Row" vbProcedure="false">#REF!</definedName>
    <definedName function="false" hidden="true" name="XRefCopy5Row" vbProcedure="false">#REF!</definedName>
    <definedName function="false" hidden="true" name="XRefCopy6" vbProcedure="false">#REF!</definedName>
    <definedName function="false" hidden="true" name="XRefCopy60" vbProcedure="false">#REF!</definedName>
    <definedName function="false" hidden="true" name="XRefCopy60Row" vbProcedure="false">#REF!</definedName>
    <definedName function="false" hidden="true" name="XRefCopy65" vbProcedure="false">#REF!</definedName>
    <definedName function="false" hidden="true" name="XRefCopy66Row" vbProcedure="false">#REF!</definedName>
    <definedName function="false" hidden="true" name="XRefCopy67Row" vbProcedure="false">#REF!</definedName>
    <definedName function="false" hidden="true" name="XRefCopy68Row" vbProcedure="false">#REF!</definedName>
    <definedName function="false" hidden="true" name="XRefCopy6Row" vbProcedure="false">#REF!</definedName>
    <definedName function="false" hidden="true" name="XRefCopy7" vbProcedure="false">#REF!</definedName>
    <definedName function="false" hidden="true" name="XRefCopy73Row" vbProcedure="false">#REF!</definedName>
    <definedName function="false" hidden="true" name="XRefCopy74Row" vbProcedure="false">#REF!</definedName>
    <definedName function="false" hidden="true" name="XRefCopy75Row" vbProcedure="false">#REF!</definedName>
    <definedName function="false" hidden="true" name="XRefCopy76Row" vbProcedure="false">#REF!</definedName>
    <definedName function="false" hidden="true" name="XRefCopy77Row" vbProcedure="false">#REF!</definedName>
    <definedName function="false" hidden="true" name="XRefCopy78Row" vbProcedure="false">#REF!</definedName>
    <definedName function="false" hidden="true" name="XRefCopy79Row" vbProcedure="false">#REF!</definedName>
    <definedName function="false" hidden="true" name="XRefCopy7Row" vbProcedure="false">#REF!</definedName>
    <definedName function="false" hidden="true" name="XRefCopy8" vbProcedure="false">#REF!</definedName>
    <definedName function="false" hidden="true" name="XRefCopy80Row" vbProcedure="false">#REF!</definedName>
    <definedName function="false" hidden="true" name="XRefCopy81Row" vbProcedure="false">#REF!</definedName>
    <definedName function="false" hidden="true" name="XRefCopy82Row" vbProcedure="false">#REF!</definedName>
    <definedName function="false" hidden="true" name="XRefCopy83Row" vbProcedure="false">#REF!</definedName>
    <definedName function="false" hidden="true" name="XRefCopy85Row" vbProcedure="false">#REF!</definedName>
    <definedName function="false" hidden="true" name="XRefCopy8Row" vbProcedure="false">#REF!</definedName>
    <definedName function="false" hidden="true" name="XRefCopy9" vbProcedure="false">#REF!</definedName>
    <definedName function="false" hidden="true" name="XRefCopy9Row" vbProcedure="false">#REF!</definedName>
    <definedName function="false" hidden="false" name="XRefCopyRangeCount" vbProcedure="false">8</definedName>
    <definedName function="false" hidden="true" name="XRefPaste1" vbProcedure="false">#REF!</definedName>
    <definedName function="false" hidden="true" name="XRefPaste10" vbProcedure="false">#REF!</definedName>
    <definedName function="false" hidden="true" name="XRefPaste10Row" vbProcedure="false">#REF!</definedName>
    <definedName function="false" hidden="true" name="XRefPaste11" vbProcedure="false">#REF!</definedName>
    <definedName function="false" hidden="true" name="XRefPaste11Row" vbProcedure="false">#REF!</definedName>
    <definedName function="false" hidden="true" name="XRefPaste12" vbProcedure="false">#REF!</definedName>
    <definedName function="false" hidden="true" name="XRefPaste12Row" vbProcedure="false">#REF!</definedName>
    <definedName function="false" hidden="true" name="XRefPaste13" vbProcedure="false">#REF!</definedName>
    <definedName function="false" hidden="true" name="XRefPaste13Row" vbProcedure="false">#REF!</definedName>
    <definedName function="false" hidden="true" name="XRefPaste14" vbProcedure="false">#REF!</definedName>
    <definedName function="false" hidden="true" name="XRefPaste14Row" vbProcedure="false">#REF!</definedName>
    <definedName function="false" hidden="true" name="XRefPaste15" vbProcedure="false">#REF!</definedName>
    <definedName function="false" hidden="true" name="XRefPaste15Row" vbProcedure="false">#REF!</definedName>
    <definedName function="false" hidden="true" name="XRefPaste16" vbProcedure="false">#REF!</definedName>
    <definedName function="false" hidden="true" name="XRefPaste16Row" vbProcedure="false">#REF!</definedName>
    <definedName function="false" hidden="true" name="XRefPaste17" vbProcedure="false">#REF!</definedName>
    <definedName function="false" hidden="true" name="XRefPaste17Row" vbProcedure="false">#REF!</definedName>
    <definedName function="false" hidden="true" name="XRefPaste18" vbProcedure="false">#REF!</definedName>
    <definedName function="false" hidden="true" name="XRefPaste18Row" vbProcedure="false">#REF!</definedName>
    <definedName function="false" hidden="true" name="XRefPaste19" vbProcedure="false">#REF!</definedName>
    <definedName function="false" hidden="true" name="XRefPaste19Row" vbProcedure="false">#REF!</definedName>
    <definedName function="false" hidden="true" name="XRefPaste1Row" vbProcedure="false">#REF!</definedName>
    <definedName function="false" hidden="true" name="XRefPaste2" vbProcedure="false">#REF!</definedName>
    <definedName function="false" hidden="true" name="XRefPaste20" vbProcedure="false">#REF!</definedName>
    <definedName function="false" hidden="true" name="XRefPaste20Row" vbProcedure="false">#REF!</definedName>
    <definedName function="false" hidden="true" name="XRefPaste21" vbProcedure="false">#REF!</definedName>
    <definedName function="false" hidden="true" name="XRefPaste21Row" vbProcedure="false">#REF!</definedName>
    <definedName function="false" hidden="true" name="XRefPaste22" vbProcedure="false">#REF!</definedName>
    <definedName function="false" hidden="true" name="XRefPaste22Row" vbProcedure="false">#REF!</definedName>
    <definedName function="false" hidden="true" name="XRefPaste23" vbProcedure="false">#REF!</definedName>
    <definedName function="false" hidden="true" name="XRefPaste23Row" vbProcedure="false">#REF!</definedName>
    <definedName function="false" hidden="true" name="XRefPaste24" vbProcedure="false">#REF!</definedName>
    <definedName function="false" hidden="true" name="XRefPaste24Row" vbProcedure="false">#REF!</definedName>
    <definedName function="false" hidden="true" name="XRefPaste25" vbProcedure="false">#REF!</definedName>
    <definedName function="false" hidden="true" name="XRefPaste25Row" vbProcedure="false">#REF!</definedName>
    <definedName function="false" hidden="true" name="XRefPaste26" vbProcedure="false">#REF!</definedName>
    <definedName function="false" hidden="true" name="XRefPaste26Row" vbProcedure="false">#REF!</definedName>
    <definedName function="false" hidden="true" name="XRefPaste27" vbProcedure="false">#REF!</definedName>
    <definedName function="false" hidden="true" name="XRefPaste27Row" vbProcedure="false">#REF!</definedName>
    <definedName function="false" hidden="true" name="XRefPaste28" vbProcedure="false">#REF!</definedName>
    <definedName function="false" hidden="true" name="XRefPaste28Row" vbProcedure="false">#REF!</definedName>
    <definedName function="false" hidden="true" name="XRefPaste29" vbProcedure="false">#REF!</definedName>
    <definedName function="false" hidden="true" name="XRefPaste29Row" vbProcedure="false">#REF!</definedName>
    <definedName function="false" hidden="true" name="XRefPaste2Row" vbProcedure="false">#REF!</definedName>
    <definedName function="false" hidden="true" name="XRefPaste3" vbProcedure="false">#REF!</definedName>
    <definedName function="false" hidden="true" name="XRefPaste30" vbProcedure="false">#REF!</definedName>
    <definedName function="false" hidden="true" name="XRefPaste30Row" vbProcedure="false">#REF!</definedName>
    <definedName function="false" hidden="true" name="XRefPaste31" vbProcedure="false">#REF!</definedName>
    <definedName function="false" hidden="true" name="XRefPaste31Row" vbProcedure="false">#REF!</definedName>
    <definedName function="false" hidden="true" name="XRefPaste32" vbProcedure="false">#REF!</definedName>
    <definedName function="false" hidden="true" name="XRefPaste32Row" vbProcedure="false">#REF!</definedName>
    <definedName function="false" hidden="true" name="XRefPaste33" vbProcedure="false">#REF!</definedName>
    <definedName function="false" hidden="true" name="XRefPaste33Row" vbProcedure="false">#REF!</definedName>
    <definedName function="false" hidden="true" name="XRefPaste34" vbProcedure="false">#REF!</definedName>
    <definedName function="false" hidden="true" name="XRefPaste34Row" vbProcedure="false">#REF!</definedName>
    <definedName function="false" hidden="true" name="XRefPaste35" vbProcedure="false">#REF!</definedName>
    <definedName function="false" hidden="true" name="XRefPaste35Row" vbProcedure="false">#REF!</definedName>
    <definedName function="false" hidden="true" name="XRefPaste36" vbProcedure="false">#REF!</definedName>
    <definedName function="false" hidden="true" name="XRefPaste36Row" vbProcedure="false">#REF!</definedName>
    <definedName function="false" hidden="true" name="XRefPaste37" vbProcedure="false">#REF!</definedName>
    <definedName function="false" hidden="true" name="XRefPaste37Row" vbProcedure="false">#REF!</definedName>
    <definedName function="false" hidden="true" name="XRefPaste38" vbProcedure="false">#REF!</definedName>
    <definedName function="false" hidden="true" name="XRefPaste38Row" vbProcedure="false">#REF!</definedName>
    <definedName function="false" hidden="true" name="XRefPaste39" vbProcedure="false">#REF!</definedName>
    <definedName function="false" hidden="true" name="XRefPaste39Row" vbProcedure="false">#REF!</definedName>
    <definedName function="false" hidden="true" name="XRefPaste3Row" vbProcedure="false">#REF!</definedName>
    <definedName function="false" hidden="true" name="XRefPaste4" vbProcedure="false">#REF!</definedName>
    <definedName function="false" hidden="true" name="XRefPaste40" vbProcedure="false">#REF!</definedName>
    <definedName function="false" hidden="true" name="XRefPaste40Row" vbProcedure="false">#REF!</definedName>
    <definedName function="false" hidden="true" name="XRefPaste41Row" vbProcedure="false">#REF!</definedName>
    <definedName function="false" hidden="true" name="XRefPaste42Row" vbProcedure="false">#REF!</definedName>
    <definedName function="false" hidden="true" name="XRefPaste43Row" vbProcedure="false">#REF!</definedName>
    <definedName function="false" hidden="true" name="XRefPaste44Row" vbProcedure="false">#REF!</definedName>
    <definedName function="false" hidden="true" name="XRefPaste45Row" vbProcedure="false">#REF!</definedName>
    <definedName function="false" hidden="true" name="XRefPaste47Row" vbProcedure="false">#REF!</definedName>
    <definedName function="false" hidden="true" name="XRefPaste48" vbProcedure="false">#REF!</definedName>
    <definedName function="false" hidden="true" name="XRefPaste48Row" vbProcedure="false">#REF!</definedName>
    <definedName function="false" hidden="true" name="XRefPaste49" vbProcedure="false">#REF!</definedName>
    <definedName function="false" hidden="true" name="XRefPaste49Row" vbProcedure="false">#REF!</definedName>
    <definedName function="false" hidden="true" name="XRefPaste4Row" vbProcedure="false">#REF!</definedName>
    <definedName function="false" hidden="true" name="XRefPaste5" vbProcedure="false">#REF!</definedName>
    <definedName function="false" hidden="true" name="XRefPaste5Row" vbProcedure="false">#REF!</definedName>
    <definedName function="false" hidden="true" name="XRefPaste6" vbProcedure="false">#REF!</definedName>
    <definedName function="false" hidden="true" name="XRefPaste60" vbProcedure="false">#REF!</definedName>
    <definedName function="false" hidden="true" name="XRefPaste61" vbProcedure="false">#REF!</definedName>
    <definedName function="false" hidden="true" name="XRefPaste62" vbProcedure="false">#REF!</definedName>
    <definedName function="false" hidden="true" name="XRefPaste63" vbProcedure="false">#REF!</definedName>
    <definedName function="false" hidden="true" name="XRefPaste64" vbProcedure="false">#REF!</definedName>
    <definedName function="false" hidden="true" name="XRefPaste65" vbProcedure="false">#REF!</definedName>
    <definedName function="false" hidden="true" name="XRefPaste65Row" vbProcedure="false">#REF!</definedName>
    <definedName function="false" hidden="true" name="XRefPaste6Row" vbProcedure="false">#REF!</definedName>
    <definedName function="false" hidden="true" name="XRefPaste7" vbProcedure="false">#REF!</definedName>
    <definedName function="false" hidden="true" name="XRefPaste7Row" vbProcedure="false">#REF!</definedName>
    <definedName function="false" hidden="true" name="XRefPaste8" vbProcedure="false">#REF!</definedName>
    <definedName function="false" hidden="true" name="XRefPaste8Row" vbProcedure="false">#REF!</definedName>
    <definedName function="false" hidden="true" name="XRefPaste9" vbProcedure="false">#REF!</definedName>
    <definedName function="false" hidden="true" name="XRefPaste9Row" vbProcedure="false">#REF!</definedName>
    <definedName function="false" hidden="false" name="XRefPasteRangeCount" vbProcedure="false">2</definedName>
    <definedName function="false" hidden="true" name="XREF_COLUMN_1" vbProcedure="false">#REF!</definedName>
    <definedName function="false" hidden="true" name="XREF_COLUMN_10" vbProcedure="false">#REF!</definedName>
    <definedName function="false" hidden="true" name="XREF_COLUMN_11" vbProcedure="false">#REF!</definedName>
    <definedName function="false" hidden="true" name="XREF_COLUMN_12" vbProcedure="false">#REF!</definedName>
    <definedName function="false" hidden="true" name="XREF_COLUMN_13" vbProcedure="false">#REF!</definedName>
    <definedName function="false" hidden="true" name="XREF_COLUMN_14" vbProcedure="false">#REF!</definedName>
    <definedName function="false" hidden="true" name="XREF_COLUMN_15" vbProcedure="false">#REF!</definedName>
    <definedName function="false" hidden="true" name="XREF_COLUMN_16" vbProcedure="false">#REF!</definedName>
    <definedName function="false" hidden="true" name="XREF_COLUMN_17" vbProcedure="false">#REF!</definedName>
    <definedName function="false" hidden="true" name="XREF_COLUMN_18" vbProcedure="false">#REF!</definedName>
    <definedName function="false" hidden="true" name="XREF_COLUMN_19" vbProcedure="false">#REF!</definedName>
    <definedName function="false" hidden="true" name="XREF_COLUMN_2" vbProcedure="false">#REF!</definedName>
    <definedName function="false" hidden="true" name="XREF_COLUMN_20" vbProcedure="false">#REF!</definedName>
    <definedName function="false" hidden="true" name="XREF_COLUMN_21" vbProcedure="false">#REF!</definedName>
    <definedName function="false" hidden="true" name="XREF_COLUMN_23" vbProcedure="false">#REF!</definedName>
    <definedName function="false" hidden="true" name="XREF_COLUMN_25" vbProcedure="false">#REF!</definedName>
    <definedName function="false" hidden="true" name="XREF_COLUMN_29" vbProcedure="false">#REF!</definedName>
    <definedName function="false" hidden="true" name="XREF_COLUMN_3" vbProcedure="false">#REF!</definedName>
    <definedName function="false" hidden="true" name="XREF_COLUMN_30" vbProcedure="false">#REF!</definedName>
    <definedName function="false" hidden="true" name="XREF_COLUMN_32" vbProcedure="false">#REF!</definedName>
    <definedName function="false" hidden="true" name="XREF_COLUMN_34" vbProcedure="false">#REF!</definedName>
    <definedName function="false" hidden="true" name="XREF_COLUMN_36" vbProcedure="false">#REF!</definedName>
    <definedName function="false" hidden="true" name="XREF_COLUMN_4" vbProcedure="false">#REF!</definedName>
    <definedName function="false" hidden="true" name="XREF_COLUMN_40" vbProcedure="false">#REF!</definedName>
    <definedName function="false" hidden="true" name="XREF_COLUMN_41" vbProcedure="false">#REF!</definedName>
    <definedName function="false" hidden="true" name="XREF_COLUMN_42" vbProcedure="false">#REF!</definedName>
    <definedName function="false" hidden="true" name="XREF_COLUMN_43" vbProcedure="false">#REF!</definedName>
    <definedName function="false" hidden="true" name="XREF_COLUMN_44" vbProcedure="false">#REF!</definedName>
    <definedName function="false" hidden="true" name="XREF_COLUMN_45" vbProcedure="false">#REF!</definedName>
    <definedName function="false" hidden="true" name="XREF_COLUMN_46" vbProcedure="false">#REF!</definedName>
    <definedName function="false" hidden="true" name="XREF_COLUMN_47" vbProcedure="false">#REF!</definedName>
    <definedName function="false" hidden="true" name="XREF_COLUMN_5" vbProcedure="false">#REF!</definedName>
    <definedName function="false" hidden="true" name="XREF_COLUMN_6" vbProcedure="false">#REF!</definedName>
    <definedName function="false" hidden="true" name="XREF_COLUMN_7" vbProcedure="false">#REF!</definedName>
    <definedName function="false" hidden="true" name="XREF_COLUMN_8" vbProcedure="false">#REF!</definedName>
    <definedName function="false" hidden="true" name="XREF_COLUMN_9" vbProcedure="false">#REF!</definedName>
    <definedName function="false" hidden="true" name="xrfe" vbProcedure="false">#REF!</definedName>
    <definedName function="false" hidden="true" name="xssq" vbProcedure="false">{"FY97Q1 nvs",#N/A,FALSE,"FY97 - Q1";"FY97Q2 nvs",#N/A,FALSE,"FY97 - Q2";"FY97Q3 nvs",#N/A,FALSE,"FY97 - Q3";"FY97Q4 nvs",#N/A,FALSE,"FY97 - Q4"}</definedName>
    <definedName function="false" hidden="true" name="XXXX" vbProcedure="false">#REF!</definedName>
    <definedName function="false" hidden="false" name="xxxxx" vbProcedure="false">{#N/A,#N/A,FALSE,"Calc";#N/A,#N/A,FALSE,"Sensitivity";#N/A,#N/A,FALSE,"LT Earn.Dil.";#N/A,#N/A,FALSE,"Dil. AVP"}</definedName>
    <definedName function="false" hidden="true" name="XXXXXXXXXX" vbProcedure="false">#REF!</definedName>
    <definedName function="false" hidden="true" name="xxy" vbProcedure="false">#REF!</definedName>
    <definedName function="false" hidden="false" name="xys" vbProcedure="false">{#N/A,#N/A,FALSE,"Title Page";#N/A,#N/A,FALSE,"Conclusions";#N/A,#N/A,FALSE,"Assum.";#N/A,#N/A,FALSE,"Sun  DCF-WC-Dep";#N/A,#N/A,FALSE,"MarketValue";#N/A,#N/A,FALSE,"BalSheet";#N/A,#N/A,FALSE,"WACC";#N/A,#N/A,FALSE,"PC+ Info.";#N/A,#N/A,FALSE,"PC+Info_2"}</definedName>
    <definedName function="false" hidden="true" name="xyz" vbProcedure="false">{"histincome",#N/A,FALSE,"hyfins";"closing balance",#N/A,FALSE,"hyfins"}</definedName>
    <definedName function="false" hidden="false" name="Year" vbProcedure="false">2007</definedName>
    <definedName function="false" hidden="false" name="year.end" vbProcedure="false">#REF!</definedName>
    <definedName function="false" hidden="false" name="YearFraction" vbProcedure="false">#REF!</definedName>
    <definedName function="false" hidden="false" name="YearFractionBSF" vbProcedure="false">#REF!</definedName>
    <definedName function="false" hidden="false" name="Year_1" vbProcedure="false">#REF!</definedName>
    <definedName function="false" hidden="false" name="Year_2" vbProcedure="false">#REF!</definedName>
    <definedName function="false" hidden="false" name="Year_3" vbProcedure="false">#REF!</definedName>
    <definedName function="false" hidden="false" name="Year_4" vbProcedure="false">#REF!</definedName>
    <definedName function="false" hidden="false" name="Year_5" vbProcedure="false">#REF!</definedName>
    <definedName function="false" hidden="true" name="yes" vbProcedure="false">#REF!</definedName>
    <definedName function="false" hidden="true" name="yre" vbProcedure="false">{"FY97Q1 nvs",#N/A,FALSE,"FY97 - Q1";"FY97Q2 nvs",#N/A,FALSE,"FY97 - Q2";"FY97Q3 nvs",#N/A,FALSE,"FY97 - Q3";"FY97Q4 nvs",#N/A,FALSE,"FY97 - Q4"}</definedName>
    <definedName function="false" hidden="true" name="yt" vbProcedure="false">{"FY98Q1 nvs",#N/A,FALSE,"FY98 - Q1";"FY98Q2 nvs",#N/A,FALSE,"FY98 - Q2";"FY98Q3 nvs",#N/A,FALSE,"FY98 - Q3";"FY98Q4 nvs",#N/A,FALSE,"FY98 - Q4"}</definedName>
    <definedName function="false" hidden="false" name="YTD" vbProcedure="false">#REF!</definedName>
    <definedName function="false" hidden="true" name="yw" vbProcedure="false">{#VALUE!,#N/A,FALSE,0}</definedName>
    <definedName function="false" hidden="false" name="yy" vbProcedure="false">{"consolidated",#N/A,FALSE,"Sheet1";"cms",#N/A,FALSE,"Sheet1";"fse",#N/A,FALSE,"Sheet1"}</definedName>
    <definedName function="false" hidden="true" name="z" vbProcedure="false">{#N/A,#N/A,FALSE,"TS";#N/A,#N/A,FALSE,"Combo";#N/A,#N/A,FALSE,"FAIR";#N/A,#N/A,FALSE,"RBC";#N/A,#N/A,FALSE,"xxxx";#N/A,#N/A,FALSE,"A_D";#N/A,#N/A,FALSE,"WACC";#N/A,#N/A,FALSE,"DCF";#N/A,#N/A,FALSE,"LBO";#N/A,#N/A,FALSE,"AcqMults";#N/A,#N/A,FALSE,"CompMults"}</definedName>
    <definedName function="false" hidden="false" name="zaq" vbProcedure="false">{#N/A,#N/A,FALSE,"Calc";#N/A,#N/A,FALSE,"Sensitivity";#N/A,#N/A,FALSE,"LT Earn.Dil.";#N/A,#N/A,FALSE,"Dil. AVP"}</definedName>
    <definedName function="false" hidden="false" name="zer" vbProcedure="false">{#N/A,#N/A,FALSE,"Calc";#N/A,#N/A,FALSE,"Sensitivity";#N/A,#N/A,FALSE,"LT Earn.Dil.";#N/A,#N/A,FALSE,"Dil. AVP"}</definedName>
    <definedName function="false" hidden="true" name="ZIO" vbProcedure="false">{"FY98Q1 var",#N/A,FALSE,"FY98 - Q1";"FY98Q2 var",#N/A,FALSE,"FY98 - Q2";"FY98Q3 var",#N/A,FALSE,"FY98 - Q3";"FY98Q4 var",#N/A,FALSE,"FY98 - Q4"}</definedName>
    <definedName function="false" hidden="true" name="zrr" vbProcedure="false">{"FY97Q1 var",#N/A,FALSE,"FY97 - Q1";"FY97Q2 var",#N/A,FALSE,"FY97 - Q2";"FY97Q3 var",#N/A,FALSE,"FY97 - Q3";"FY97Q4 var",#N/A,FALSE,"FY97 - Q4"}</definedName>
    <definedName function="false" hidden="true" name="zxcvb" vbProcedure="false">{"cash_marc",#N/A,FALSE,"dec95cr.xls"}</definedName>
    <definedName function="false" hidden="true" name="zxcvzxcv" vbProcedure="false">{#N/A,#N/A,FALSE,"COVER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function="false" hidden="false" name="zzz.com" vbProcedure="false">{#N/A,#N/A,FALSE,"Title Page";#N/A,#N/A,FALSE,"Conclusions";#N/A,#N/A,FALSE,"Assum.";#N/A,#N/A,FALSE,"Sun  DCF-WC-Dep";#N/A,#N/A,FALSE,"MarketValue";#N/A,#N/A,FALSE,"BalSheet";#N/A,#N/A,FALSE,"WACC";#N/A,#N/A,FALSE,"PC+ Info.";#N/A,#N/A,FALSE,"PC+Info_2"}</definedName>
    <definedName function="false" hidden="true" name="Z_0277BC40_A08D_11D2_B192_00600822B5CF_.wvu.PrintArea" vbProcedure="false">#REF!</definedName>
    <definedName function="false" hidden="true" name="Z_0277BC40_A08D_11D2_B192_00600822B5CF_.wvu.PrintTitles" vbProcedure="false">#REF!,#REF!</definedName>
    <definedName function="false" hidden="true" name="Z_0277BC41_A08D_11D2_B192_00600822B5CF_.wvu.PrintArea" vbProcedure="false">#REF!</definedName>
    <definedName function="false" hidden="true" name="Z_0277BC41_A08D_11D2_B192_00600822B5CF_.wvu.PrintTitles" vbProcedure="false">#REF!,#REF!</definedName>
    <definedName function="false" hidden="true" name="Z_0277BC42_A08D_11D2_B192_00600822B5CF_.wvu.PrintArea" vbProcedure="false">#REF!</definedName>
    <definedName function="false" hidden="true" name="Z_0277BC42_A08D_11D2_B192_00600822B5CF_.wvu.PrintTitles" vbProcedure="false">#REF!,#REF!</definedName>
    <definedName function="false" hidden="true" name="Z_0277BC48_A08D_11D2_B192_00600822B5CF_.wvu.PrintArea" vbProcedure="false">#REF!</definedName>
    <definedName function="false" hidden="true" name="Z_0277BC48_A08D_11D2_B192_00600822B5CF_.wvu.PrintTitles" vbProcedure="false">#REF!,#REF!</definedName>
    <definedName function="false" hidden="true" name="Z_0D0B497D_21F8_11D5_91EF_00B0D058E5A7_.wvu.Cols" vbProcedure="false">#REF!</definedName>
    <definedName function="false" hidden="true" name="Z_0D0B497D_21F8_11D5_91EF_00B0D058E5A7_.wvu.FilterData" vbProcedure="false">#REF!</definedName>
    <definedName function="false" hidden="true" name="Z_3B46133C_A773_4E04_B6B4_47050AB13554_.wvu.Cols" vbProcedure="false">#REF!,#REF!,#REF!</definedName>
    <definedName function="false" hidden="true" name="Z_3B46133C_A773_4E04_B6B4_47050AB13554_.wvu.Rows" vbProcedure="false">#REF!</definedName>
    <definedName function="false" hidden="true" name="Z_5F5BFFB3_BAF2_456B_BC73_9B3894AE395A_.wvu.Rows" vbProcedure="false">#REF!,#REF!,#REF!,#REF!,#REF!,#REF!,#REF!,#REF!</definedName>
    <definedName function="false" hidden="true" name="Z_61BCD568_73D2_11D6_9A49_00105AE12B1C_.wvu.Rows" vbProcedure="false">#REF!</definedName>
    <definedName function="false" hidden="true" name="Z_658CB600_AA26_498D_A80D_487116058C40_.wvu.Rows" vbProcedure="false">#REF!</definedName>
    <definedName function="false" hidden="true" name="Z_6DCFB463_A485_11D2_B192_00600822B5CF_.wvu.PrintArea" vbProcedure="false">#REF!</definedName>
    <definedName function="false" hidden="true" name="Z_6DCFB463_A485_11D2_B192_00600822B5CF_.wvu.PrintTitles" vbProcedure="false">#REF!,#REF!</definedName>
    <definedName function="false" hidden="true" name="Z_6DCFB464_A485_11D2_B192_00600822B5CF_.wvu.PrintArea" vbProcedure="false">#REF!</definedName>
    <definedName function="false" hidden="true" name="Z_6DCFB464_A485_11D2_B192_00600822B5CF_.wvu.PrintTitles" vbProcedure="false">#REF!,#REF!</definedName>
    <definedName function="false" hidden="true" name="Z_6DCFB465_A485_11D2_B192_00600822B5CF_.wvu.PrintArea" vbProcedure="false">#REF!</definedName>
    <definedName function="false" hidden="true" name="Z_6DCFB465_A485_11D2_B192_00600822B5CF_.wvu.PrintTitles" vbProcedure="false">#REF!,#REF!</definedName>
    <definedName function="false" hidden="true" name="Z_6DCFB466_A485_11D2_B192_00600822B5CF_.wvu.PrintArea" vbProcedure="false">#REF!</definedName>
    <definedName function="false" hidden="true" name="Z_6DCFB466_A485_11D2_B192_00600822B5CF_.wvu.PrintTitles" vbProcedure="false">#REF!,#REF!</definedName>
    <definedName function="false" hidden="true" name="Z_7628DC41_0FA8_11D3_9758_002035867318_.wvu.PrintArea" vbProcedure="false">#REF!</definedName>
    <definedName function="false" hidden="true" name="Z_7B1B3191_D02E_4275_8DEC_AC1813D2E4C7_.wvu.Rows" vbProcedure="false">#REF!</definedName>
    <definedName function="false" hidden="true" name="Z_87755D72_2DD6_4DE4_B85E_16D559F8F984_.wvu.Cols" vbProcedure="false">#REF!,#REF!,#REF!</definedName>
    <definedName function="false" hidden="true" name="Z_87755D72_2DD6_4DE4_B85E_16D559F8F984_.wvu.Rows" vbProcedure="false">#REF!</definedName>
    <definedName function="false" hidden="true" name="Z_9118CF73_A0E0_408F_82FC_D7B84F445576_.wvu.Cols" vbProcedure="false">#REF!</definedName>
    <definedName function="false" hidden="true" name="Z_9118CF73_A0E0_408F_82FC_D7B84F445576_.wvu.PrintArea" vbProcedure="false">#REF!</definedName>
    <definedName function="false" hidden="true" name="Z_9118CF73_A0E0_408F_82FC_D7B84F445576_.wvu.Rows" vbProcedure="false">#REF!,#REF!</definedName>
    <definedName function="false" hidden="true" name="Z_A927BE76_98BC_46C6_B754_C568F87EBE85_.wvu.Cols" vbProcedure="false">#REF!</definedName>
    <definedName function="false" hidden="true" name="Z_A927BE76_98BC_46C6_B754_C568F87EBE85_.wvu.PrintArea" vbProcedure="false">#REF!</definedName>
    <definedName function="false" hidden="true" name="Z_A927BE76_98BC_46C6_B754_C568F87EBE85_.wvu.PrintTitles" vbProcedure="false">#REF!</definedName>
    <definedName function="false" hidden="true" name="Z_ABB84380_5919_11D2_BBB7_00104B2ACF13_.wvu.Rows" vbProcedure="false">#REF!,#REF!,#REF!,#REF!</definedName>
    <definedName function="false" hidden="true" name="Z_DC9D1C40_07A5_43AB_A11B_52757B1D7BD1_.wvu.Cols" vbProcedure="false">#REF!,#REF!,#REF!</definedName>
    <definedName function="false" hidden="true" name="Z_FFD9B7F5_04F7_11D6_992D_00104BD16E42_.wvu.Rows" vbProcedure="false">#REF!</definedName>
    <definedName function="false" hidden="true" name="_1001__123Graph_XChart_58B" vbProcedure="false">#REF!</definedName>
    <definedName function="false" hidden="true" name="_1008__FDSAUDITLINK__" vbProcedure="false">{"fdsup://directions/FAT Viewer?action=UPDATE&amp;creator=factset&amp;DYN_ARGS=TRUE&amp;DOC_NAME=FAT:FQL_AUDITING_CLIENT_TEMPLATE.FAT&amp;display_string=Audit&amp;VAR:KEY=RUXGNGNM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LGC&amp;VAR:INDEX=0"}</definedName>
    <definedName function="false" hidden="true" name="_1009__FDSAUDITLINK__" vbProcedure="false">{"fdsup://directions/FAT Viewer?action=UPDATE&amp;creator=factset&amp;DYN_ARGS=TRUE&amp;DOC_NAME=FAT:FQL_AUDITING_CLIENT_TEMPLATE.FAT&amp;display_string=Audit&amp;VAR:KEY=XELEHOXGX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XW&amp;VAR:INDEX=0"}</definedName>
    <definedName function="false" hidden="true" name="_100__FDSAUDITLINK__" vbProcedure="false">{"fdsup://directions/FAT Viewer?action=UPDATE&amp;creator=factset&amp;DYN_ARGS=TRUE&amp;DOC_NAME=FAT:FQL_AUDITING_CLIENT_TEMPLATE.FAT&amp;display_string=Audit&amp;VAR:KEY=OBWZINSBEV&amp;VAR:QUERY=RkZfRUJJVERBX09QRVIoTFRNLDAsLCwsVVNEKQ==&amp;WINDOW=FIRST_POPUP&amp;HEIGHT=450&amp;WIDTH=450&amp;STAR","T_MAXIMIZED=FALSE&amp;VAR:CALENDAR=US&amp;VAR:SYMBOL=SPN&amp;VAR:INDEX=0"}</definedName>
    <definedName function="false" hidden="true" name="_101__FDSAUDITLINK__" vbProcedure="false">{"fdsup://directions/FAT Viewer?action=UPDATE&amp;creator=factset&amp;DYN_ARGS=TRUE&amp;DOC_NAME=FAT:FQL_AUDITING_CLIENT_TEMPLATE.FAT&amp;display_string=Audit&amp;VAR:KEY=DAXGJKVCJA&amp;VAR:QUERY=KEZTTF9ORVRfSU5DKE5PVyxOT1csRlNBLCxVU0QpQEZGX05FVF9JTkMoTFRNUywwLCwsLFVTRCkp&amp;WINDOW=F","IRST_POPUP&amp;HEIGHT=450&amp;WIDTH=450&amp;START_MAXIMIZED=FALSE&amp;VAR:CALENDAR=US&amp;VAR:SYMBOL=THPW&amp;VAR:INDEX=0"}</definedName>
    <definedName function="false" hidden="true" name="_1021__FDSAUDITLINK__" vbProcedure="false">{"fdsup://directions/FAT Viewer?action=UPDATE&amp;creator=factset&amp;DYN_ARGS=TRUE&amp;DOC_NAME=FAT:FQL_AUDITING_CLIENT_TEMPLATE.FAT&amp;display_string=Audit&amp;VAR:KEY=HWFIJKZUP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LON&amp;VAR:INDEX=0"}</definedName>
    <definedName function="false" hidden="true" name="_1022__FDSAUDITLINK__" vbProcedure="false">{"fdsup://directions/FAT Viewer?action=UPDATE&amp;creator=factset&amp;DYN_ARGS=TRUE&amp;DOC_NAME=FAT:FQL_AUDITING_CLIENT_TEMPLATE.FAT&amp;display_string=Audit&amp;VAR:KEY=DAZCNILA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YPE&amp;VAR:INDEX=0"}</definedName>
    <definedName function="false" hidden="true" name="_102__FDSAUDITLINK__" vbProcedure="false">{"fdsup://directions/FAT Viewer?action=UPDATE&amp;creator=factset&amp;DYN_ARGS=TRUE&amp;DOC_NAME=FAT:FQL_AUDITING_CLIENT_TEMPLATE.FAT&amp;display_string=Audit&amp;VAR:KEY=ZATIFYTKRK&amp;VAR:QUERY=KEZTTF9ORVRfSU5DKE5PVyxOT1csRlNBLCxVU0QpQEZGX05FVF9JTkMoTFRNUywwLCwsLFVTRCkp&amp;WINDOW=F","IRST_POPUP&amp;HEIGHT=450&amp;WIDTH=450&amp;START_MAXIMIZED=FALSE&amp;VAR:CALENDAR=US&amp;VAR:SYMBOL=CHNT&amp;VAR:INDEX=0"}</definedName>
    <definedName function="false" hidden="true" name="_103__FDSAUDITLINK__" vbProcedure="false">{"fdsup://directions/FAT Viewer?action=UPDATE&amp;creator=factset&amp;DYN_ARGS=TRUE&amp;DOC_NAME=FAT:FQL_AUDITING_CLIENT_TEMPLATE.FAT&amp;display_string=Audit&amp;VAR:KEY=NOLMHKXWPA&amp;VAR:QUERY=KEZTTF9ORVRfSU5DKE5PVyxOT1csRlNBLCxVU0QpQEZGX05FVF9JTkMoTFRNUywwLCwsLFVTRCkp&amp;WINDOW=F","IRST_POPUP&amp;HEIGHT=450&amp;WIDTH=450&amp;START_MAXIMIZED=FALSE&amp;VAR:CALENDAR=US&amp;VAR:SYMBOL=ACFN&amp;VAR:INDEX=0"}</definedName>
    <definedName function="false" hidden="true" name="_104__FDSAUDITLINK__" vbProcedure="false">{"fdsup://directions/FAT Viewer?action=UPDATE&amp;creator=factset&amp;DYN_ARGS=TRUE&amp;DOC_NAME=FAT:FQL_AUDITING_CLIENT_TEMPLATE.FAT&amp;display_string=Audit&amp;VAR:KEY=NEZQNGLKZE&amp;VAR:QUERY=KEZTTF9ORVRfSU5DKE5PVyxOT1csRlNBLCxVU0QpQEZGX05FVF9JTkMoTFRNUywwLCwsLFVTRCkp&amp;WINDOW=F","IRST_POPUP&amp;HEIGHT=450&amp;WIDTH=450&amp;START_MAXIMIZED=FALSE&amp;VAR:CALENDAR=US&amp;VAR:SYMBOL=AUTH&amp;VAR:INDEX=0"}</definedName>
    <definedName function="false" hidden="true" name="_1055__FDSAUDITLINK__" vbProcedure="false">{"fdsup://directions/FAT Viewer?action=UPDATE&amp;creator=factset&amp;DYN_ARGS=TRUE&amp;DOC_NAME=FAT:FQL_AUDITING_CLIENT_TEMPLATE.FAT&amp;display_string=Audit&amp;VAR:KEY=NWRWFIVWLI&amp;VAR:QUERY=KEZTTF9ORVRfSU5DKE5PVyxOT1csRlNBLCxVU0QpQEZGX05FVF9JTkMoTFRNUywwLCwsLFVTRCkp&amp;WINDOW=F","IRST_POPUP&amp;HEIGHT=450&amp;WIDTH=450&amp;START_MAXIMIZED=FALSE&amp;VAR:CALENDAR=US&amp;VAR:SYMBOL=FLTT&amp;VAR:INDEX=0"}</definedName>
    <definedName function="false" hidden="true" name="_105__FDSAUDITLINK__" vbProcedure="false">{"fdsup://directions/FAT Viewer?action=UPDATE&amp;creator=factset&amp;DYN_ARGS=TRUE&amp;DOC_NAME=FAT:FQL_AUDITING_CLIENT_TEMPLATE.FAT&amp;display_string=Audit&amp;VAR:KEY=BEVUNCDQDA&amp;VAR:QUERY=KEZTTF9ORVRfSU5DKE5PVyxOT1csRlNBLCxVU0QpQEZGX05FVF9JTkMoTFRNUywwLCwsLFVTRCkp&amp;WINDOW=F","IRST_POPUP&amp;HEIGHT=450&amp;WIDTH=450&amp;START_MAXIMIZED=FALSE&amp;VAR:CALENDAR=US&amp;VAR:SYMBOL=CLRS&amp;VAR:INDEX=0"}</definedName>
    <definedName function="false" hidden="true" name="_1065__FDSAUDITLINK__" vbProcedure="false">{"fdsup://directions/FAT Viewer?action=UPDATE&amp;creator=factset&amp;DYN_ARGS=TRUE&amp;DOC_NAME=FAT:FQL_AUDITING_CLIENT_TEMPLATE.FAT&amp;display_string=Audit&amp;VAR:KEY=LGJOBUNEL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LTT&amp;VAR:INDEX=0"}</definedName>
    <definedName function="false" hidden="true" name="_106__FDSAUDITLINK__" vbProcedure="false">{"fdsup://directions/FAT Viewer?action=UPDATE&amp;creator=factset&amp;DYN_ARGS=TRUE&amp;DOC_NAME=FAT:FQL_AUDITING_CLIENT_TEMPLATE.FAT&amp;display_string=Audit&amp;VAR:KEY=TEHCNIHKZC&amp;VAR:QUERY=KEZTTF9ORVRfSU5DKE5PVyxOT1csRlNBLCxVU0QpQEZGX05FVF9JTkMoTFRNUywwLCwsLFVTRCkp&amp;WINDOW=F","IRST_POPUP&amp;HEIGHT=450&amp;WIDTH=450&amp;START_MAXIMIZED=FALSE&amp;VAR:CALENDAR=US&amp;VAR:SYMBOL=ISYS&amp;VAR:INDEX=0"}</definedName>
    <definedName function="false" hidden="true" name="_107__FDSAUDITLINK__" vbProcedure="false">{"fdsup://directions/FAT Viewer?action=UPDATE&amp;creator=factset&amp;DYN_ARGS=TRUE&amp;DOC_NAME=FAT:FQL_AUDITING_CLIENT_TEMPLATE.FAT&amp;display_string=Audit&amp;VAR:KEY=XURATURKPK&amp;VAR:QUERY=KEZTTF9ORVRfSU5DKE5PVyxOT1csRlNBLCxVU0QpQEZGX05FVF9JTkMoTFRNUywwLCwsLFVTRCkp&amp;WINDOW=F","IRST_POPUP&amp;HEIGHT=450&amp;WIDTH=450&amp;START_MAXIMIZED=FALSE&amp;VAR:CALENDAR=US&amp;VAR:SYMBOL=CREG&amp;VAR:INDEX=0"}</definedName>
    <definedName function="false" hidden="true" name="_1081__FDSAUDITLINK__" vbProcedure="false">{"fdsup://directions/FAT Viewer?action=UPDATE&amp;creator=factset&amp;DYN_ARGS=TRUE&amp;DOC_NAME=FAT:FQL_AUDITING_CLIENT_TEMPLATE.FAT&amp;display_string=Audit&amp;VAR:KEY=QREJMPILCT&amp;VAR:QUERY=KEZTTF9ORVRfSU5DKE5PVyxOT1csRlNBLCxVU0QpQEZGX05FVF9JTkMoTFRNUywwLCwsLFVTRCkp&amp;WINDOW=F","IRST_POPUP&amp;HEIGHT=450&amp;WIDTH=450&amp;START_MAXIMIZED=FALSE&amp;VAR:CALENDAR=US&amp;VAR:SYMBOL=CLXS&amp;VAR:INDEX=0"}</definedName>
    <definedName function="false" hidden="true" name="_108__FDSAUDITLINK__" vbProcedure="false">{"fdsup://directions/FAT Viewer?action=UPDATE&amp;creator=factset&amp;DYN_ARGS=TRUE&amp;DOC_NAME=FAT:FQL_AUDITING_CLIENT_TEMPLATE.FAT&amp;display_string=Audit&amp;VAR:KEY=ZMNEHEFMLE&amp;VAR:QUERY=KEZTTF9ORVRfSU5DKE5PVyxOT1csRlNBLCxVU0QpQEZGX05FVF9JTkMoTFRNUywwLCwsLFVTRCkp&amp;WINDOW=F","IRST_POPUP&amp;HEIGHT=450&amp;WIDTH=450&amp;START_MAXIMIZED=FALSE&amp;VAR:CALENDAR=US&amp;VAR:SYMBOL=GAIA&amp;VAR:INDEX=0"}</definedName>
    <definedName function="false" hidden="true" name="_1090__FDSAUDITLINK__" vbProcedure="false">{"fdsup://directions/FAT Viewer?action=UPDATE&amp;creator=factset&amp;DYN_ARGS=TRUE&amp;DOC_NAME=FAT:FQL_AUDITING_CLIENT_TEMPLATE.FAT&amp;display_string=Audit&amp;VAR:KEY=ULEXANYBE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XS&amp;VAR:INDEX=0"}</definedName>
    <definedName function="false" hidden="true" name="_109__FDSAUDITLINK__" vbProcedure="false">{"fdsup://directions/FAT Viewer?action=UPDATE&amp;creator=factset&amp;DYN_ARGS=TRUE&amp;DOC_NAME=FAT:FQL_AUDITING_CLIENT_TEMPLATE.FAT&amp;display_string=Audit&amp;VAR:KEY=PWDEBGTS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GL&amp;VAR:INDEX=0"}</definedName>
    <definedName function="false" hidden="true" name="_10__123Graph_ACHART_1" vbProcedure="false">#REF!</definedName>
    <definedName function="false" hidden="true" name="_10__123Graph_ADEPREC" vbProcedure="false">#REF!</definedName>
    <definedName function="false" hidden="true" name="_10__123Graph_ADIAGR_2" vbProcedure="false">#REF!</definedName>
    <definedName function="false" hidden="true" name="_10__123Graph_BADV_GDPR" vbProcedure="false">#REF!</definedName>
    <definedName function="false" hidden="true" name="_10__123Graph_BChart_58B" vbProcedure="false">#REF!</definedName>
    <definedName function="false" hidden="true" name="_10__123Graph_C_FABP_L.WK1_FAB" vbProcedure="false">#REF!</definedName>
    <definedName function="false" hidden="true" name="_10__123Graph_DCHART_1" vbProcedure="false">#REF!</definedName>
    <definedName function="false" hidden="true" name="_10__FDSAUDITLINK__" vbProcedure="false">{"fdsup://directions/FAT Viewer?action=UPDATE&amp;creator=factset&amp;DYN_ARGS=TRUE&amp;DOC_NAME=FAT:FQL_AUDITING_CLIENT_TEMPLATE.FAT&amp;display_string=Audit&amp;VAR:KEY=EXABERMNMR&amp;VAR:QUERY=RkZfRUJJVERBX09QRVIoTFRNLDAsLCwsVVNEKQ==&amp;WINDOW=FIRST_POPUP&amp;HEIGHT=450&amp;WIDTH=450&amp;STAR","T_MAXIMIZED=FALSE&amp;VAR:CALENDAR=US&amp;VAR:SYMBOL=TPX&amp;VAR:INDEX=0"}</definedName>
    <definedName function="false" hidden="true" name="_110__FDSAUDITLINK__" vbProcedure="false">{"fdsup://directions/FAT Viewer?action=UPDATE&amp;creator=factset&amp;DYN_ARGS=TRUE&amp;DOC_NAME=FAT:FQL_AUDITING_CLIENT_TEMPLATE.FAT&amp;display_string=Audit&amp;VAR:KEY=INGZKXYBGR&amp;VAR:QUERY=RkZfRUJJVERBX09QRVIoTFRNLDAsLCwsVVNEKQ==&amp;WINDOW=FIRST_POPUP&amp;HEIGHT=450&amp;WIDTH=450&amp;STAR","T_MAXIMIZED=FALSE&amp;VAR:CALENDAR=US&amp;VAR:SYMBOL=COMV&amp;VAR:INDEX=0"}</definedName>
    <definedName function="false" hidden="true" name="_111__FDSAUDITLINK__" vbProcedure="false">{"fdsup://directions/FAT Viewer?action=UPDATE&amp;creator=factset&amp;DYN_ARGS=TRUE&amp;DOC_NAME=FAT:FQL_AUDITING_CLIENT_TEMPLATE.FAT&amp;display_string=Audit&amp;VAR:KEY=XUPUPMRENM&amp;VAR:QUERY=RkZfRUJJVERBX09QRVIoTFRNLDAsLCwsVVNEKQ==&amp;WINDOW=FIRST_POPUP&amp;HEIGHT=450&amp;WIDTH=450&amp;STAR","T_MAXIMIZED=FALSE&amp;VAR:CALENDAR=US&amp;VAR:SYMBOL=TPLM&amp;VAR:INDEX=0"}</definedName>
    <definedName function="false" hidden="true" name="_1123__FDSAUDITLINK__" vbProcedure="false">{"fdsup://directions/FAT Viewer?action=UPDATE&amp;creator=factset&amp;DYN_ARGS=TRUE&amp;DOC_NAME=FAT:FQL_AUDITING_CLIENT_TEMPLATE.FAT&amp;display_string=Audit&amp;VAR:KEY=KJEXGRSVM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AUS&amp;VAR:INDEX=0"}</definedName>
    <definedName function="false" hidden="true" name="_1125__FDSAUDITLINK__" vbProcedure="false">{"fdsup://Directions/FactSet Auditing Viewer?action=AUDIT_VALUE&amp;DB=129&amp;ID1=92528430&amp;VALUEID=02001&amp;SDATE=201003&amp;PERIODTYPE=QTR_STD&amp;window=popup_no_bar&amp;width=385&amp;height=120&amp;START_MAXIMIZED=FALSE&amp;creator=factset&amp;display_string=Audit"}</definedName>
    <definedName function="false" hidden="true" name="_112__FDSAUDITLINK__" vbProcedure="false">{"fdsup://directions/FAT Viewer?action=UPDATE&amp;creator=factset&amp;DYN_ARGS=TRUE&amp;DOC_NAME=FAT:FQL_AUDITING_CLIENT_TEMPLATE.FAT&amp;display_string=Audit&amp;VAR:KEY=DOPAPMBODU&amp;VAR:QUERY=RkZfRUJJVERBX09QRVIoTFRNLDAsLCwsVVNEKQ==&amp;WINDOW=FIRST_POPUP&amp;HEIGHT=450&amp;WIDTH=450&amp;STAR","T_MAXIMIZED=FALSE&amp;VAR:CALENDAR=US&amp;VAR:SYMBOL=RIG&amp;VAR:INDEX=0"}</definedName>
    <definedName function="false" hidden="true" name="_113__FDSAUDITLINK__" vbProcedure="false">{"fdsup://directions/FAT Viewer?action=UPDATE&amp;creator=factset&amp;DYN_ARGS=TRUE&amp;DOC_NAME=FAT:FQL_AUDITING_CLIENT_TEMPLATE.FAT&amp;display_string=Audit&amp;VAR:KEY=MRWJIZGZAP&amp;VAR:QUERY=RkZfRUJJVERBX09QRVIoTFRNLDAsLCwsVVNEKQ==&amp;WINDOW=FIRST_POPUP&amp;HEIGHT=450&amp;WIDTH=450&amp;STAR","T_MAXIMIZED=FALSE&amp;VAR:CALENDAR=US&amp;VAR:SYMBOL=MYRG&amp;VAR:INDEX=0"}</definedName>
    <definedName function="false" hidden="true" name="_1149__FDSAUDITLINK__" vbProcedure="false">{"fdsup://Directions/FactSet Auditing Viewer?action=AUDIT_VALUE&amp;DB=129&amp;ID1=00088U10&amp;VALUEID=02001&amp;SDATE=201002&amp;PERIODTYPE=QTR_STD&amp;window=popup_no_bar&amp;width=385&amp;height=120&amp;START_MAXIMIZED=FALSE&amp;creator=factset&amp;display_string=Audit"}</definedName>
    <definedName function="false" hidden="true" name="_114__FDSAUDITLINK__" vbProcedure="false">{"fdsup://directions/FAT Viewer?action=UPDATE&amp;creator=factset&amp;DYN_ARGS=TRUE&amp;DOC_NAME=FAT:FQL_AUDITING_CLIENT_TEMPLATE.FAT&amp;display_string=Audit&amp;VAR:KEY=HKZCFUTGXC&amp;VAR:QUERY=RkZfRUJJVERBX09QRVIoTFRNLDAsLCwsVVNEKQ==&amp;WINDOW=FIRST_POPUP&amp;HEIGHT=450&amp;WIDTH=450&amp;STAR","T_MAXIMIZED=FALSE&amp;VAR:CALENDAR=US&amp;VAR:SYMBOL=SAI&amp;VAR:INDEX=0"}</definedName>
    <definedName function="false" hidden="true" name="_1150__FDSAUDITLINK__" vbProcedure="false">{"fdsup://Directions/FactSet Auditing Viewer?action=AUDIT_VALUE&amp;DB=129&amp;ID1=33967010&amp;VALUEID=02001&amp;SDATE=201003&amp;PERIODTYPE=QTR_STD&amp;window=popup_no_bar&amp;width=385&amp;height=120&amp;START_MAXIMIZED=FALSE&amp;creator=factset&amp;display_string=Audit"}</definedName>
    <definedName function="false" hidden="true" name="_1157__FDSAUDITLINK__" vbProcedure="false">{"fdsup://Directions/FactSet Auditing Viewer?action=AUDIT_VALUE&amp;DB=129&amp;ID1=27885610&amp;VALUEID=02001&amp;SDATE=201002&amp;PERIODTYPE=QTR_STD&amp;window=popup_no_bar&amp;width=385&amp;height=120&amp;START_MAXIMIZED=FALSE&amp;creator=factset&amp;display_string=Audit"}</definedName>
    <definedName function="false" hidden="true" name="_1158__FDSAUDITLINK__" vbProcedure="false">{"fdsup://Directions/FactSet Auditing Viewer?action=AUDIT_VALUE&amp;DB=129&amp;ID1=58949910&amp;VALUEID=02001&amp;SDATE=201001&amp;PERIODTYPE=QTR_STD&amp;window=popup_no_bar&amp;width=385&amp;height=120&amp;START_MAXIMIZED=FALSE&amp;creator=factset&amp;display_string=Audit"}</definedName>
    <definedName function="false" hidden="true" name="_115__FDSAUDITLINK__" vbProcedure="false">{"fdsup://directions/FAT Viewer?action=UPDATE&amp;creator=factset&amp;DYN_ARGS=TRUE&amp;DOC_NAME=FAT:FQL_AUDITING_CLIENT_TEMPLATE.FAT&amp;display_string=Audit&amp;VAR:KEY=ZALSBORMBW&amp;VAR:QUERY=RkZfRUJJVERBX09QRVIoTFRNLDAsLCwsVVNEKQ==&amp;WINDOW=FIRST_POPUP&amp;HEIGHT=450&amp;WIDTH=450&amp;STAR","T_MAXIMIZED=FALSE&amp;VAR:CALENDAR=US&amp;VAR:SYMBOL=CCBG&amp;VAR:INDEX=0"}</definedName>
    <definedName function="false" hidden="true" name="_1162__FDSAUDITLINK__" vbProcedure="false">{"fdsup://directions/FAT Viewer?action=UPDATE&amp;creator=factset&amp;DYN_ARGS=TRUE&amp;DOC_NAME=FAT:FQL_AUDITING_CLIENT_TEMPLATE.FAT&amp;display_string=Audit&amp;VAR:KEY=AFEJUBSLO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XTG&amp;VAR:INDEX=0"}</definedName>
    <definedName function="false" hidden="true" name="_116__FDSAUDITLINK__" vbProcedure="false">{"fdsup://directions/FAT Viewer?action=UPDATE&amp;creator=factset&amp;DYN_ARGS=TRUE&amp;DOC_NAME=FAT:FQL_AUDITING_CLIENT_TEMPLATE.FAT&amp;display_string=Audit&amp;VAR:KEY=JUPONYTGLQ&amp;VAR:QUERY=RkZfRUJJVERBX09QRVIoTFRNLDAsLCwsVVNEKQ==&amp;WINDOW=FIRST_POPUP&amp;HEIGHT=450&amp;WIDTH=450&amp;STAR","T_MAXIMIZED=FALSE&amp;VAR:CALENDAR=US&amp;VAR:SYMBOL=GPRE&amp;VAR:INDEX=0"}</definedName>
    <definedName function="false" hidden="true" name="_117__FDSAUDITLINK__" vbProcedure="false">{"fdsup://directions/FAT Viewer?action=UPDATE&amp;creator=factset&amp;DYN_ARGS=TRUE&amp;DOC_NAME=FAT:FQL_AUDITING_CLIENT_TEMPLATE.FAT&amp;display_string=Audit&amp;VAR:KEY=QBYXERKHED&amp;VAR:QUERY=RkZfRUJJVERBX09QRVIoTFRNLDAsLCwsVVNEKQ==&amp;WINDOW=FIRST_POPUP&amp;HEIGHT=450&amp;WIDTH=450&amp;STAR","T_MAXIMIZED=FALSE&amp;VAR:CALENDAR=US&amp;VAR:SYMBOL=AVAV&amp;VAR:INDEX=0"}</definedName>
    <definedName function="false" hidden="true" name="_1182__FDSAUDITLINK__" vbProcedure="false">{"fdsup://Directions/FactSet Auditing Viewer?action=AUDIT_VALUE&amp;DB=129&amp;ID1=44913M10&amp;VALUEID=02001&amp;SDATE=201002&amp;PERIODTYPE=QTR_STD&amp;window=popup_no_bar&amp;width=385&amp;height=120&amp;START_MAXIMIZED=FALSE&amp;creator=factset&amp;display_string=Audit"}</definedName>
    <definedName function="false" hidden="true" name="_1188__FDSAUDITLINK__" vbProcedure="false">{"fdsup://Directions/FactSet Auditing Viewer?action=AUDIT_VALUE&amp;DB=129&amp;ID1=53814610&amp;VALUEID=02001&amp;SDATE=201001&amp;PERIODTYPE=QTR_STD&amp;window=popup_no_bar&amp;width=385&amp;height=120&amp;START_MAXIMIZED=FALSE&amp;creator=factset&amp;display_string=Audit"}</definedName>
    <definedName function="false" hidden="true" name="_118__FDSAUDITLINK__" vbProcedure="false">{"fdsup://directions/FAT Viewer?action=UPDATE&amp;creator=factset&amp;DYN_ARGS=TRUE&amp;DOC_NAME=FAT:FQL_AUDITING_CLIENT_TEMPLATE.FAT&amp;display_string=Audit&amp;VAR:KEY=ZWHQTYHGBU&amp;VAR:QUERY=RkZfRUJJVERBX09QRVIoTFRNLDAsLCwsVVNEKQ==&amp;WINDOW=FIRST_POPUP&amp;HEIGHT=450&amp;WIDTH=450&amp;STAR","T_MAXIMIZED=FALSE&amp;VAR:CALENDAR=US&amp;VAR:SYMBOL=QEP&amp;VAR:INDEX=0"}</definedName>
    <definedName function="false" hidden="true" name="_119__FDSAUDITLINK__" vbProcedure="false">{"fdsup://directions/FAT Viewer?action=UPDATE&amp;creator=factset&amp;DYN_ARGS=TRUE&amp;DOC_NAME=FAT:FQL_AUDITING_CLIENT_TEMPLATE.FAT&amp;display_string=Audit&amp;VAR:KEY=HQTYFKZEJQ&amp;VAR:QUERY=RkZfRUJJVERBX09QRVIoTFRNLDAsLCwsVVNEKQ==&amp;WINDOW=FIRST_POPUP&amp;HEIGHT=450&amp;WIDTH=450&amp;STAR","T_MAXIMIZED=FALSE&amp;VAR:CALENDAR=US&amp;VAR:SYMBOL=FLIR&amp;VAR:INDEX=0"}</definedName>
    <definedName function="false" hidden="true" name="_11__123Graph_ADIAGR_3" vbProcedure="false">#REF!</definedName>
    <definedName function="false" hidden="true" name="_11__123Graph_BADV_PCE" vbProcedure="false">#REF!</definedName>
    <definedName function="false" hidden="true" name="_11__123Graph_BChart_1A" vbProcedure="false">#REF!</definedName>
    <definedName function="false" hidden="true" name="_11__123Graph_XCHART_1" vbProcedure="false">#REF!</definedName>
    <definedName function="false" hidden="true" name="_11__123Graph_XChart_1A" vbProcedure="false">#REF!</definedName>
    <definedName function="false" hidden="true" name="_11__123Graph_X_FABP_L.WK1_FAB" vbProcedure="false">#REF!</definedName>
    <definedName function="false" hidden="true" name="_11__FDSAUDITLINK__" vbProcedure="false">{"fdsup://directions/FAT Viewer?action=UPDATE&amp;creator=factset&amp;DYN_ARGS=TRUE&amp;DOC_NAME=FAT:FQL_AUDITING_CLIENT_TEMPLATE.FAT&amp;display_string=Audit&amp;VAR:KEY=EJUTUPOHAT&amp;VAR:QUERY=RkZfRUJJVERBX09QRVIoTFRNLDAsLCwsVVNEKQ==&amp;WINDOW=FIRST_POPUP&amp;HEIGHT=450&amp;WIDTH=450&amp;STAR","T_MAXIMIZED=FALSE&amp;VAR:CALENDAR=US&amp;VAR:SYMBOL=AIMC&amp;VAR:INDEX=0"}</definedName>
    <definedName function="false" hidden="true" name="_120__FDSAUDITLINK__" vbProcedure="false">{"fdsup://directions/FAT Viewer?action=UPDATE&amp;creator=factset&amp;DYN_ARGS=TRUE&amp;DOC_NAME=FAT:FQL_AUDITING_CLIENT_TEMPLATE.FAT&amp;display_string=Audit&amp;VAR:KEY=BQFAXOVOHG&amp;VAR:QUERY=RkZfRUJJVERBX09QRVIoTFRNLDAsLCwsVVNEKQ==&amp;WINDOW=FIRST_POPUP&amp;HEIGHT=450&amp;WIDTH=450&amp;STAR","T_MAXIMIZED=FALSE&amp;VAR:CALENDAR=US&amp;VAR:SYMBOL=ORN&amp;VAR:INDEX=0"}</definedName>
    <definedName function="false" hidden="true" name="_1216__FDSAUDITLINK__" vbProcedure="false">{"fdsup://Directions/FactSet Auditing Viewer?action=AUDIT_VALUE&amp;DB=129&amp;ID1=26843B10&amp;VALUEID=02001&amp;SDATE=201002&amp;PERIODTYPE=QTR_STD&amp;window=popup_no_bar&amp;width=385&amp;height=120&amp;START_MAXIMIZED=FALSE&amp;creator=factset&amp;display_string=Audit"}</definedName>
    <definedName function="false" hidden="true" name="_121__FDSAUDITLINK__" vbProcedure="false">{"fdsup://Directions/FactSet Auditing Viewer?action=AUDIT_VALUE&amp;DB=129&amp;ID1=53224K10&amp;VALUEID=02001&amp;SDATE=201002&amp;PERIODTYPE=QTR_STD&amp;window=popup_no_bar&amp;width=385&amp;height=120&amp;START_MAXIMIZED=FALSE&amp;creator=factset&amp;display_string=Audit"}</definedName>
    <definedName function="false" hidden="true" name="_122__FDSAUDITLINK__" vbProcedure="false">{"fdsup://Directions/FactSet Auditing Viewer?action=AUDIT_VALUE&amp;DB=129&amp;ID1=05453N10&amp;VALUEID=02001&amp;SDATE=201002&amp;PERIODTYPE=QTR_STD&amp;window=popup_no_bar&amp;width=385&amp;height=120&amp;START_MAXIMIZED=FALSE&amp;creator=factset&amp;display_string=Audit"}</definedName>
    <definedName function="false" hidden="true" name="_123" vbProcedure="false">#REF!</definedName>
    <definedName function="false" hidden="true" name="_123graph" vbProcedure="false">#REF!</definedName>
    <definedName function="false" hidden="true" name="_123Graph_Q" vbProcedure="false">#REF!</definedName>
    <definedName function="false" hidden="true" name="_123__FDSAUDITLINK__" vbProcedure="false">{"fdsup://directions/FAT Viewer?action=UPDATE&amp;creator=factset&amp;DYN_ARGS=TRUE&amp;DOC_NAME=FAT:FQL_AUDITING_CLIENT_TEMPLATE.FAT&amp;display_string=Audit&amp;VAR:KEY=NMXYXOLIBQ&amp;VAR:QUERY=RkZfRUJJVERBX09QRVIoTFRNLDAsLCwsVVNEKQ==&amp;WINDOW=FIRST_POPUP&amp;HEIGHT=450&amp;WIDTH=450&amp;STAR","T_MAXIMIZED=FALSE&amp;VAR:CALENDAR=US&amp;VAR:SYMBOL=TPX&amp;VAR:INDEX=0"}</definedName>
    <definedName function="false" hidden="true" name="_1242__FDSAUDITLINK__" vbProcedure="false">{"fdsup://directions/FAT Viewer?action=UPDATE&amp;creator=factset&amp;DYN_ARGS=TRUE&amp;DOC_NAME=FAT:FQL_AUDITING_CLIENT_TEMPLATE.FAT&amp;display_string=Audit&amp;VAR:KEY=JQRUTUJ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TP&amp;VAR:INDEX=0"}</definedName>
    <definedName function="false" hidden="true" name="_1244__FDSAUDITLINK__" vbProcedure="false">{"fdsup://Directions/FactSet Auditing Viewer?action=AUDIT_VALUE&amp;DB=129&amp;ID1=65337Y10&amp;VALUEID=02001&amp;SDATE=201001&amp;PERIODTYPE=QTR_STD&amp;window=popup_no_bar&amp;width=385&amp;height=120&amp;START_MAXIMIZED=FALSE&amp;creator=factset&amp;display_string=Audit"}</definedName>
    <definedName function="false" hidden="true" name="_124__FDSAUDITLINK__" vbProcedure="false">{"fdsup://directions/FAT Viewer?action=UPDATE&amp;creator=factset&amp;DYN_ARGS=TRUE&amp;DOC_NAME=FAT:FQL_AUDITING_CLIENT_TEMPLATE.FAT&amp;display_string=Audit&amp;VAR:KEY=ZUBEPGJCRA&amp;VAR:QUERY=RkZfRUJJVERBX09QRVIoTFRNLDAsLCwsVVNEKQ==&amp;WINDOW=FIRST_POPUP&amp;HEIGHT=450&amp;WIDTH=450&amp;STAR","T_MAXIMIZED=FALSE&amp;VAR:CALENDAR=US&amp;VAR:SYMBOL=CRZO&amp;VAR:INDEX=0"}</definedName>
    <definedName function="false" hidden="true" name="_125__FDSAUDITLINK__" vbProcedure="false">{"fdsup://directions/FAT Viewer?action=UPDATE&amp;creator=factset&amp;DYN_ARGS=TRUE&amp;DOC_NAME=FAT:FQL_AUDITING_CLIENT_TEMPLATE.FAT&amp;display_string=Audit&amp;VAR:KEY=NIHUBSBSJY&amp;VAR:QUERY=RkZfRUJJVERBX09QRVIoTFRNLDAsLCwsVVNEKQ==&amp;WINDOW=FIRST_POPUP&amp;HEIGHT=450&amp;WIDTH=450&amp;STAR","T_MAXIMIZED=FALSE&amp;VAR:CALENDAR=US&amp;VAR:SYMBOL=BGFV&amp;VAR:INDEX=0"}</definedName>
    <definedName function="false" hidden="true" name="_1267__FDSAUDITLINK__" vbProcedure="false">{"fdsup://directions/FAT Viewer?action=UPDATE&amp;creator=factset&amp;DYN_ARGS=TRUE&amp;DOC_NAME=FAT:FQL_AUDITING_CLIENT_TEMPLATE.FAT&amp;display_string=Audit&amp;VAR:KEY=NEJQPETKV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463573&amp;VAR:INDEX=0"}</definedName>
    <definedName function="false" hidden="true" name="_126__FDSAUDITLINK__" vbProcedure="false">{"fdsup://directions/FAT Viewer?action=UPDATE&amp;creator=factset&amp;DYN_ARGS=TRUE&amp;DOC_NAME=FAT:FQL_AUDITING_CLIENT_TEMPLATE.FAT&amp;display_string=Audit&amp;VAR:KEY=FKFSDYHWJE&amp;VAR:QUERY=RkZfRUJJVERBX09QRVIoTFRNLDAsLCwsVVNEKQ==&amp;WINDOW=FIRST_POPUP&amp;HEIGHT=450&amp;WIDTH=450&amp;STAR","T_MAXIMIZED=FALSE&amp;VAR:CALENDAR=US&amp;VAR:SYMBOL=NR&amp;VAR:INDEX=0"}</definedName>
    <definedName function="false" hidden="true" name="_1279__FDSAUDITLINK__" vbProcedure="false">{"fdsup://Directions/FactSet Auditing Viewer?action=AUDIT_VALUE&amp;DB=129&amp;ID1=76773510&amp;VALUEID=02001&amp;SDATE=201001&amp;PERIODTYPE=QTR_STD&amp;window=popup_no_bar&amp;width=385&amp;height=120&amp;START_MAXIMIZED=FALSE&amp;creator=factset&amp;display_string=Audit"}</definedName>
    <definedName function="false" hidden="true" name="_127__FDSAUDITLINK__" vbProcedure="false">{"fdsup://directions/FAT Viewer?action=UPDATE&amp;creator=factset&amp;DYN_ARGS=TRUE&amp;DOC_NAME=FAT:FQL_AUDITING_CLIENT_TEMPLATE.FAT&amp;display_string=Audit&amp;VAR:KEY=VKZOFYBOFM&amp;VAR:QUERY=RkZfRUJJVERBX09QRVIoTFRNLDAsLCwsVVNEKQ==&amp;WINDOW=FIRST_POPUP&amp;HEIGHT=450&amp;WIDTH=450&amp;STAR","T_MAXIMIZED=FALSE&amp;VAR:CALENDAR=US&amp;VAR:SYMBOL=WTSLA&amp;VAR:INDEX=0"}</definedName>
    <definedName function="false" hidden="true" name="_128__FDSAUDITLINK__" vbProcedure="false">{"fdsup://directions/FAT Viewer?action=UPDATE&amp;creator=factset&amp;DYN_ARGS=TRUE&amp;DOC_NAME=FAT:FQL_AUDITING_CLIENT_TEMPLATE.FAT&amp;display_string=Audit&amp;VAR:KEY=DCXMPAVY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XIH&amp;VAR:INDEX=0"}</definedName>
    <definedName function="false" hidden="true" name="_129__FDSAUDITLINK__" vbProcedure="false">{"fdsup://directions/FAT Viewer?action=UPDATE&amp;creator=factset&amp;DYN_ARGS=TRUE&amp;DOC_NAME=FAT:FQL_AUDITING_CLIENT_TEMPLATE.FAT&amp;display_string=Audit&amp;VAR:KEY=XEREJADE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QAS&amp;VAR:INDEX=0"}</definedName>
    <definedName function="false" hidden="true" name="_12__123Graph_ADIAGR_4" vbProcedure="false">#REF!</definedName>
    <definedName function="false" hidden="true" name="_12__123Graph_BADV_PCGD" vbProcedure="false">#REF!</definedName>
    <definedName function="false" hidden="true" name="_12__123Graph_BChart_58B" vbProcedure="false">#REF!</definedName>
    <definedName function="false" hidden="true" name="_12__123Graph_B_FABP_L.WK1_FAB" vbProcedure="false">#REF!</definedName>
    <definedName function="false" hidden="true" name="_12__123Graph_XCHART_1A" vbProcedure="false">#REF!</definedName>
    <definedName function="false" hidden="true" name="_12__123Graph_XChart_58B" vbProcedure="false">#REF!</definedName>
    <definedName function="false" hidden="true" name="_12__FDSAUDITLINK__" vbProcedure="false">{"fdsup://directions/FAT Viewer?action=UPDATE&amp;creator=factset&amp;DYN_ARGS=TRUE&amp;DOC_NAME=FAT:FQL_AUDITING_CLIENT_TEMPLATE.FAT&amp;display_string=Audit&amp;VAR:KEY=PUZKJWXSFC&amp;VAR:QUERY=KEZTTF9ORVRfSU5DKE5PVyxOT1csRlNBLCxVU0QpQEZGX05FVF9JTkMoTFRNUywwLCwsLFVTRCkp&amp;WINDOW=F","IRST_POPUP&amp;HEIGHT=450&amp;WIDTH=450&amp;START_MAXIMIZED=FALSE&amp;VAR:CALENDAR=US&amp;VAR:SYMBOL=JKHY&amp;VAR:INDEX=0"}</definedName>
    <definedName function="false" hidden="true" name="_1300__FDSAUDITLINK__" vbProcedure="false">{"fdsup://Directions/FactSet Auditing Viewer?action=AUDIT_VALUE&amp;DB=129&amp;ID1=20547710&amp;VALUEID=02001&amp;SDATE=201001&amp;PERIODTYPE=QTR_STD&amp;window=popup_no_bar&amp;width=385&amp;height=120&amp;START_MAXIMIZED=FALSE&amp;creator=factset&amp;display_string=Audit"}</definedName>
    <definedName function="false" hidden="true" name="_1302__FDSAUDITLINK__" vbProcedure="false">{"fdsup://directions/FAT Viewer?action=UPDATE&amp;creator=factset&amp;DYN_ARGS=TRUE&amp;DOC_NAME=FAT:FQL_AUDITING_CLIENT_TEMPLATE.FAT&amp;display_string=Audit&amp;VAR:KEY=HMBQHATUZW&amp;VAR:QUERY=KEZTTF9ORVRfSU5DKE5PVyxOT1csRlNBLCxVU0QpQEZGX05FVF9JTkMoTFRNUywwLCwsLFVTRCkp&amp;WINDOW=F","IRST_POPUP&amp;HEIGHT=450&amp;WIDTH=450&amp;START_MAXIMIZED=FALSE&amp;VAR:CALENDAR=US&amp;VAR:SYMBOL=TTPA&amp;VAR:INDEX=0"}</definedName>
    <definedName function="false" hidden="true" name="_130__FDSAUDITLINK__" vbProcedure="false">{"fdsup://directions/FAT Viewer?action=UPDATE&amp;creator=factset&amp;DYN_ARGS=TRUE&amp;DOC_NAME=FAT:FQL_AUDITING_CLIENT_TEMPLATE.FAT&amp;display_string=Audit&amp;VAR:KEY=PIFGRELK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TK&amp;VAR:INDEX=0"}</definedName>
    <definedName function="false" hidden="true" name="_1312__FDSAUDITLINK__" vbProcedure="false">{"fdsup://Directions/FactSet Auditing Viewer?action=AUDIT_VALUE&amp;DB=129&amp;ID1=23769010&amp;VALUEID=02001&amp;SDATE=201002&amp;PERIODTYPE=QTR_STD&amp;window=popup_no_bar&amp;width=385&amp;height=120&amp;START_MAXIMIZED=FALSE&amp;creator=factset&amp;display_string=Audit"}</definedName>
    <definedName function="false" hidden="true" name="_131__FDSAUDITLINK__" vbProcedure="false">{"fdsup://directions/FAT Viewer?action=UPDATE&amp;creator=factset&amp;DYN_ARGS=TRUE&amp;DOC_NAME=FAT:FQL_AUDITING_CLIENT_TEMPLATE.FAT&amp;display_string=Audit&amp;VAR:KEY=VKJGVEDMVG&amp;VAR:QUERY=RkZfRUJJVERBX09QRVIoTFRNLDAsLCwsVVNEKQ==&amp;WINDOW=FIRST_POPUP&amp;HEIGHT=450&amp;WIDTH=450&amp;STAR","T_MAXIMIZED=FALSE&amp;VAR:CALENDAR=US&amp;VAR:SYMBOL=SD&amp;VAR:INDEX=0"}</definedName>
    <definedName function="false" hidden="true" name="_132__FDSAUDITLINK__" vbProcedure="false">{"fdsup://directions/FAT Viewer?action=UPDATE&amp;creator=factset&amp;DYN_ARGS=TRUE&amp;DOC_NAME=FAT:FQL_AUDITING_CLIENT_TEMPLATE.FAT&amp;display_string=Audit&amp;VAR:KEY=LULYPYPUFA&amp;VAR:QUERY=RkZfRUJJVERBX09QRVIoTFRNLDAsLCwsVVNEKQ==&amp;WINDOW=FIRST_POPUP&amp;HEIGHT=450&amp;WIDTH=450&amp;STAR","T_MAXIMIZED=FALSE&amp;VAR:CALENDAR=US&amp;VAR:SYMBOL=AVNW&amp;VAR:INDEX=0"}</definedName>
    <definedName function="false" hidden="true" name="_133__FDSAUDITLINK__" vbProcedure="false">{"fdsup://directions/FAT Viewer?action=UPDATE&amp;creator=factset&amp;DYN_ARGS=TRUE&amp;DOC_NAME=FAT:FQL_AUDITING_CLIENT_TEMPLATE.FAT&amp;display_string=Audit&amp;VAR:KEY=VSVYLQNGR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AIO&amp;VAR:INDEX=0"}</definedName>
    <definedName function="false" hidden="true" name="_134__FDSAUDITLINK__" vbProcedure="false">{"fdsup://directions/FAT Viewer?action=UPDATE&amp;creator=factset&amp;DYN_ARGS=TRUE&amp;DOC_NAME=FAT:FQL_AUDITING_CLIENT_TEMPLATE.FAT&amp;display_string=Audit&amp;VAR:KEY=XGHUHMPM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WG&amp;VAR:INDEX=0"}</definedName>
    <definedName function="false" hidden="true" name="_135__FDSAUDITLINK__" vbProcedure="false">{"fdsup://directions/FAT Viewer?action=UPDATE&amp;creator=factset&amp;DYN_ARGS=TRUE&amp;DOC_NAME=FAT:FQL_AUDITING_CLIENT_TEMPLATE.FAT&amp;display_string=Audit&amp;VAR:KEY=LAPOVQFER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WRE&amp;VAR:INDEX=0"}</definedName>
    <definedName function="false" hidden="true" name="_136__FDSAUDITLINK__" vbProcedure="false">{"fdsup://directions/FAT Viewer?action=UPDATE&amp;creator=factset&amp;DYN_ARGS=TRUE&amp;DOC_NAME=FAT:FQL_AUDITING_CLIENT_TEMPLATE.FAT&amp;display_string=Audit&amp;VAR:KEY=ZGFIVALUJY&amp;VAR:QUERY=RkZfRUJJVERBX09QRVIoTFRNLDAsLCwsVVNEKQ==&amp;WINDOW=FIRST_POPUP&amp;HEIGHT=450&amp;WIDTH=450&amp;STAR","T_MAXIMIZED=FALSE&amp;VAR:CALENDAR=US&amp;VAR:SYMBOL=SPN&amp;VAR:INDEX=0"}</definedName>
    <definedName function="false" hidden="true" name="_1372__FDSAUDITLINK__" vbProcedure="false">{"fdsup://Directions/FactSet Auditing Viewer?action=AUDIT_VALUE&amp;DB=129&amp;ID1=68273G10&amp;VALUEID=02001&amp;SDATE=201002&amp;PERIODTYPE=QTR_STD&amp;window=popup_no_bar&amp;width=385&amp;height=120&amp;START_MAXIMIZED=FALSE&amp;creator=factset&amp;display_string=Audit"}</definedName>
    <definedName function="false" hidden="true" name="_1378__FDSAUDITLINK__" vbProcedure="false">{"fdsup://Directions/FactSet Auditing Viewer?action=AUDIT_VALUE&amp;DB=129&amp;ID1=59497240&amp;VALUEID=02001&amp;SDATE=201001&amp;PERIODTYPE=QTR_STD&amp;window=popup_no_bar&amp;width=385&amp;height=120&amp;START_MAXIMIZED=FALSE&amp;creator=factset&amp;display_string=Audit"}</definedName>
    <definedName function="false" hidden="true" name="_137__FDSAUDITLINK__" vbProcedure="false">{"fdsup://directions/FAT Viewer?action=UPDATE&amp;creator=factset&amp;DYN_ARGS=TRUE&amp;DOC_NAME=FAT:FQL_AUDITING_CLIENT_TEMPLATE.FAT&amp;display_string=Audit&amp;VAR:KEY=BGRWHWLO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HPW&amp;VAR:INDEX=0"}</definedName>
    <definedName function="false" hidden="true" name="_1380__FDSAUDITLINK__" vbProcedure="false">{"fdsup://directions/FAT Viewer?action=UPDATE&amp;creator=factset&amp;DYN_ARGS=TRUE&amp;DOC_NAME=FAT:FQL_AUDITING_CLIENT_TEMPLATE.FAT&amp;display_string=Audit&amp;VAR:KEY=YBKRAXYHUV&amp;VAR:QUERY=KEZTTF9ORVRfSU5DKE5PVyxOT1csRlNBLCxVU0QpQEZGX05FVF9JTkMoTFRNUywwLCwsLFVTRCkp&amp;WINDOW=F","IRST_POPUP&amp;HEIGHT=450&amp;WIDTH=450&amp;START_MAXIMIZED=FALSE&amp;VAR:CALENDAR=US&amp;VAR:SYMBOL=NSR&amp;VAR:INDEX=0"}</definedName>
    <definedName function="false" hidden="true" name="_1382__FDSAUDITLINK__" vbProcedure="false">{"fdsup://Directions/FactSet Auditing Viewer?action=AUDIT_VALUE&amp;DB=129&amp;ID1=45031T87&amp;VALUEID=02001&amp;SDATE=201001&amp;PERIODTYPE=QTR_STD&amp;window=popup_no_bar&amp;width=385&amp;height=120&amp;START_MAXIMIZED=FALSE&amp;creator=factset&amp;display_string=Audit"}</definedName>
    <definedName function="false" hidden="true" name="_138__FDSAUDITLINK__" vbProcedure="false">{"fdsup://directions/FAT Viewer?action=UPDATE&amp;creator=factset&amp;DYN_ARGS=TRUE&amp;DOC_NAME=FAT:FQL_AUDITING_CLIENT_TEMPLATE.FAT&amp;display_string=Audit&amp;VAR:KEY=DUFWTSDU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NT&amp;VAR:INDEX=0"}</definedName>
    <definedName function="false" hidden="true" name="_139__FDSAUDITLINK__" vbProcedure="false">{"fdsup://directions/FAT Viewer?action=UPDATE&amp;creator=factset&amp;DYN_ARGS=TRUE&amp;DOC_NAME=FAT:FQL_AUDITING_CLIENT_TEMPLATE.FAT&amp;display_string=Audit&amp;VAR:KEY=VCFEPYLS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FN&amp;VAR:INDEX=0"}</definedName>
    <definedName function="false" hidden="true" name="_13_0_S" vbProcedure="false">#REF!</definedName>
    <definedName function="false" hidden="true" name="_13__123Graph_ADIAGR_5" vbProcedure="false">#REF!</definedName>
    <definedName function="false" hidden="true" name="_13__123Graph_BCHART_1" vbProcedure="false">#REF!</definedName>
    <definedName function="false" hidden="true" name="_13__123Graph_BMAG_PCE" vbProcedure="false">#REF!</definedName>
    <definedName function="false" hidden="true" name="_13__FDSAUDITLINK__" vbProcedure="false">{"fdsup://directions/FAT Viewer?action=UPDATE&amp;creator=factset&amp;DYN_ARGS=TRUE&amp;DOC_NAME=FAT:FQL_AUDITING_CLIENT_TEMPLATE.FAT&amp;display_string=Audit&amp;VAR:KEY=BKPURMHABG&amp;VAR:QUERY=KEZTTF9ORVRfSU5DKE5PVyxOT1csRlNBLCxVU0QpQEZGX05FVF9JTkMoTFRNUywwLCwsLFVTRCkp&amp;WINDOW=F","IRST_POPUP&amp;HEIGHT=450&amp;WIDTH=450&amp;START_MAXIMIZED=FALSE&amp;VAR:CALENDAR=US&amp;VAR:SYMBOL=NCR&amp;VAR:INDEX=0"}</definedName>
    <definedName function="false" hidden="true" name="_140__FDSAUDITLINK__" vbProcedure="false">{"fdsup://directions/FAT Viewer?action=UPDATE&amp;creator=factset&amp;DYN_ARGS=TRUE&amp;DOC_NAME=FAT:FQL_AUDITING_CLIENT_TEMPLATE.FAT&amp;display_string=Audit&amp;VAR:KEY=JUTIZEBYL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UTH&amp;VAR:INDEX=0"}</definedName>
    <definedName function="false" hidden="true" name="_1419__FDSAUDITLINK__" vbProcedure="false">{"fdsup://Directions/FactSet Auditing Viewer?action=AUDIT_VALUE&amp;DB=129&amp;ID1=79400610&amp;VALUEID=02001&amp;SDATE=201001&amp;PERIODTYPE=QTR_STD&amp;window=popup_no_bar&amp;width=385&amp;height=120&amp;START_MAXIMIZED=FALSE&amp;creator=factset&amp;display_string=Audit"}</definedName>
    <definedName function="false" hidden="true" name="_141__FDSAUDITLINK__" vbProcedure="false">{"fdsup://directions/FAT Viewer?action=UPDATE&amp;creator=factset&amp;DYN_ARGS=TRUE&amp;DOC_NAME=FAT:FQL_AUDITING_CLIENT_TEMPLATE.FAT&amp;display_string=Audit&amp;VAR:KEY=DARSROHI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RS&amp;VAR:INDEX=0"}</definedName>
    <definedName function="false" hidden="true" name="_142__FDSAUDITLINK__" vbProcedure="false">{"fdsup://directions/FAT Viewer?action=UPDATE&amp;creator=factset&amp;DYN_ARGS=TRUE&amp;DOC_NAME=FAT:FQL_AUDITING_CLIENT_TEMPLATE.FAT&amp;display_string=Audit&amp;VAR:KEY=JQJMTWNU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SYS&amp;VAR:INDEX=0"}</definedName>
    <definedName function="false" hidden="true" name="_143__FDSAUDITLINK__" vbProcedure="false">{"fdsup://directions/FAT Viewer?action=UPDATE&amp;creator=factset&amp;DYN_ARGS=TRUE&amp;DOC_NAME=FAT:FQL_AUDITING_CLIENT_TEMPLATE.FAT&amp;display_string=Audit&amp;VAR:KEY=JCHEJURW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EG&amp;VAR:INDEX=0"}</definedName>
    <definedName function="false" hidden="true" name="_144__123Graph_XCHART_1" vbProcedure="false">#REF!</definedName>
    <definedName function="false" hidden="true" name="_144__FDSAUDITLINK__" vbProcedure="false">{"fdsup://directions/FAT Viewer?action=UPDATE&amp;creator=factset&amp;DYN_ARGS=TRUE&amp;DOC_NAME=FAT:FQL_AUDITING_CLIENT_TEMPLATE.FAT&amp;display_string=Audit&amp;VAR:KEY=BUVKLCDCF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IA&amp;VAR:INDEX=0"}</definedName>
    <definedName function="false" hidden="true" name="_1453__FDSAUDITLINK__" vbProcedure="false">{"fdsup://Directions/FactSet Auditing Viewer?action=AUDIT_VALUE&amp;DB=129&amp;ID1=74346Y10&amp;VALUEID=02001&amp;SDATE=201002&amp;PERIODTYPE=QTR_STD&amp;window=popup_no_bar&amp;width=385&amp;height=120&amp;START_MAXIMIZED=FALSE&amp;creator=factset&amp;display_string=Audit"}</definedName>
    <definedName function="false" hidden="true" name="_145__FDSAUDITLINK__" vbProcedure="false">{"fdsup://directions/FAT Viewer?action=UPDATE&amp;creator=factset&amp;DYN_ARGS=TRUE&amp;DOC_NAME=FAT:FQL_AUDITING_CLIENT_TEMPLATE.FAT&amp;display_string=Audit&amp;VAR:KEY=RYDKLIHOFE&amp;VAR:QUERY=RkZfRUJJVERBX09QRVIoTFRNLDAsLCwsVVNEKQ==&amp;WINDOW=FIRST_POPUP&amp;HEIGHT=450&amp;WIDTH=450&amp;STAR","T_MAXIMIZED=FALSE&amp;VAR:CALENDAR=US&amp;VAR:SYMBOL=VTNC&amp;VAR:INDEX=0"}</definedName>
    <definedName function="false" hidden="true" name="_1460__FDSAUDITLINK__" vbProcedure="false">{"fdsup://Directions/FactSet Auditing Viewer?action=AUDIT_VALUE&amp;DB=129&amp;ID1=48273U10&amp;VALUEID=02001&amp;SDATE=201004&amp;PERIODTYPE=QTR_STD&amp;window=popup_no_bar&amp;width=385&amp;height=120&amp;START_MAXIMIZED=FALSE&amp;creator=factset&amp;display_string=Audit"}</definedName>
    <definedName function="false" hidden="true" name="_1464__FDSAUDITLINK__" vbProcedure="false">{"fdsup://Directions/FactSet Auditing Viewer?action=AUDIT_VALUE&amp;DB=129&amp;ID1=276332&amp;VALUEID=02001&amp;SDATE=201002&amp;PERIODTYPE=QTR_STD&amp;window=popup_no_bar&amp;width=385&amp;height=120&amp;START_MAXIMIZED=FALSE&amp;creator=factset&amp;display_string=Audit"}</definedName>
    <definedName function="false" hidden="true" name="_1465__FDSAUDITLINK__" vbProcedure="false">{"fdsup://Directions/FactSet Auditing Viewer?action=AUDIT_VALUE&amp;DB=129&amp;ID1=29444U50&amp;VALUEID=02001&amp;SDATE=201002&amp;PERIODTYPE=QTR_STD&amp;window=popup_no_bar&amp;width=385&amp;height=120&amp;START_MAXIMIZED=FALSE&amp;creator=factset&amp;display_string=Audit"}</definedName>
    <definedName function="false" hidden="true" name="_1467__FDSAUDITLINK__" vbProcedure="false">{"fdsup://directions/FAT Viewer?action=UPDATE&amp;creator=factset&amp;DYN_ARGS=TRUE&amp;DOC_NAME=FAT:FQL_AUDITING_CLIENT_TEMPLATE.FAT&amp;display_string=Audit&amp;VAR:KEY=PIZSNKHU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function="false" hidden="true" name="_1469__FDSAUDITLINK__" vbProcedure="false">{"fdsup://Directions/FactSet Auditing Viewer?action=AUDIT_VALUE&amp;DB=129&amp;ID1=54142L10&amp;VALUEID=02001&amp;SDATE=201002&amp;PERIODTYPE=QTR_STD&amp;window=popup_no_bar&amp;width=385&amp;height=120&amp;START_MAXIMIZED=FALSE&amp;creator=factset&amp;display_string=Audit"}</definedName>
    <definedName function="false" hidden="true" name="_146__FDSAUDITLINK__" vbProcedure="false">{"fdsup://directions/FAT Viewer?action=UPDATE&amp;creator=factset&amp;DYN_ARGS=TRUE&amp;DOC_NAME=FAT:FQL_AUDITING_CLIENT_TEMPLATE.FAT&amp;display_string=Audit&amp;VAR:KEY=LMFMTAXMBY&amp;VAR:QUERY=RkZfRUJJVERBX09QRVIoTFRNLDAsLCwsVVNEKQ==&amp;WINDOW=FIRST_POPUP&amp;HEIGHT=450&amp;WIDTH=450&amp;STAR","T_MAXIMIZED=FALSE&amp;VAR:CALENDAR=US&amp;VAR:SYMBOL=COMV&amp;VAR:INDEX=0"}</definedName>
    <definedName function="false" hidden="true" name="_147__FDSAUDITLINK__" vbProcedure="false">{"fdsup://directions/FAT Viewer?action=UPDATE&amp;creator=factset&amp;DYN_ARGS=TRUE&amp;DOC_NAME=FAT:FQL_AUDITING_CLIENT_TEMPLATE.FAT&amp;display_string=Audit&amp;VAR:KEY=BUBKVURAXQ&amp;VAR:QUERY=RkZfRUJJVERBX09QRVIoTFRNLDAsLCwsVVNEKQ==&amp;WINDOW=FIRST_POPUP&amp;HEIGHT=450&amp;WIDTH=450&amp;STAR","T_MAXIMIZED=FALSE&amp;VAR:CALENDAR=US&amp;VAR:SYMBOL=CRR&amp;VAR:INDEX=0"}</definedName>
    <definedName function="false" hidden="true" name="_148__FDSAUDITLINK__" vbProcedure="false">{"fdsup://directions/FAT Viewer?action=UPDATE&amp;creator=factset&amp;DYN_ARGS=TRUE&amp;DOC_NAME=FAT:FQL_AUDITING_CLIENT_TEMPLATE.FAT&amp;display_string=Audit&amp;VAR:KEY=NODSRKFUNC&amp;VAR:QUERY=RkZfRUJJVERBX09QRVIoTFRNLDAsLCwsVVNEKQ==&amp;WINDOW=FIRST_POPUP&amp;HEIGHT=450&amp;WIDTH=450&amp;STAR","T_MAXIMIZED=FALSE&amp;VAR:CALENDAR=US&amp;VAR:SYMBOL=USAK&amp;VAR:INDEX=0"}</definedName>
    <definedName function="false" hidden="true" name="_1497__FDSAUDITLINK__" vbProcedure="false">{"fdsup://Directions/FactSet Auditing Viewer?action=AUDIT_VALUE&amp;DB=129&amp;ID1=78493260&amp;VALUEID=02001&amp;SDATE=201001&amp;PERIODTYPE=QTR_STD&amp;window=popup_no_bar&amp;width=385&amp;height=120&amp;START_MAXIMIZED=FALSE&amp;creator=factset&amp;display_string=Audit"}</definedName>
    <definedName function="false" hidden="true" name="_149__FDSAUDITLINK__" vbProcedure="false">{"fdsup://directions/FAT Viewer?action=UPDATE&amp;creator=factset&amp;DYN_ARGS=TRUE&amp;DOC_NAME=FAT:FQL_AUDITING_CLIENT_TEMPLATE.FAT&amp;display_string=Audit&amp;VAR:KEY=BERWXUVKJY&amp;VAR:QUERY=RkZfRUJJVERBX09QRVIoTFRNLDAsLCwsVVNEKQ==&amp;WINDOW=FIRST_POPUP&amp;HEIGHT=450&amp;WIDTH=450&amp;STAR","T_MAXIMIZED=FALSE&amp;VAR:CALENDAR=US&amp;VAR:SYMBOL=PWER&amp;VAR:INDEX=0"}</definedName>
    <definedName function="false" hidden="true" name="_14_0_Table2_" vbProcedure="false">#REF!</definedName>
    <definedName function="false" hidden="true" name="_14__123Graph_ADIAGR_9" vbProcedure="false">#REF!</definedName>
    <definedName function="false" hidden="true" name="_14__123Graph_BCHART_3" vbProcedure="false">#REF!</definedName>
    <definedName function="false" hidden="true" name="_14__123Graph_BNRET_PCE" vbProcedure="false">#REF!</definedName>
    <definedName function="false" hidden="true" name="_14__123Graph_C_FABP_L.WK1_FAB" vbProcedure="false">#REF!</definedName>
    <definedName function="false" hidden="true" name="_14__123Graph_XChart_1A" vbProcedure="false">#REF!</definedName>
    <definedName function="false" hidden="true" name="_14__FDSAUDITLINK__" vbProcedure="false">{"fdsup://directions/FAT Viewer?action=UPDATE&amp;creator=factset&amp;DYN_ARGS=TRUE&amp;DOC_NAME=FAT:FQL_AUDITING_CLIENT_TEMPLATE.FAT&amp;display_string=Audit&amp;VAR:KEY=MZWVYBSLCD&amp;VAR:QUERY=RkZfRUJJVERBX09QRVIoTFRNLDAsLCwsVVNEKQ==&amp;WINDOW=FIRST_POPUP&amp;HEIGHT=450&amp;WIDTH=450&amp;STAR","T_MAXIMIZED=FALSE&amp;VAR:CALENDAR=US&amp;VAR:SYMBOL=PDC&amp;VAR:INDEX=0"}</definedName>
    <definedName function="false" hidden="true" name="_1505__FDSAUDITLINK__" vbProcedure="false">{"fdsup://Directions/FactSet Auditing Viewer?action=AUDIT_VALUE&amp;DB=129&amp;ID1=45668X20&amp;VALUEID=02001&amp;SDATE=201002&amp;PERIODTYPE=QTR_STD&amp;window=popup_no_bar&amp;width=385&amp;height=120&amp;START_MAXIMIZED=FALSE&amp;creator=factset&amp;display_string=Audit"}</definedName>
    <definedName function="false" hidden="true" name="_150__FDSAUDITLINK__" vbProcedure="false">{"fdsup://directions/FAT Viewer?action=UPDATE&amp;creator=factset&amp;DYN_ARGS=TRUE&amp;DOC_NAME=FAT:FQL_AUDITING_CLIENT_TEMPLATE.FAT&amp;display_string=Audit&amp;VAR:KEY=TIJQHYXYNW&amp;VAR:QUERY=RkZfRUJJVERBX09QRVIoTFRNLDAsLCwsVVNEKQ==&amp;WINDOW=FIRST_POPUP&amp;HEIGHT=450&amp;WIDTH=450&amp;STAR","T_MAXIMIZED=FALSE&amp;VAR:CALENDAR=US&amp;VAR:SYMBOL=PDC&amp;VAR:INDEX=0"}</definedName>
    <definedName function="false" hidden="true" name="_1510__FDSAUDITLINK__" vbProcedure="false">{"fdsup://directions/FAT Viewer?action=UPDATE&amp;creator=factset&amp;DYN_ARGS=TRUE&amp;DOC_NAME=FAT:FQL_AUDITING_CLIENT_TEMPLATE.FAT&amp;display_string=Audit&amp;VAR:KEY=RSPUBUZIPE&amp;VAR:QUERY=KEZTTF9ORVRfSU5DKE5PVyxOT1csRlNBLCxVU0QpQEZGX05FVF9JTkMoTFRNUywwLCwsLFVTRCkp&amp;WINDOW=F","IRST_POPUP&amp;HEIGHT=450&amp;WIDTH=450&amp;START_MAXIMIZED=FALSE&amp;VAR:CALENDAR=US&amp;VAR:SYMBOL=VRAZ&amp;VAR:INDEX=0"}</definedName>
    <definedName function="false" hidden="true" name="_1511__FDSAUDITLINK__" vbProcedure="false">{"fdsup://directions/FAT Viewer?action=UPDATE&amp;creator=factset&amp;DYN_ARGS=TRUE&amp;DOC_NAME=FAT:FQL_AUDITING_CLIENT_TEMPLATE.FAT&amp;display_string=Audit&amp;VAR:KEY=HCDUBAVE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WK&amp;VAR:INDEX=0"}</definedName>
    <definedName function="false" hidden="true" name="_1512__FDSAUDITLINK__" vbProcedure="false">{"fdsup://directions/FAT Viewer?action=UPDATE&amp;creator=factset&amp;DYN_ARGS=TRUE&amp;DOC_NAME=FAT:FQL_AUDITING_CLIENT_TEMPLATE.FAT&amp;display_string=Audit&amp;VAR:KEY=RAHWHUBQPG&amp;VAR:QUERY=KEZTTF9ORVRfSU5DKE5PVyxOT1csRlNBLCxVU0QpQEZGX05FVF9JTkMoTFRNUywwLCwsLFVTRCkp&amp;WINDOW=F","IRST_POPUP&amp;HEIGHT=450&amp;WIDTH=450&amp;START_MAXIMIZED=FALSE&amp;VAR:CALENDAR=US&amp;VAR:SYMBOL=CHYR&amp;VAR:INDEX=0"}</definedName>
    <definedName function="false" hidden="true" name="_1513__FDSAUDITLINK__" vbProcedure="false">{"fdsup://directions/FAT Viewer?action=UPDATE&amp;creator=factset&amp;DYN_ARGS=TRUE&amp;DOC_NAME=FAT:FQL_AUDITING_CLIENT_TEMPLATE.FAT&amp;display_string=Audit&amp;VAR:KEY=NINYZIXA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ECD&amp;VAR:INDEX=0"}</definedName>
    <definedName function="false" hidden="true" name="_1514__FDSAUDITLINK__" vbProcedure="false">{"fdsup://Directions/FactSet Auditing Viewer?action=AUDIT_VALUE&amp;DB=129&amp;ID1=64120810&amp;VALUEID=02001&amp;SDATE=201001&amp;PERIODTYPE=QTR_STD&amp;window=popup_no_bar&amp;width=385&amp;height=120&amp;START_MAXIMIZED=FALSE&amp;creator=factset&amp;display_string=Audit"}</definedName>
    <definedName function="false" hidden="true" name="_1515__FDSAUDITLINK__" vbProcedure="false">{"fdsup://Directions/FactSet Auditing Viewer?action=AUDIT_VALUE&amp;DB=129&amp;ID1=92335910&amp;VALUEID=02001&amp;SDATE=201002&amp;PERIODTYPE=QTR_STD&amp;window=popup_no_bar&amp;width=385&amp;height=120&amp;START_MAXIMIZED=FALSE&amp;creator=factset&amp;display_string=Audit"}</definedName>
    <definedName function="false" hidden="true" name="_1516__FDSAUDITLINK__" vbProcedure="false">{"fdsup://directions/FAT Viewer?action=UPDATE&amp;creator=factset&amp;DYN_ARGS=TRUE&amp;DOC_NAME=FAT:FQL_AUDITING_CLIENT_TEMPLATE.FAT&amp;display_string=Audit&amp;VAR:KEY=TWVYBITOVI&amp;VAR:QUERY=KEZTTF9ORVRfSU5DKE5PVyxOT1csRlNBLCxVU0QpQEZGX05FVF9JTkMoTFRNUywwLCwsLFVTRCkp&amp;WINDOW=F","IRST_POPUP&amp;HEIGHT=450&amp;WIDTH=450&amp;START_MAXIMIZED=FALSE&amp;VAR:CALENDAR=US&amp;VAR:SYMBOL=SAAS&amp;VAR:INDEX=0"}</definedName>
    <definedName function="false" hidden="true" name="_1517__FDSAUDITLINK__" vbProcedure="false">{"fdsup://directions/FAT Viewer?action=UPDATE&amp;creator=factset&amp;DYN_ARGS=TRUE&amp;DOC_NAME=FAT:FQL_AUDITING_CLIENT_TEMPLATE.FAT&amp;display_string=Audit&amp;VAR:KEY=ZERGNKPCHK&amp;VAR:QUERY=KEZTTF9ORVRfSU5DKE5PVyxOT1csRlNBLCxVU0QpQEZGX05FVF9JTkMoTFRNUywwLCwsLFVTRCkp&amp;WINDOW=F","IRST_POPUP&amp;HEIGHT=450&amp;WIDTH=450&amp;START_MAXIMIZED=FALSE&amp;VAR:CALENDAR=US&amp;VAR:SYMBOL=DMAN&amp;VAR:INDEX=0"}</definedName>
    <definedName function="false" hidden="true" name="_1518__FDSAUDITLINK__" vbProcedure="false">{"fdsup://directions/FAT Viewer?action=UPDATE&amp;creator=factset&amp;DYN_ARGS=TRUE&amp;DOC_NAME=FAT:FQL_AUDITING_CLIENT_TEMPLATE.FAT&amp;display_string=Audit&amp;VAR:KEY=LMNMDITILU&amp;VAR:QUERY=KEZTTF9ORVRfSU5DKE5PVyxOT1csRlNBLCxVU0QpQEZGX05FVF9JTkMoTFRNUywwLCwsLFVTRCkp&amp;WINDOW=F","IRST_POPUP&amp;HEIGHT=450&amp;WIDTH=450&amp;START_MAXIMIZED=FALSE&amp;VAR:CALENDAR=US&amp;VAR:SYMBOL=LOOP&amp;VAR:INDEX=0"}</definedName>
    <definedName function="false" hidden="true" name="_1519__FDSAUDITLINK__" vbProcedure="false">{"fdsup://directions/FAT Viewer?action=UPDATE&amp;creator=factset&amp;DYN_ARGS=TRUE&amp;DOC_NAME=FAT:FQL_AUDITING_CLIENT_TEMPLATE.FAT&amp;display_string=Audit&amp;VAR:KEY=ZQVQHYPWNW&amp;VAR:QUERY=KEZTTF9ORVRfSU5DKE5PVyxOT1csRlNBLCxVU0QpQEZGX05FVF9JTkMoTFRNUywwLCwsLFVTRCkp&amp;WINDOW=F","IRST_POPUP&amp;HEIGHT=450&amp;WIDTH=450&amp;START_MAXIMIZED=FALSE&amp;VAR:CALENDAR=US&amp;VAR:SYMBOL=CTCT&amp;VAR:INDEX=0"}</definedName>
    <definedName function="false" hidden="true" name="_151__FDSAUDITLINK__" vbProcedure="false">{"fdsup://directions/FAT Viewer?action=UPDATE&amp;creator=factset&amp;DYN_ARGS=TRUE&amp;DOC_NAME=FAT:FQL_AUDITING_CLIENT_TEMPLATE.FAT&amp;display_string=Audit&amp;VAR:KEY=JSJWNMDMZK&amp;VAR:QUERY=RkZfRUJJVERBX09QRVIoTFRNLDAsLCwsVVNEKQ==&amp;WINDOW=FIRST_POPUP&amp;HEIGHT=450&amp;WIDTH=450&amp;STAR","T_MAXIMIZED=FALSE&amp;VAR:CALENDAR=US&amp;VAR:SYMBOL=DVR&amp;VAR:INDEX=0"}</definedName>
    <definedName function="false" hidden="true" name="_1520__FDSAUDITLINK__" vbProcedure="false">{"fdsup://directions/FAT Viewer?action=UPDATE&amp;creator=factset&amp;DYN_ARGS=TRUE&amp;DOC_NAME=FAT:FQL_AUDITING_CLIENT_TEMPLATE.FAT&amp;display_string=Audit&amp;VAR:KEY=DOXWHGPQVK&amp;VAR:QUERY=KEZTTF9ORVRfSU5DKE5PVyxOT1csRlNBLCxVU0QpQEZGX05FVF9JTkMoTFRNUywwLCwsLFVTRCkp&amp;WINDOW=F","IRST_POPUP&amp;HEIGHT=450&amp;WIDTH=450&amp;START_MAXIMIZED=FALSE&amp;VAR:CALENDAR=US&amp;VAR:SYMBOL=TRAK&amp;VAR:INDEX=0"}</definedName>
    <definedName function="false" hidden="true" name="_1521__FDSAUDITLINK__" vbProcedure="false">{"fdsup://directions/FAT Viewer?action=UPDATE&amp;creator=factset&amp;DYN_ARGS=TRUE&amp;DOC_NAME=FAT:FQL_AUDITING_CLIENT_TEMPLATE.FAT&amp;display_string=Audit&amp;VAR:KEY=NUXKVILMFY&amp;VAR:QUERY=KEZTTF9ORVRfSU5DKE5PVyxOT1csRlNBLCxVU0QpQEZGX05FVF9JTkMoTFRNUywwLCwsLFVTRCkp&amp;WINDOW=F","IRST_POPUP&amp;HEIGHT=450&amp;WIDTH=450&amp;START_MAXIMIZED=FALSE&amp;VAR:CALENDAR=US&amp;VAR:SYMBOL=LOGM&amp;VAR:INDEX=0"}</definedName>
    <definedName function="false" hidden="true" name="_1522__FDSAUDITLINK__" vbProcedure="false">{"fdsup://directions/FAT Viewer?action=UPDATE&amp;creator=factset&amp;DYN_ARGS=TRUE&amp;DOC_NAME=FAT:FQL_AUDITING_CLIENT_TEMPLATE.FAT&amp;display_string=Audit&amp;VAR:KEY=HAXMLMVUPS&amp;VAR:QUERY=KEZTTF9ORVRfSU5DKE5PVyxOT1csRlNBLCxVU0QpQEZGX05FVF9JTkMoTFRNUywwLCwsLFVTRCkp&amp;WINDOW=F","IRST_POPUP&amp;HEIGHT=450&amp;WIDTH=450&amp;START_MAXIMIZED=FALSE&amp;VAR:CALENDAR=US&amp;VAR:SYMBOL=RNOW&amp;VAR:INDEX=0"}</definedName>
    <definedName function="false" hidden="true" name="_1523__FDSAUDITLINK__" vbProcedure="false">{"fdsup://directions/FAT Viewer?action=UPDATE&amp;creator=factset&amp;DYN_ARGS=TRUE&amp;DOC_NAME=FAT:FQL_AUDITING_CLIENT_TEMPLATE.FAT&amp;display_string=Audit&amp;VAR:KEY=DMXYZWNCHK&amp;VAR:QUERY=KEZTTF9ORVRfSU5DKE5PVyxOT1csRlNBLCxVU0QpQEZGX05FVF9JTkMoTFRNUywwLCwsLFVTRCkp&amp;WINDOW=F","IRST_POPUP&amp;HEIGHT=450&amp;WIDTH=450&amp;START_MAXIMIZED=FALSE&amp;VAR:CALENDAR=US&amp;VAR:SYMBOL=ULTI&amp;VAR:INDEX=0"}</definedName>
    <definedName function="false" hidden="true" name="_1524__FDSAUDITLINK__" vbProcedure="false">{"fdsup://directions/FAT Viewer?action=UPDATE&amp;creator=factset&amp;DYN_ARGS=TRUE&amp;DOC_NAME=FAT:FQL_AUDITING_CLIENT_TEMPLATE.FAT&amp;display_string=Audit&amp;VAR:KEY=NWNULILSVA&amp;VAR:QUERY=KEZTTF9ORVRfSU5DKE5PVyxOT1csRlNBLCxVU0QpQEZGX05FVF9JTkMoTFRNUywwLCwsLFVTRCkp&amp;WINDOW=F","IRST_POPUP&amp;HEIGHT=450&amp;WIDTH=450&amp;START_MAXIMIZED=FALSE&amp;VAR:CALENDAR=US&amp;VAR:SYMBOL=ATHN&amp;VAR:INDEX=0"}</definedName>
    <definedName function="false" hidden="true" name="_1525__FDSAUDITLINK__" vbProcedure="false">{"fdsup://directions/FAT Viewer?action=UPDATE&amp;creator=factset&amp;DYN_ARGS=TRUE&amp;DOC_NAME=FAT:FQL_AUDITING_CLIENT_TEMPLATE.FAT&amp;display_string=Audit&amp;VAR:KEY=BODCNIFGDW&amp;VAR:QUERY=KEZTTF9ORVRfSU5DKE5PVyxOT1csRlNBLCxVU0QpQEZGX05FVF9JTkMoTFRNUywwLCwsLFVTRCkp&amp;WINDOW=F","IRST_POPUP&amp;HEIGHT=450&amp;WIDTH=450&amp;START_MAXIMIZED=FALSE&amp;VAR:CALENDAR=US&amp;VAR:SYMBOL=SWI&amp;VAR:INDEX=0"}</definedName>
    <definedName function="false" hidden="true" name="_1526__FDSAUDITLINK__" vbProcedure="false">{"fdsup://directions/FAT Viewer?action=UPDATE&amp;creator=factset&amp;DYN_ARGS=TRUE&amp;DOC_NAME=FAT:FQL_AUDITING_CLIENT_TEMPLATE.FAT&amp;display_string=Audit&amp;VAR:KEY=NWJCXCBCXC&amp;VAR:QUERY=KEZTTF9ORVRfSU5DKE5PVyxOT1csRlNBLCxVU0QpQEZGX05FVF9JTkMoTFRNUywwLCwsLFVTRCkp&amp;WINDOW=F","IRST_POPUP&amp;HEIGHT=450&amp;WIDTH=450&amp;START_MAXIMIZED=FALSE&amp;VAR:CALENDAR=US&amp;VAR:SYMBOL=N&amp;VAR:INDEX=0"}</definedName>
    <definedName function="false" hidden="true" name="_1527__FDSAUDITLINK__" vbProcedure="false">{"fdsup://directions/FAT Viewer?action=UPDATE&amp;creator=factset&amp;DYN_ARGS=TRUE&amp;DOC_NAME=FAT:FQL_AUDITING_CLIENT_TEMPLATE.FAT&amp;display_string=Audit&amp;VAR:KEY=LIPCZAPYZS&amp;VAR:QUERY=KEZTTF9ORVRfSU5DKE5PVyxOT1csRlNBLCxVU0QpQEZGX05FVF9JTkMoTFRNUywwLCwsLFVTRCkp&amp;WINDOW=F","IRST_POPUP&amp;HEIGHT=450&amp;WIDTH=450&amp;START_MAXIMIZED=FALSE&amp;VAR:CALENDAR=US&amp;VAR:SYMBOL=OPEN&amp;VAR:INDEX=0"}</definedName>
    <definedName function="false" hidden="true" name="_1528__FDSAUDITLINK__" vbProcedure="false">{"fdsup://directions/FAT Viewer?action=UPDATE&amp;creator=factset&amp;DYN_ARGS=TRUE&amp;DOC_NAME=FAT:FQL_AUDITING_CLIENT_TEMPLATE.FAT&amp;display_string=Audit&amp;VAR:KEY=BANMNIXIRO&amp;VAR:QUERY=KEZTTF9ORVRfSU5DKE5PVyxOT1csRlNBLCxVU0QpQEZGX05FVF9JTkMoTFRNUywwLCwsLFVTRCkp&amp;WINDOW=F","IRST_POPUP&amp;HEIGHT=450&amp;WIDTH=450&amp;START_MAXIMIZED=FALSE&amp;VAR:CALENDAR=US&amp;VAR:SYMBOL=BBBB&amp;VAR:INDEX=0"}</definedName>
    <definedName function="false" hidden="true" name="_1529__FDSAUDITLINK__" vbProcedure="false">{"fdsup://directions/FAT Viewer?action=UPDATE&amp;creator=factset&amp;DYN_ARGS=TRUE&amp;DOC_NAME=FAT:FQL_AUDITING_CLIENT_TEMPLATE.FAT&amp;display_string=Audit&amp;VAR:KEY=VMPYFOTGPU&amp;VAR:QUERY=KEZTTF9ORVRfSU5DKE5PVyxOT1csRlNBLCxVU0QpQEZGX05FVF9JTkMoTFRNUywwLCwsLFVTRCkp&amp;WINDOW=F","IRST_POPUP&amp;HEIGHT=450&amp;WIDTH=450&amp;START_MAXIMIZED=FALSE&amp;VAR:CALENDAR=US&amp;VAR:SYMBOL=CNQR&amp;VAR:INDEX=0"}</definedName>
    <definedName function="false" hidden="true" name="_152__FDSAUDITLINK__" vbProcedure="false">{"fdsup://directions/FAT Viewer?action=UPDATE&amp;creator=factset&amp;DYN_ARGS=TRUE&amp;DOC_NAME=FAT:FQL_AUDITING_CLIENT_TEMPLATE.FAT&amp;display_string=Audit&amp;VAR:KEY=JCNWFMHKVE&amp;VAR:QUERY=RkZfRUJJVERBX09QRVIoTFRNLDAsLCwsVVNEKQ==&amp;WINDOW=FIRST_POPUP&amp;HEIGHT=450&amp;WIDTH=450&amp;STAR","T_MAXIMIZED=FALSE&amp;VAR:CALENDAR=US&amp;VAR:SYMBOL=NFX&amp;VAR:INDEX=0"}</definedName>
    <definedName function="false" hidden="true" name="_1530__FDSAUDITLINK__" vbProcedure="false">{"fdsup://Directions/FactSet Auditing Viewer?action=AUDIT_VALUE&amp;DB=129&amp;ID1=68389X10&amp;VALUEID=02001&amp;SDATE=201001&amp;PERIODTYPE=QTR_STD&amp;window=popup_no_bar&amp;width=385&amp;height=120&amp;START_MAXIMIZED=FALSE&amp;creator=factset&amp;display_string=Audit"}</definedName>
    <definedName function="false" hidden="true" name="_1531__FDSAUDITLINK__" vbProcedure="false">{"fdsup://directions/FAT Viewer?action=UPDATE&amp;creator=factset&amp;DYN_ARGS=TRUE&amp;DOC_NAME=FAT:FQL_AUDITING_CLIENT_TEMPLATE.FAT&amp;display_string=Audit&amp;VAR:KEY=LGPGNUTO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function="false" hidden="true" name="_1532__FDSAUDITLINK__" vbProcedure="false">{"fdsup://directions/FAT Viewer?action=UPDATE&amp;creator=factset&amp;DYN_ARGS=TRUE&amp;DOC_NAME=FAT:FQL_AUDITING_CLIENT_TEMPLATE.FAT&amp;display_string=Audit&amp;VAR:KEY=DSRKHOBM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AS&amp;VAR:INDEX=0"}</definedName>
    <definedName function="false" hidden="true" name="_1533__FDSAUDITLINK__" vbProcedure="false">{"fdsup://directions/FAT Viewer?action=UPDATE&amp;creator=factset&amp;DYN_ARGS=TRUE&amp;DOC_NAME=FAT:FQL_AUDITING_CLIENT_TEMPLATE.FAT&amp;display_string=Audit&amp;VAR:KEY=TWHCBAVO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AN&amp;VAR:INDEX=0"}</definedName>
    <definedName function="false" hidden="true" name="_1534__FDSAUDITLINK__" vbProcedure="false">{"fdsup://directions/FAT Viewer?action=UPDATE&amp;creator=factset&amp;DYN_ARGS=TRUE&amp;DOC_NAME=FAT:FQL_AUDITING_CLIENT_TEMPLATE.FAT&amp;display_string=Audit&amp;VAR:KEY=BGXITEBS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function="false" hidden="true" name="_1535__FDSAUDITLINK__" vbProcedure="false">{"fdsup://directions/FAT Viewer?action=UPDATE&amp;creator=factset&amp;DYN_ARGS=TRUE&amp;DOC_NAME=FAT:FQL_AUDITING_CLIENT_TEMPLATE.FAT&amp;display_string=Audit&amp;VAR:KEY=HKNKJYZC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CT&amp;VAR:INDEX=0"}</definedName>
    <definedName function="false" hidden="true" name="_1536__FDSAUDITLINK__" vbProcedure="false">{"fdsup://directions/FAT Viewer?action=UPDATE&amp;creator=factset&amp;DYN_ARGS=TRUE&amp;DOC_NAME=FAT:FQL_AUDITING_CLIENT_TEMPLATE.FAT&amp;display_string=Audit&amp;VAR:KEY=NAXUJADE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RAK&amp;VAR:INDEX=0"}</definedName>
    <definedName function="false" hidden="true" name="_1537__FDSAUDITLINK__" vbProcedure="false">{"fdsup://Directions/FactSet Auditing Viewer?action=AUDIT_VALUE&amp;DB=129&amp;ID1=92858J10&amp;VALUEID=02001&amp;SDATE=201002&amp;PERIODTYPE=QTR_STD&amp;window=popup_no_bar&amp;width=385&amp;height=120&amp;START_MAXIMIZED=FALSE&amp;creator=factset&amp;display_string=Audit"}</definedName>
    <definedName function="false" hidden="true" name="_1538__FDSAUDITLINK__" vbProcedure="false">{"fdsup://directions/FAT Viewer?action=UPDATE&amp;creator=factset&amp;DYN_ARGS=TRUE&amp;DOC_NAME=FAT:FQL_AUDITING_CLIENT_TEMPLATE.FAT&amp;display_string=Audit&amp;VAR:KEY=LMXQDGRA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OW&amp;VAR:INDEX=0"}</definedName>
    <definedName function="false" hidden="true" name="_1539__FDSAUDITLINK__" vbProcedure="false">{"fdsup://directions/FAT Viewer?action=UPDATE&amp;creator=factset&amp;DYN_ARGS=TRUE&amp;DOC_NAME=FAT:FQL_AUDITING_CLIENT_TEMPLATE.FAT&amp;display_string=Audit&amp;VAR:KEY=RQNANGL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TI&amp;VAR:INDEX=0"}</definedName>
    <definedName function="false" hidden="true" name="_153__FDSAUDITLINK__" vbProcedure="false">{"fdsup://directions/FAT Viewer?action=UPDATE&amp;creator=factset&amp;DYN_ARGS=TRUE&amp;DOC_NAME=FAT:FQL_AUDITING_CLIENT_TEMPLATE.FAT&amp;display_string=Audit&amp;VAR:KEY=HAJABILCTE&amp;VAR:QUERY=RkZfRUJJVERBX09QRVIoTFRNLDAsLCwsVVNEKQ==&amp;WINDOW=FIRST_POPUP&amp;HEIGHT=450&amp;WIDTH=450&amp;STAR","T_MAXIMIZED=FALSE&amp;VAR:CALENDAR=US&amp;VAR:SYMBOL=AIR&amp;VAR:INDEX=0"}</definedName>
    <definedName function="false" hidden="true" name="_1540__FDSAUDITLINK__" vbProcedure="false">{"fdsup://Directions/FactSet Auditing Viewer?action=AUDIT_VALUE&amp;DB=129&amp;ID1=79400610&amp;VALUEID=02001&amp;SDATE=201001&amp;PERIODTYPE=QTR_STD&amp;window=popup_no_bar&amp;width=385&amp;height=120&amp;START_MAXIMIZED=FALSE&amp;creator=factset&amp;display_string=Audit"}</definedName>
    <definedName function="false" hidden="true" name="_1541__FDSAUDITLINK__" vbProcedure="false">{"fdsup://Directions/FactSet Auditing Viewer?action=AUDIT_VALUE&amp;DB=129&amp;ID1=45336E10&amp;VALUEID=02001&amp;SDATE=201002&amp;PERIODTYPE=QTR_STD&amp;window=popup_no_bar&amp;width=385&amp;height=120&amp;START_MAXIMIZED=FALSE&amp;creator=factset&amp;display_string=Audit"}</definedName>
    <definedName function="false" hidden="true" name="_1542__FDSAUDITLINK__" vbProcedure="false">{"fdsup://Directions/FactSet Auditing Viewer?action=AUDIT_VALUE&amp;DB=129&amp;ID1=24802R50&amp;VALUEID=02001&amp;SDATE=201002&amp;PERIODTYPE=QTR_STD&amp;window=popup_no_bar&amp;width=385&amp;height=120&amp;START_MAXIMIZED=FALSE&amp;creator=factset&amp;display_string=Audit"}</definedName>
    <definedName function="false" hidden="true" name="_1543__FDSAUDITLINK__" vbProcedure="false">{"fdsup://Directions/FactSet Auditing Viewer?action=AUDIT_VALUE&amp;DB=129&amp;ID1=54352430&amp;VALUEID=02001&amp;SDATE=201002&amp;PERIODTYPE=QTR_STD&amp;window=popup_no_bar&amp;width=385&amp;height=120&amp;START_MAXIMIZED=FALSE&amp;creator=factset&amp;display_string=Audit"}</definedName>
    <definedName function="false" hidden="true" name="_1544__FDSAUDITLINK__" vbProcedure="false">{"fdsup://Directions/FactSet Auditing Viewer?action=AUDIT_VALUE&amp;DB=129&amp;ID1=21031310&amp;VALUEID=02001&amp;SDATE=201002&amp;PERIODTYPE=QTR_STD&amp;window=popup_no_bar&amp;width=385&amp;height=120&amp;START_MAXIMIZED=FALSE&amp;creator=factset&amp;display_string=Audit"}</definedName>
    <definedName function="false" hidden="true" name="_1545__FDSAUDITLINK__" vbProcedure="false">{"fdsup://Directions/FactSet Auditing Viewer?action=AUDIT_VALUE&amp;DB=129&amp;ID1=24230910&amp;VALUEID=02001&amp;SDATE=201002&amp;PERIODTYPE=QTR_STD&amp;window=popup_no_bar&amp;width=385&amp;height=120&amp;START_MAXIMIZED=FALSE&amp;creator=factset&amp;display_string=Audit"}</definedName>
    <definedName function="false" hidden="true" name="_1546__FDSAUDITLINK__" vbProcedure="false">{"fdsup://Directions/FactSet Auditing Viewer?action=AUDIT_VALUE&amp;DB=129&amp;ID1=54142L10&amp;VALUEID=02001&amp;SDATE=201002&amp;PERIODTYPE=QTR_STD&amp;window=popup_no_bar&amp;width=385&amp;height=120&amp;START_MAXIMIZED=FALSE&amp;creator=factset&amp;display_string=Audit"}</definedName>
    <definedName function="false" hidden="true" name="_1547__FDSAUDITLINK__" vbProcedure="false">{"fdsup://directions/FAT Viewer?action=UPDATE&amp;creator=factset&amp;DYN_ARGS=TRUE&amp;DOC_NAME=FAT:FQL_AUDITING_CLIENT_TEMPLATE.FAT&amp;display_string=Audit&amp;VAR:KEY=RWNOPKXCP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amp;VAR:INDEX=0"}</definedName>
    <definedName function="false" hidden="true" name="_1548__FDSAUDITLINK__" vbProcedure="false">{"fdsup://directions/FAT Viewer?action=UPDATE&amp;creator=factset&amp;DYN_ARGS=TRUE&amp;DOC_NAME=FAT:FQL_AUDITING_CLIENT_TEMPLATE.FAT&amp;display_string=Audit&amp;VAR:KEY=DSBIDCLYFC&amp;VAR:QUERY=KEZTTF9ORVRfSU5DKE5PVyxOT1csRlNBLCxVU0QpQEZGX05FVF9JTkMoTFRNUywwLCwsLFVTRCkp&amp;WINDOW=F","IRST_POPUP&amp;HEIGHT=450&amp;WIDTH=450&amp;START_MAXIMIZED=FALSE&amp;VAR:CALENDAR=US&amp;VAR:SYMBOL=JKHY&amp;VAR:INDEX=0"}</definedName>
    <definedName function="false" hidden="true" name="_1549__FDSAUDITLINK__" vbProcedure="false">{"fdsup://Directions/FactSet Auditing Viewer?action=AUDIT_VALUE&amp;DB=129&amp;ID1=83416B10&amp;VALUEID=02001&amp;SDATE=201002&amp;PERIODTYPE=QTR_STD&amp;window=popup_no_bar&amp;width=385&amp;height=120&amp;START_MAXIMIZED=FALSE&amp;creator=factset&amp;display_string=Audit"}</definedName>
    <definedName function="false" hidden="true" name="_154__FDSAUDITLINK__" vbProcedure="false">{"fdsup://directions/FAT Viewer?action=UPDATE&amp;creator=factset&amp;DYN_ARGS=TRUE&amp;DOC_NAME=FAT:FQL_AUDITING_CLIENT_TEMPLATE.FAT&amp;display_string=Audit&amp;VAR:KEY=BGLIFCDKJQ&amp;VAR:QUERY=RkZfRUJJVERBX09QRVIoTFRNLDAsLCwsVVNEKQ==&amp;WINDOW=FIRST_POPUP&amp;HEIGHT=450&amp;WIDTH=450&amp;STAR","T_MAXIMIZED=FALSE&amp;VAR:CALENDAR=US&amp;VAR:SYMBOL=PSUN&amp;VAR:INDEX=0"}</definedName>
    <definedName function="false" hidden="true" name="_1550__FDSAUDITLINK__" vbProcedure="false">{"fdsup://directions/FAT Viewer?action=UPDATE&amp;creator=factset&amp;DYN_ARGS=TRUE&amp;DOC_NAME=FAT:FQL_AUDITING_CLIENT_TEMPLATE.FAT&amp;display_string=Audit&amp;VAR:KEY=VKPUHWHM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EN&amp;VAR:INDEX=0"}</definedName>
    <definedName function="false" hidden="true" name="_1551__FDSAUDITLINK__" vbProcedure="false">{"fdsup://directions/FAT Viewer?action=UPDATE&amp;creator=factset&amp;DYN_ARGS=TRUE&amp;DOC_NAME=FAT:FQL_AUDITING_CLIENT_TEMPLATE.FAT&amp;display_string=Audit&amp;VAR:KEY=LKLANOXK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BB&amp;VAR:INDEX=0"}</definedName>
    <definedName function="false" hidden="true" name="_1552__FDSAUDITLINK__" vbProcedure="false">{"fdsup://directions/FAT Viewer?action=UPDATE&amp;creator=factset&amp;DYN_ARGS=TRUE&amp;DOC_NAME=FAT:FQL_AUDITING_CLIENT_TEMPLATE.FAT&amp;display_string=Audit&amp;VAR:KEY=JYJAHCL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QR&amp;VAR:INDEX=0"}</definedName>
    <definedName function="false" hidden="true" name="_1553__FDSAUDITLINK__" vbProcedure="false">{"fdsup://Directions/FactSet Auditing Viewer?action=AUDIT_VALUE&amp;DB=129&amp;ID1=45920010&amp;VALUEID=02001&amp;SDATE=201003&amp;PERIODTYPE=QTR_STD&amp;window=popup_no_bar&amp;width=385&amp;height=120&amp;START_MAXIMIZED=FALSE&amp;creator=factset&amp;display_string=Audit"}</definedName>
    <definedName function="false" hidden="true" name="_1554__FDSAUDITLINK__" vbProcedure="false">{"fdsup://directions/FAT Viewer?action=UPDATE&amp;creator=factset&amp;DYN_ARGS=TRUE&amp;DOC_NAME=FAT:FQL_AUDITING_CLIENT_TEMPLATE.FAT&amp;display_string=Audit&amp;VAR:KEY=FADOZKNWPY&amp;VAR:QUERY=KEZTTF9ORVRfSU5DKE5PVyxOT1csRlNBLCxVU0QpQEZGX05FVF9JTkMoTFRNUywwLCwsLFVTRCkp&amp;WINDOW=F","IRST_POPUP&amp;HEIGHT=450&amp;WIDTH=450&amp;START_MAXIMIZED=FALSE&amp;VAR:CALENDAR=US&amp;VAR:SYMBOL=MSFT&amp;VAR:INDEX=0"}</definedName>
    <definedName function="false" hidden="true" name="_1555__FDSAUDITLINK__" vbProcedure="false">{"fdsup://Directions/FactSet Auditing Viewer?action=AUDIT_VALUE&amp;DB=129&amp;ID1=90385D10&amp;VALUEID=02001&amp;SDATE=201002&amp;PERIODTYPE=QTR_STD&amp;window=popup_no_bar&amp;width=385&amp;height=120&amp;START_MAXIMIZED=FALSE&amp;creator=factset&amp;display_string=Audit"}</definedName>
    <definedName function="false" hidden="true" name="_1556__FDSAUDITLINK__" vbProcedure="false">{"fdsup://directions/FAT Viewer?action=UPDATE&amp;creator=factset&amp;DYN_ARGS=TRUE&amp;DOC_NAME=FAT:FQL_AUDITING_CLIENT_TEMPLATE.FAT&amp;display_string=Audit&amp;VAR:KEY=LGDAZWVSTQ&amp;VAR:QUERY=KEZTTF9ORVRfSU5DKE5PVyxOT1csRlNBLCxVU0QpQEZGX05FVF9JTkMoTFRNUywwLCwsLFVTRCkp&amp;WINDOW=F","IRST_POPUP&amp;HEIGHT=450&amp;WIDTH=450&amp;START_MAXIMIZED=FALSE&amp;VAR:CALENDAR=US&amp;VAR:SYMBOL=NWK&amp;VAR:INDEX=0"}</definedName>
    <definedName function="false" hidden="true" name="_1557__FDSAUDITLINK__" vbProcedure="false">{"fdsup://directions/FAT Viewer?action=UPDATE&amp;creator=factset&amp;DYN_ARGS=TRUE&amp;DOC_NAME=FAT:FQL_AUDITING_CLIENT_TEMPLATE.FAT&amp;display_string=Audit&amp;VAR:KEY=DMPQXABQ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RY&amp;VAR:INDEX=0"}</definedName>
    <definedName function="false" hidden="true" name="_1558__FDSAUDITLINK__" vbProcedure="false">{"fdsup://Directions/FactSet Auditing Viewer?action=AUDIT_VALUE&amp;DB=129&amp;ID1=64118Q10&amp;VALUEID=02001&amp;SDATE=201002&amp;PERIODTYPE=QTR_STD&amp;window=popup_no_bar&amp;width=385&amp;height=120&amp;START_MAXIMIZED=FALSE&amp;creator=factset&amp;display_string=Audit"}</definedName>
    <definedName function="false" hidden="true" name="_1559__FDSAUDITLINK__" vbProcedure="false">{"fdsup://Directions/FactSet Auditing Viewer?action=AUDIT_VALUE&amp;DB=129&amp;ID1=68372A10&amp;VALUEID=02001&amp;SDATE=201002&amp;PERIODTYPE=QTR_STD&amp;window=popup_no_bar&amp;width=385&amp;height=120&amp;START_MAXIMIZED=FALSE&amp;creator=factset&amp;display_string=Audit"}</definedName>
    <definedName function="false" hidden="true" name="_155__FDSAUDITLINK__" vbProcedure="false">{"fdsup://Directions/FactSet Auditing Viewer?action=AUDIT_VALUE&amp;DB=129&amp;ID1=45903910&amp;VALUEID=02001&amp;SDATE=201003&amp;PERIODTYPE=QTR_STD&amp;window=popup_no_bar&amp;width=385&amp;height=120&amp;START_MAXIMIZED=FALSE&amp;creator=factset&amp;display_string=Audit"}</definedName>
    <definedName function="false" hidden="true" name="_1560__FDSAUDITLINK__" vbProcedure="false">{"fdsup://Directions/FactSet Auditing Viewer?action=AUDIT_VALUE&amp;DB=129&amp;ID1=09193550&amp;VALUEID=02001&amp;SDATE=201002&amp;PERIODTYPE=QTR_STD&amp;window=popup_no_bar&amp;width=385&amp;height=120&amp;START_MAXIMIZED=FALSE&amp;creator=factset&amp;display_string=Audit"}</definedName>
    <definedName function="false" hidden="true" name="_1561__FDSAUDITLINK__" vbProcedure="false">{"fdsup://directions/FAT Viewer?action=UPDATE&amp;creator=factset&amp;DYN_ARGS=TRUE&amp;DOC_NAME=FAT:FQL_AUDITING_CLIENT_TEMPLATE.FAT&amp;display_string=Audit&amp;VAR:KEY=ROVGXMBCVU&amp;VAR:QUERY=KEZTTF9ORVRfSU5DKE5PVyxOT1csRlNBLCxVU0QpQEZGX05FVF9JTkMoTFRNUywwLCwsLFVTRCkp&amp;WINDOW=F","IRST_POPUP&amp;HEIGHT=450&amp;WIDTH=450&amp;START_MAXIMIZED=FALSE&amp;VAR:CALENDAR=US&amp;VAR:SYMBOL=LRN&amp;VAR:INDEX=0"}</definedName>
    <definedName function="false" hidden="true" name="_1562__FDSAUDITLINK__" vbProcedure="false">{"fdsup://Directions/FactSet Auditing Viewer?action=AUDIT_VALUE&amp;DB=129&amp;ID1=79466L30&amp;VALUEID=02001&amp;SDATE=201002&amp;PERIODTYPE=QTR_STD&amp;window=popup_no_bar&amp;width=385&amp;height=120&amp;START_MAXIMIZED=FALSE&amp;creator=factset&amp;display_string=Audit"}</definedName>
    <definedName function="false" hidden="true" name="_1563__FDSAUDITLINK__" vbProcedure="false">{"fdsup://directions/FAT Viewer?action=UPDATE&amp;creator=factset&amp;DYN_ARGS=TRUE&amp;DOC_NAME=FAT:FQL_AUDITING_CLIENT_TEMPLATE.FAT&amp;display_string=Audit&amp;VAR:KEY=SJURMBYBOF&amp;VAR:QUERY=KEZTTF9ORVRfSU5DKE5PVyxOT1csRlNBLCxVU0QpQEZGX05FVF9JTkMoTFRNUywwLCwsLFVTRCkp&amp;WINDOW=F","IRST_POPUP&amp;HEIGHT=450&amp;WIDTH=450&amp;START_MAXIMIZED=FALSE&amp;VAR:CALENDAR=US&amp;VAR:SYMBOL=SPSC&amp;VAR:INDEX=0"}</definedName>
    <definedName function="false" hidden="true" name="_1564__FDSAUDITLINK__" vbProcedure="false">{"fdsup://directions/FAT Viewer?action=UPDATE&amp;creator=factset&amp;DYN_ARGS=TRUE&amp;DOC_NAME=FAT:FQL_AUDITING_CLIENT_TEMPLATE.FAT&amp;display_string=Audit&amp;VAR:KEY=UHMNKZEHIJ&amp;VAR:QUERY=KEZTTF9ORVRfSU5DKE5PVyxOT1csRlNBLCxVU0QpQEZGX05FVF9JTkMoTFRNUywwLCwsLFVTRCkp&amp;WINDOW=F","IRST_POPUP&amp;HEIGHT=450&amp;WIDTH=450&amp;START_MAXIMIZED=FALSE&amp;VAR:CALENDAR=US&amp;VAR:SYMBOL=PRFT&amp;VAR:INDEX=0"}</definedName>
    <definedName function="false" hidden="true" name="_1565__FDSAUDITLINK__" vbProcedure="false">{"fdsup://directions/FAT Viewer?action=UPDATE&amp;creator=factset&amp;DYN_ARGS=TRUE&amp;DOC_NAME=FAT:FQL_AUDITING_CLIENT_TEMPLATE.FAT&amp;display_string=Audit&amp;VAR:KEY=CTSDUFSDGV&amp;VAR:QUERY=KEZTTF9ORVRfSU5DKE5PVyxOT1csRlNBLCxVU0QpQEZGX05FVF9JTkMoTFRNUywwLCwsLFVTRCkp&amp;WINDOW=F","IRST_POPUP&amp;HEIGHT=450&amp;WIDTH=450&amp;START_MAXIMIZED=FALSE&amp;VAR:CALENDAR=US&amp;VAR:SYMBOL=TYL&amp;VAR:INDEX=0"}</definedName>
    <definedName function="false" hidden="true" name="_1566__FDSAUDITLINK__" vbProcedure="false">{"fdsup://directions/FAT Viewer?action=UPDATE&amp;creator=factset&amp;DYN_ARGS=TRUE&amp;DOC_NAME=FAT:FQL_AUDITING_CLIENT_TEMPLATE.FAT&amp;display_string=Audit&amp;VAR:KEY=INEVARSLCD&amp;VAR:QUERY=KEZTTF9ORVRfSU5DKE5PVyxOT1csRlNBLCxVU0QpQEZGX05FVF9JTkMoTFRNUywwLCwsLFVTRCkp&amp;WINDOW=F","IRST_POPUP&amp;HEIGHT=450&amp;WIDTH=450&amp;START_MAXIMIZED=FALSE&amp;VAR:CALENDAR=US&amp;VAR:SYMBOL=CVG&amp;VAR:INDEX=0"}</definedName>
    <definedName function="false" hidden="true" name="_1567__FDSAUDITLINK__" vbProcedure="false">{"fdsup://directions/FAT Viewer?action=UPDATE&amp;creator=factset&amp;DYN_ARGS=TRUE&amp;DOC_NAME=FAT:FQL_AUDITING_CLIENT_TEMPLATE.FAT&amp;display_string=Audit&amp;VAR:KEY=ENQBKHWDA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function="false" hidden="true" name="_1568__FDSAUDITLINK__" vbProcedure="false">{"fdsup://directions/FAT Viewer?action=UPDATE&amp;creator=factset&amp;DYN_ARGS=TRUE&amp;DOC_NAME=FAT:FQL_AUDITING_CLIENT_TEMPLATE.FAT&amp;display_string=Audit&amp;VAR:KEY=LOXYBEHGJM&amp;VAR:QUERY=KEZTTF9ORVRfSU5DKE5PVyxOT1csRlNBLCxVU0QpQEZGX05FVF9JTkMoTFRNUywwLCwsLFVTRCkp&amp;WINDOW=F","IRST_POPUP&amp;HEIGHT=450&amp;WIDTH=450&amp;START_MAXIMIZED=FALSE&amp;VAR:CALENDAR=US&amp;VAR:SYMBOL=TDC&amp;VAR:INDEX=0"}</definedName>
    <definedName function="false" hidden="true" name="_1569__FDSAUDITLINK__" vbProcedure="false">{"fdsup://directions/FAT Viewer?action=UPDATE&amp;creator=factset&amp;DYN_ARGS=TRUE&amp;DOC_NAME=FAT:FQL_AUDITING_CLIENT_TEMPLATE.FAT&amp;display_string=Audit&amp;VAR:KEY=HOPARCLEHC&amp;VAR:QUERY=KEZTTF9ORVRfSU5DKE5PVyxOT1csRlNBLCxVU0QpQEZGX05FVF9JTkMoTFRNUywwLCwsLFVTRCkp&amp;WINDOW=F","IRST_POPUP&amp;HEIGHT=450&amp;WIDTH=450&amp;START_MAXIMIZED=FALSE&amp;VAR:CALENDAR=US&amp;VAR:SYMBOL=702196&amp;VAR:INDEX=0"}</definedName>
    <definedName function="false" hidden="true" name="_156__FDSAUDITLINK__" vbProcedure="false">{"fdsup://directions/FAT Viewer?action=UPDATE&amp;creator=factset&amp;DYN_ARGS=TRUE&amp;DOC_NAME=FAT:FQL_AUDITING_CLIENT_TEMPLATE.FAT&amp;display_string=Audit&amp;VAR:KEY=DCLMDKXYXY&amp;VAR:QUERY=RkZfRUJJVERBX09QRVIoTFRNLDAsLCwsVVNEKQ==&amp;WINDOW=FIRST_POPUP&amp;HEIGHT=450&amp;WIDTH=450&amp;STAR","T_MAXIMIZED=FALSE&amp;VAR:CALENDAR=US&amp;VAR:SYMBOL=CVTI&amp;VAR:INDEX=0"}</definedName>
    <definedName function="false" hidden="true" name="_1570__FDSAUDITLINK__" vbProcedure="false">{"fdsup://Directions/FactSet Auditing Viewer?action=AUDIT_VALUE&amp;DB=129&amp;ID1=78463M10&amp;VALUEID=02001&amp;SDATE=201002&amp;PERIODTYPE=QTR_STD&amp;window=popup_no_bar&amp;width=385&amp;height=120&amp;START_MAXIMIZED=FALSE&amp;creator=factset&amp;display_string=Audit"}</definedName>
    <definedName function="false" hidden="true" name="_1571__FDSAUDITLINK__" vbProcedure="false">{"fdsup://Directions/FactSet Auditing Viewer?action=AUDIT_VALUE&amp;DB=129&amp;ID1=71375U10&amp;VALUEID=02001&amp;SDATE=201002&amp;PERIODTYPE=QTR_STD&amp;window=popup_no_bar&amp;width=385&amp;height=120&amp;START_MAXIMIZED=FALSE&amp;creator=factset&amp;display_string=Audit"}</definedName>
    <definedName function="false" hidden="true" name="_1572__FDSAUDITLINK__" vbProcedure="false">{"fdsup://Directions/FactSet Auditing Viewer?action=AUDIT_VALUE&amp;DB=129&amp;ID1=90225210&amp;VALUEID=02001&amp;SDATE=201002&amp;PERIODTYPE=QTR_STD&amp;window=popup_no_bar&amp;width=385&amp;height=120&amp;START_MAXIMIZED=FALSE&amp;creator=factset&amp;display_string=Audit"}</definedName>
    <definedName function="false" hidden="true" name="_1573__FDSAUDITLINK__" vbProcedure="false">{"fdsup://Directions/FactSet Auditing Viewer?action=AUDIT_VALUE&amp;DB=129&amp;ID1=21248510&amp;VALUEID=02001&amp;SDATE=201002&amp;PERIODTYPE=QTR_STD&amp;window=popup_no_bar&amp;width=385&amp;height=120&amp;START_MAXIMIZED=FALSE&amp;creator=factset&amp;display_string=Audit"}</definedName>
    <definedName function="false" hidden="true" name="_1574__FDSAUDITLINK__" vbProcedure="false">{"fdsup://directions/FAT Viewer?action=UPDATE&amp;creator=factset&amp;DYN_ARGS=TRUE&amp;DOC_NAME=FAT:FQL_AUDITING_CLIENT_TEMPLATE.FAT&amp;display_string=Audit&amp;VAR:KEY=IFCVSTMFC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G&amp;VAR:INDEX=0"}</definedName>
    <definedName function="false" hidden="true" name="_1575__FDSAUDITLINK__" vbProcedure="false">{"fdsup://directions/FAT Viewer?action=UPDATE&amp;creator=factset&amp;DYN_ARGS=TRUE&amp;DOC_NAME=FAT:FQL_AUDITING_CLIENT_TEMPLATE.FAT&amp;display_string=Audit&amp;VAR:KEY=BKDKZGBYDS&amp;VAR:QUERY=KEZTTF9ORVRfSU5DKE5PVyxOT1csRlNBLCxVU0QpQEZGX05FVF9JTkMoTFRNUywwLCwsLFVTRCkp&amp;WINDOW=F","IRST_POPUP&amp;HEIGHT=450&amp;WIDTH=450&amp;START_MAXIMIZED=FALSE&amp;VAR:CALENDAR=US&amp;VAR:SYMBOL=FICO&amp;VAR:INDEX=0"}</definedName>
    <definedName function="false" hidden="true" name="_1576__FDSAUDITLINK__" vbProcedure="false">{"fdsup://directions/FAT Viewer?action=UPDATE&amp;creator=factset&amp;DYN_ARGS=TRUE&amp;DOC_NAME=FAT:FQL_AUDITING_CLIENT_TEMPLATE.FAT&amp;display_string=Audit&amp;VAR:KEY=TGHGXWLW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CR&amp;VAR:INDEX=0"}</definedName>
    <definedName function="false" hidden="true" name="_1577__FDSAUDITLINK__" vbProcedure="false">{"fdsup://directions/FAT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function="false" hidden="true" name="_1578__FDSAUDITLINK__" vbProcedure="false">{"fdsup://directions/FAT Viewer?action=UPDATE&amp;creator=factset&amp;DYN_ARGS=TRUE&amp;DOC_NAME=FAT:FQL_AUDITING_CLIENT_TEMPLATE.FAT&amp;display_string=Audit&amp;VAR:KEY=PWLUNSDU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00P3M&amp;VAR:INDEX=0"}</definedName>
    <definedName function="false" hidden="true" name="_1579__FDSAUDITLINK__" vbProcedure="false">{"fdsup://directions/FAT Viewer?action=UPDATE&amp;creator=factset&amp;DYN_ARGS=TRUE&amp;DOC_NAME=FAT:FQL_AUDITING_CLIENT_TEMPLATE.FAT&amp;display_string=Audit&amp;VAR:KEY=BERCVWRI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CO&amp;VAR:INDEX=0"}</definedName>
    <definedName function="false" hidden="true" name="_157__FDSAUDITLINK__" vbProcedure="false">{"fdsup://directions/FAT Viewer?action=UPDATE&amp;creator=factset&amp;DYN_ARGS=TRUE&amp;DOC_NAME=FAT:FQL_AUDITING_CLIENT_TEMPLATE.FAT&amp;display_string=Audit&amp;VAR:KEY=PSXUBYRORW&amp;VAR:QUERY=RkZfRUJJVERBX09QRVIoTFRNLDAsLCwsVVNEKQ==&amp;WINDOW=FIRST_POPUP&amp;HEIGHT=450&amp;WIDTH=450&amp;STAR","T_MAXIMIZED=FALSE&amp;VAR:CALENDAR=US&amp;VAR:SYMBOL=CBEY&amp;VAR:INDEX=0"}</definedName>
    <definedName function="false" hidden="true" name="_1580__FDSAUDITLINK__" vbProcedure="false">{"fdsup://directions/FAT Viewer?action=UPDATE&amp;creator=factset&amp;DYN_ARGS=TRUE&amp;DOC_NAME=FAT:FQL_AUDITING_CLIENT_TEMPLATE.FAT&amp;display_string=Audit&amp;VAR:KEY=PMROZSHC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KHY&amp;VAR:INDEX=0"}</definedName>
    <definedName function="false" hidden="true" name="_1581__FDSAUDITLINK__" vbProcedure="false">{"fdsup://Directions/FactSet Auditing Viewer?action=AUDIT_VALUE&amp;DB=129&amp;ID1=23332610&amp;VALUEID=02001&amp;SDATE=201002&amp;PERIODTYPE=QTR_STD&amp;window=popup_no_bar&amp;width=385&amp;height=120&amp;START_MAXIMIZED=FALSE&amp;creator=factset&amp;display_string=Audit"}</definedName>
    <definedName function="false" hidden="true" name="_1582__FDSAUDITLINK__" vbProcedure="false">{"fdsup://directions/FAT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function="false" hidden="true" name="_1583__FDSAUDITLINK__" vbProcedure="false">{"fdsup://Directions/FactSet Auditing Viewer?action=AUDIT_VALUE&amp;DB=129&amp;ID1=42628110&amp;VALUEID=02001&amp;SDATE=201004&amp;PERIODTYPE=QTR_STD&amp;window=popup_no_bar&amp;width=385&amp;height=120&amp;START_MAXIMIZED=FALSE&amp;creator=factset&amp;display_string=Audit"}</definedName>
    <definedName function="false" hidden="true" name="_1584__FDSAUDITLINK__" vbProcedure="false">{"fdsup://Directions/FactSet Auditing Viewer?action=AUDIT_VALUE&amp;DB=129&amp;ID1=075902&amp;VALUEID=02001&amp;SDATE=201001&amp;PERIODTYPE=SEMI_STD&amp;window=popup_no_bar&amp;width=385&amp;height=120&amp;START_MAXIMIZED=FALSE&amp;creator=factset&amp;display_string=Audit"}</definedName>
    <definedName function="false" hidden="true" name="_1585__FDSAUDITLINK__" vbProcedure="false">{"fdsup://Directions/FactSet Auditing Viewer?action=AUDIT_VALUE&amp;DB=129&amp;ID1=30325010&amp;VALUEID=02001&amp;SDATE=201003&amp;PERIODTYPE=QTR_STD&amp;window=popup_no_bar&amp;width=385&amp;height=120&amp;START_MAXIMIZED=FALSE&amp;creator=factset&amp;display_string=Audit"}</definedName>
    <definedName function="false" hidden="true" name="_1586__FDSAUDITLINK__" vbProcedure="false">{"fdsup://Directions/FactSet Auditing Viewer?action=AUDIT_VALUE&amp;DB=129&amp;ID1=62886E10&amp;VALUEID=02001&amp;SDATE=201003&amp;PERIODTYPE=QTR_STD&amp;window=popup_no_bar&amp;width=385&amp;height=120&amp;START_MAXIMIZED=FALSE&amp;creator=factset&amp;display_string=Audit"}</definedName>
    <definedName function="false" hidden="true" name="_1587__FDSAUDITLINK__" vbProcedure="false">{"fdsup://directions/FAT Viewer?action=UPDATE&amp;creator=factset&amp;DYN_ARGS=TRUE&amp;DOC_NAME=FAT:FQL_AUDITING_CLIENT_TEMPLATE.FAT&amp;display_string=Audit&amp;VAR:KEY=JWPWPWHALS&amp;VAR:QUERY=KEZTTF9ORVRfSU5DKE5PVyxOT1csRlNBLCxVU0QpQEZGX05FVF9JTkMoTFRNUywwLCwsLFVTRCkp&amp;WINDOW=F","IRST_POPUP&amp;HEIGHT=450&amp;WIDTH=450&amp;START_MAXIMIZED=FALSE&amp;VAR:CALENDAR=US&amp;VAR:SYMBOL=TTPA&amp;VAR:INDEX=0"}</definedName>
    <definedName function="false" hidden="true" name="_1588__FDSAUDITLINK__" vbProcedure="false">{"fdsup://directions/FAT Viewer?action=UPDATE&amp;creator=factset&amp;DYN_ARGS=TRUE&amp;DOC_NAME=FAT:FQL_AUDITING_CLIENT_TEMPLATE.FAT&amp;display_string=Audit&amp;VAR:KEY=HCXONQTGZQ&amp;VAR:QUERY=KEZTTF9ORVRfSU5DKE5PVyxOT1csRlNBLCxVU0QpQEZGX05FVF9JTkMoTFRNUywwLCwsLFVTRCkp&amp;WINDOW=F","IRST_POPUP&amp;HEIGHT=450&amp;WIDTH=450&amp;START_MAXIMIZED=FALSE&amp;VAR:CALENDAR=US&amp;VAR:SYMBOL=063002&amp;VAR:INDEX=0"}</definedName>
    <definedName function="false" hidden="true" name="_1589__FDSAUDITLINK__" vbProcedure="false">{"fdsup://directions/FAT Viewer?action=UPDATE&amp;creator=factset&amp;DYN_ARGS=TRUE&amp;DOC_NAME=FAT:FQL_AUDITING_CLIENT_TEMPLATE.FAT&amp;display_string=Audit&amp;VAR:KEY=LIDYTONKTQ&amp;VAR:QUERY=KEZTTF9ORVRfSU5DKE5PVyxOT1csRlNBLCxVU0QpQEZGX05FVF9JTkMoTFRNUywwLCwsLFVTRCkp&amp;WINDOW=F","IRST_POPUP&amp;HEIGHT=450&amp;WIDTH=450&amp;START_MAXIMIZED=FALSE&amp;VAR:CALENDAR=US&amp;VAR:SYMBOL=596787&amp;VAR:INDEX=0"}</definedName>
    <definedName function="false" hidden="true" name="_158__FDSAUDITLINK__" vbProcedure="false">{"fdsup://directions/FAT Viewer?action=UPDATE&amp;creator=factset&amp;DYN_ARGS=TRUE&amp;DOC_NAME=FAT:FQL_AUDITING_CLIENT_TEMPLATE.FAT&amp;display_string=Audit&amp;VAR:KEY=FQHOPUHABE&amp;VAR:QUERY=RkZfRUJJVERBX09QRVIoTFRNLDAsLCwsVVNEKQ==&amp;WINDOW=FIRST_POPUP&amp;HEIGHT=450&amp;WIDTH=450&amp;STAR","T_MAXIMIZED=FALSE&amp;VAR:CALENDAR=US&amp;VAR:SYMBOL=CSFS&amp;VAR:INDEX=0"}</definedName>
    <definedName function="false" hidden="true" name="_1590__FDSAUDITLINK__" vbProcedure="false">{"fdsup://directions/FAT Viewer?action=UPDATE&amp;creator=factset&amp;DYN_ARGS=TRUE&amp;DOC_NAME=FAT:FQL_AUDITING_CLIENT_TEMPLATE.FAT&amp;display_string=Audit&amp;VAR:KEY=LEBMZCFUTU&amp;VAR:QUERY=KEZTTF9ORVRfSU5DKE5PVyxOT1csRlNBLCxVU0QpQEZGX05FVF9JTkMoTFRNUywwLCwsLFVTRCkp&amp;WINDOW=F","IRST_POPUP&amp;HEIGHT=450&amp;WIDTH=450&amp;START_MAXIMIZED=FALSE&amp;VAR:CALENDAR=US&amp;VAR:SYMBOL=BR&amp;VAR:INDEX=0"}</definedName>
    <definedName function="false" hidden="true" name="_1591__FDSAUDITLINK__" vbProcedure="false">{"fdsup://directions/FAT Viewer?action=UPDATE&amp;creator=factset&amp;DYN_ARGS=TRUE&amp;DOC_NAME=FAT:FQL_AUDITING_CLIENT_TEMPLATE.FAT&amp;display_string=Audit&amp;VAR:KEY=HEVSTWVELO&amp;VAR:QUERY=KEZTTF9ORVRfSU5DKE5PVyxOT1csRlNBLCxVU0QpQEZGX05FVF9JTkMoTFRNUywwLCwsLFVTRCkp&amp;WINDOW=F","IRST_POPUP&amp;HEIGHT=450&amp;WIDTH=450&amp;START_MAXIMIZED=FALSE&amp;VAR:CALENDAR=US&amp;VAR:SYMBOL=TIBX&amp;VAR:INDEX=0"}</definedName>
    <definedName function="false" hidden="true" name="_1592__FDSAUDITLINK__" vbProcedure="false">{"fdsup://directions/FAT Viewer?action=UPDATE&amp;creator=factset&amp;DYN_ARGS=TRUE&amp;DOC_NAME=FAT:FQL_AUDITING_CLIENT_TEMPLATE.FAT&amp;display_string=Audit&amp;VAR:KEY=VUNMPCXMJY&amp;VAR:QUERY=KEZTTF9ORVRfSU5DKE5PVyxOT1csRlNBLCxVU0QpQEZGX05FVF9JTkMoTFRNUywwLCwsLFVTRCkp&amp;WINDOW=F","IRST_POPUP&amp;HEIGHT=450&amp;WIDTH=450&amp;START_MAXIMIZED=FALSE&amp;VAR:CALENDAR=US&amp;VAR:SYMBOL=SEIC&amp;VAR:INDEX=0"}</definedName>
    <definedName function="false" hidden="true" name="_1593__FDSAUDITLINK__" vbProcedure="false">{"fdsup://directions/FAT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function="false" hidden="true" name="_1594__FDSAUDITLINK__" vbProcedure="false">{"fdsup://Directions/FactSet Auditing Viewer?action=AUDIT_VALUE&amp;DB=129&amp;ID1=594228&amp;VALUEID=02001&amp;SDATE=201002&amp;PERIODTYPE=QTR_STD&amp;window=popup_no_bar&amp;width=385&amp;height=120&amp;START_MAXIMIZED=FALSE&amp;creator=factset&amp;display_string=Audit"}</definedName>
    <definedName function="false" hidden="true" name="_1595__FDSAUDITLINK__" vbProcedure="false">{"fdsup://directions/FAT Viewer?action=UPDATE&amp;creator=factset&amp;DYN_ARGS=TRUE&amp;DOC_NAME=FAT:FQL_AUDITING_CLIENT_TEMPLATE.FAT&amp;display_string=Audit&amp;VAR:KEY=HSDSJMXWJ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PA&amp;VAR:INDEX=0"}</definedName>
    <definedName function="false" hidden="true" name="_1596__FDSAUDITLINK__" vbProcedure="false">{"fdsup://Directions/FactSet Auditing Viewer?action=AUDIT_VALUE&amp;DB=129&amp;ID1=063002&amp;VALUEID=02001&amp;SDATE=201001&amp;PERIODTYPE=SEMI_STD&amp;window=popup_no_bar&amp;width=385&amp;height=120&amp;START_MAXIMIZED=FALSE&amp;creator=factset&amp;display_string=Audit"}</definedName>
    <definedName function="false" hidden="true" name="_1597__FDSAUDITLINK__" vbProcedure="false">{"fdsup://Directions/FactSet Auditing Viewer?action=AUDIT_VALUE&amp;DB=129&amp;ID1=463573&amp;VALUEID=02001&amp;SDATE=201001&amp;PERIODTYPE=QTR_STD&amp;window=popup_no_bar&amp;width=385&amp;height=120&amp;START_MAXIMIZED=FALSE&amp;creator=factset&amp;display_string=Audit"}</definedName>
    <definedName function="false" hidden="true" name="_1598__FDSAUDITLINK__" vbProcedure="false">{"fdsup://Directions/FactSet Auditing Viewer?action=AUDIT_VALUE&amp;DB=129&amp;ID1=038578&amp;VALUEID=02001&amp;SDATE=200902&amp;PERIODTYPE=SEMI_STD&amp;window=popup_no_bar&amp;width=385&amp;height=120&amp;START_MAXIMIZED=FALSE&amp;creator=factset&amp;display_string=Audit"}</definedName>
    <definedName function="false" hidden="true" name="_1599__FDSAUDITLINK__" vbProcedure="false">{"fdsup://Directions/FactSet Auditing Viewer?action=AUDIT_VALUE&amp;DB=129&amp;ID1=11133T10&amp;VALUEID=02001&amp;SDATE=201004&amp;PERIODTYPE=QTR_STD&amp;window=popup_no_bar&amp;width=385&amp;height=120&amp;START_MAXIMIZED=FALSE&amp;creator=factset&amp;display_string=Audit"}</definedName>
    <definedName function="false" hidden="true" name="_159__FDSAUDITLINK__" vbProcedure="false">{"fdsup://directions/FAT Viewer?action=UPDATE&amp;creator=factset&amp;DYN_ARGS=TRUE&amp;DOC_NAME=FAT:FQL_AUDITING_CLIENT_TEMPLATE.FAT&amp;display_string=Audit&amp;VAR:KEY=JGNQZCHIPO&amp;VAR:QUERY=RkZfRUJJVERBX09QRVIoTFRNLDAsLCwsVVNEKQ==&amp;WINDOW=FIRST_POPUP&amp;HEIGHT=450&amp;WIDTH=450&amp;STAR","T_MAXIMIZED=FALSE&amp;VAR:CALENDAR=US&amp;VAR:SYMBOL=UDRL&amp;VAR:INDEX=0"}</definedName>
    <definedName function="false" hidden="true" name="_15_0_Table2_" vbProcedure="false">#REF!</definedName>
    <definedName function="false" hidden="true" name="_15__123Graph_BDIAGR_10" vbProcedure="false">#REF!</definedName>
    <definedName function="false" hidden="true" name="_15__123Graph_BNRT_PCE" vbProcedure="false">#REF!</definedName>
    <definedName function="false" hidden="true" name="_15__123Graph_XChart_58B" vbProcedure="false">#REF!</definedName>
    <definedName function="false" hidden="true" name="_15__FDSAUDITLINK__" vbProcedure="false">{"fdsup://directions/FAT Viewer?action=UPDATE&amp;creator=factset&amp;DYN_ARGS=TRUE&amp;DOC_NAME=FAT:FQL_AUDITING_CLIENT_TEMPLATE.FAT&amp;display_string=Audit&amp;VAR:KEY=OXAJADGZIL&amp;VAR:QUERY=RkZfRUJJVERBX09QRVIoTFRNLDAsLCwsVVNEKQ==&amp;WINDOW=FIRST_POPUP&amp;HEIGHT=450&amp;WIDTH=450&amp;STAR","T_MAXIMIZED=FALSE&amp;VAR:CALENDAR=US&amp;VAR:SYMBOL=KRO&amp;VAR:INDEX=0"}</definedName>
    <definedName function="false" hidden="true" name="_1600__FDSAUDITLINK__" vbProcedure="false">{"fdsup://Directions/FactSet Auditing Viewer?action=AUDIT_VALUE&amp;DB=129&amp;ID1=78411710&amp;VALUEID=02001&amp;SDATE=201003&amp;PERIODTYPE=QTR_STD&amp;window=popup_no_bar&amp;width=385&amp;height=120&amp;START_MAXIMIZED=FALSE&amp;creator=factset&amp;display_string=Audit"}</definedName>
    <definedName function="false" hidden="true" name="_1601__FDSAUDITLINK__" vbProcedure="false">{"fdsup://Directions/FactSet Auditing Viewer?action=AUDIT_VALUE&amp;DB=129&amp;ID1=33773810&amp;VALUEID=02001&amp;SDATE=201002&amp;PERIODTYPE=QTR_STD&amp;window=popup_no_bar&amp;width=385&amp;height=120&amp;START_MAXIMIZED=FALSE&amp;creator=factset&amp;display_string=Audit"}</definedName>
    <definedName function="false" hidden="true" name="_1602__FDSAUDITLINK__" vbProcedure="false">{"fdsup://directions/FAT Viewer?action=UPDATE&amp;creator=factset&amp;DYN_ARGS=TRUE&amp;DOC_NAME=FAT:FQL_AUDITING_CLIENT_TEMPLATE.FAT&amp;display_string=Audit&amp;VAR:KEY=VEHENWDE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063002&amp;VAR:INDEX=0"}</definedName>
    <definedName function="false" hidden="true" name="_1603__FDSAUDITLINK__" vbProcedure="false">{"fdsup://directions/FAT Viewer?action=UPDATE&amp;creator=factset&amp;DYN_ARGS=TRUE&amp;DOC_NAME=FAT:FQL_AUDITING_CLIENT_TEMPLATE.FAT&amp;display_string=Audit&amp;VAR:KEY=NGPGJETY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596787&amp;VAR:INDEX=0"}</definedName>
    <definedName function="false" hidden="true" name="_1604__FDSAUDITLINK__" vbProcedure="false">{"fdsup://directions/FAT Viewer?action=UPDATE&amp;creator=factset&amp;DYN_ARGS=TRUE&amp;DOC_NAME=FAT:FQL_AUDITING_CLIENT_TEMPLATE.FAT&amp;display_string=Audit&amp;VAR:KEY=DQHIZWHU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R&amp;VAR:INDEX=0"}</definedName>
    <definedName function="false" hidden="true" name="_1605__FDSAUDITLINK__" vbProcedure="false">{"fdsup://directions/FAT Viewer?action=UPDATE&amp;creator=factset&amp;DYN_ARGS=TRUE&amp;DOC_NAME=FAT:FQL_AUDITING_CLIENT_TEMPLATE.FAT&amp;display_string=Audit&amp;VAR:KEY=HEJUTGHG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EIC&amp;VAR:INDEX=0"}</definedName>
    <definedName function="false" hidden="true" name="_1606__FDSAUDITLINK__" vbProcedure="false">{"fdsup://directions/FAT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function="false" hidden="true" name="_1607__FDSAUDITLINK__" vbProcedure="false">{"fdsup://directions/FAT Viewer?action=UPDATE&amp;creator=factset&amp;DYN_ARGS=TRUE&amp;DOC_NAME=FAT:FQL_AUDITING_CLIENT_TEMPLATE.FAT&amp;display_string=Audit&amp;VAR:KEY=VAJCDAHIFQ&amp;VAR:QUERY=KEZTTF9ORVRfSU5DKE5PVyxOT1csRlNBLCxVU0QpQEZGX05FVF9JTkMoTFRNUywwLCwsLFVTRCkp&amp;WINDOW=F","IRST_POPUP&amp;HEIGHT=450&amp;WIDTH=450&amp;START_MAXIMIZED=FALSE&amp;VAR:CALENDAR=US&amp;VAR:SYMBOL=597976&amp;VAR:INDEX=0"}</definedName>
    <definedName function="false" hidden="true" name="_1608__FDSAUDITLINK__" vbProcedure="false">{"fdsup://directions/FAT Viewer?action=UPDATE&amp;creator=factset&amp;DYN_ARGS=TRUE&amp;DOC_NAME=FAT:FQL_AUDITING_CLIENT_TEMPLATE.FAT&amp;display_string=Audit&amp;VAR:KEY=PYPIJMXCZY&amp;VAR:QUERY=KEZTTF9ORVRfSU5DKE5PVyxOT1csRlNBLCxVU0QpQEZGX05FVF9JTkMoTFRNUywwLCwsLFVTRCkp&amp;WINDOW=F","IRST_POPUP&amp;HEIGHT=450&amp;WIDTH=450&amp;START_MAXIMIZED=FALSE&amp;VAR:CALENDAR=US&amp;VAR:SYMBOL=B29R9G&amp;VAR:INDEX=0"}</definedName>
    <definedName function="false" hidden="true" name="_1609__FDSAUDITLINK__" vbProcedure="false">{"fdsup://directions/FAT Viewer?action=UPDATE&amp;creator=factset&amp;DYN_ARGS=TRUE&amp;DOC_NAME=FAT:FQL_AUDITING_CLIENT_TEMPLATE.FAT&amp;display_string=Audit&amp;VAR:KEY=XGPCZQVGFQ&amp;VAR:QUERY=KEZTTF9ORVRfSU5DKE5PVyxOT1csRlNBLCxVU0QpQEZGX05FVF9JTkMoTFRNUywwLCwsLFVTRCkp&amp;WINDOW=F","IRST_POPUP&amp;HEIGHT=450&amp;WIDTH=450&amp;START_MAXIMIZED=FALSE&amp;VAR:CALENDAR=US&amp;VAR:SYMBOL=446912&amp;VAR:INDEX=0"}</definedName>
    <definedName function="false" hidden="true" name="_160__FDSAUDITLINK__" vbProcedure="false">{"fdsup://directions/FAT Viewer?action=UPDATE&amp;creator=factset&amp;DYN_ARGS=TRUE&amp;DOC_NAME=FAT:FQL_AUDITING_CLIENT_TEMPLATE.FAT&amp;display_string=Audit&amp;VAR:KEY=HILGDEDODU&amp;VAR:QUERY=RkZfRUJJVERBX09QRVIoTFRNLDAsLCwsVVNEKQ==&amp;WINDOW=FIRST_POPUP&amp;HEIGHT=450&amp;WIDTH=450&amp;STAR","T_MAXIMIZED=FALSE&amp;VAR:CALENDAR=US&amp;VAR:SYMBOL=AMED&amp;VAR:INDEX=0"}</definedName>
    <definedName function="false" hidden="true" name="_1610__FDSAUDITLINK__" vbProcedure="false">{"fdsup://directions/FAT Viewer?action=UPDATE&amp;creator=factset&amp;DYN_ARGS=TRUE&amp;DOC_NAME=FAT:FQL_AUDITING_CLIENT_TEMPLATE.FAT&amp;display_string=Audit&amp;VAR:KEY=HWLGFIPOBW&amp;VAR:QUERY=KEZTTF9ORVRfSU5DKE5PVyxOT1csRlNBLCxVU0QpQEZGX05FVF9JTkMoTFRNUywwLCwsLFVTRCkp&amp;WINDOW=F","IRST_POPUP&amp;HEIGHT=450&amp;WIDTH=450&amp;START_MAXIMIZED=FALSE&amp;VAR:CALENDAR=US&amp;VAR:SYMBOL=342645&amp;VAR:INDEX=0"}</definedName>
    <definedName function="false" hidden="true" name="_1611__FDSAUDITLINK__" vbProcedure="false">{"fdsup://directions/FAT Viewer?action=UPDATE&amp;creator=factset&amp;DYN_ARGS=TRUE&amp;DOC_NAME=FAT:FQL_AUDITING_CLIENT_TEMPLATE.FAT&amp;display_string=Audit&amp;VAR:KEY=HIXGHMRYFE&amp;VAR:QUERY=KEZTTF9ORVRfSU5DKE5PVyxOT1csRlNBLCxVU0QpQEZGX05FVF9JTkMoTFRNUywwLCwsLFVTRCkp&amp;WINDOW=F","IRST_POPUP&amp;HEIGHT=450&amp;WIDTH=450&amp;START_MAXIMIZED=FALSE&amp;VAR:CALENDAR=US&amp;VAR:SYMBOL=058695&amp;VAR:INDEX=0"}</definedName>
    <definedName function="false" hidden="true" name="_1612__FDSAUDITLINK__" vbProcedure="false">{"fdsup://directions/FAT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function="false" hidden="true" name="_1613__FDSAUDITLINK__" vbProcedure="false">{"fdsup://directions/FAT Viewer?action=UPDATE&amp;creator=factset&amp;DYN_ARGS=TRUE&amp;DOC_NAME=FAT:FQL_AUDITING_CLIENT_TEMPLATE.FAT&amp;display_string=Audit&amp;VAR:KEY=DIVYRUPA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S&amp;VAR:INDEX=0"}</definedName>
    <definedName function="false" hidden="true" name="_1614__FDSAUDITLINK__" vbProcedure="false">{"fdsup://directions/FAT Viewer?action=UPDATE&amp;creator=factset&amp;DYN_ARGS=TRUE&amp;DOC_NAME=FAT:FQL_AUDITING_CLIENT_TEMPLATE.FAT&amp;display_string=Audit&amp;VAR:KEY=FKPOTWFSHM&amp;VAR:QUERY=KEZTTF9ORVRfSU5DKE5PVyxOT1csRlNBLCxVU0QpQEZGX05FVF9JTkMoTFRNUywwLCwsLFVTRCkp&amp;WINDOW=F","IRST_POPUP&amp;HEIGHT=450&amp;WIDTH=450&amp;START_MAXIMIZED=FALSE&amp;VAR:CALENDAR=US&amp;VAR:SYMBOL=565478&amp;VAR:INDEX=0"}</definedName>
    <definedName function="false" hidden="true" name="_1615__FDSAUDITLINK__" vbProcedure="false">{"fdsup://directions/FAT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function="false" hidden="true" name="_1616__FDSAUDITLINK__" vbProcedure="false">{"fdsup://directions/FAT Viewer?action=UPDATE&amp;creator=factset&amp;DYN_ARGS=TRUE&amp;DOC_NAME=FAT:FQL_AUDITING_CLIENT_TEMPLATE.FAT&amp;display_string=Audit&amp;VAR:KEY=VEXAZWNSFY&amp;VAR:QUERY=KEZTTF9ORVRfSU5DKE5PVyxOT1csRlNBLCxVU0QpQEZGX05FVF9JTkMoTFRNUywwLCwsLFVTRCkp&amp;WINDOW=F","IRST_POPUP&amp;HEIGHT=450&amp;WIDTH=450&amp;START_MAXIMIZED=FALSE&amp;VAR:CALENDAR=US&amp;VAR:SYMBOL=PAYX&amp;VAR:INDEX=0"}</definedName>
    <definedName function="false" hidden="true" name="_1617__FDSAUDITLINK__" vbProcedure="false">{"fdsup://directions/FAT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function="false" hidden="true" name="_1618__FDSAUDITLINK__" vbProcedure="false">{"fdsup://directions/FAT Viewer?action=UPDATE&amp;creator=factset&amp;DYN_ARGS=TRUE&amp;DOC_NAME=FAT:FQL_AUDITING_CLIENT_TEMPLATE.FAT&amp;display_string=Audit&amp;VAR:KEY=RSPQVKRWHM&amp;VAR:QUERY=KEZTTF9ORVRfSU5DKE5PVyxOT1csRlNBLCxVU0QpQEZGX05FVF9JTkMoTFRNUywwLCwsLFVTRCkp&amp;WINDOW=F","IRST_POPUP&amp;HEIGHT=450&amp;WIDTH=450&amp;START_MAXIMIZED=FALSE&amp;VAR:CALENDAR=US&amp;VAR:SYMBOL=ADP&amp;VAR:INDEX=0"}</definedName>
    <definedName function="false" hidden="true" name="_1619__FDSAUDITLINK__" vbProcedure="false">{"fdsup://directions/FAT Viewer?action=UPDATE&amp;creator=factset&amp;DYN_ARGS=TRUE&amp;DOC_NAME=FAT:FQL_AUDITING_CLIENT_TEMPLATE.FAT&amp;display_string=Audit&amp;VAR:KEY=XCBKZCLSVC&amp;VAR:QUERY=KEZTTF9ORVRfSU5DKE5PVyxOT1csRlNBLCxVU0QpQEZGX05FVF9JTkMoTFRNUywwLCwsLFVTRCkp&amp;WINDOW=F","IRST_POPUP&amp;HEIGHT=450&amp;WIDTH=450&amp;START_MAXIMIZED=FALSE&amp;VAR:CALENDAR=US&amp;VAR:SYMBOL=EBAY&amp;VAR:INDEX=0"}</definedName>
    <definedName function="false" hidden="true" name="_161__FDSAUDITLINK__" vbProcedure="false">{"fdsup://directions/FAT Viewer?action=UPDATE&amp;creator=factset&amp;DYN_ARGS=TRUE&amp;DOC_NAME=FAT:FQL_AUDITING_CLIENT_TEMPLATE.FAT&amp;display_string=Audit&amp;VAR:KEY=TABKXQHEVC&amp;VAR:QUERY=RkZfRUJJVERBX09QRVIoTFRNLDAsLCwsVVNEKQ==&amp;WINDOW=FIRST_POPUP&amp;HEIGHT=450&amp;WIDTH=450&amp;STAR","T_MAXIMIZED=FALSE&amp;VAR:CALENDAR=US&amp;VAR:SYMBOL=MXWL&amp;VAR:INDEX=0"}</definedName>
    <definedName function="false" hidden="true" name="_1620__FDSAUDITLINK__" vbProcedure="false">{"fdsup://directions/FAT Viewer?action=UPDATE&amp;creator=factset&amp;DYN_ARGS=TRUE&amp;DOC_NAME=FAT:FQL_AUDITING_CLIENT_TEMPLATE.FAT&amp;display_string=Audit&amp;VAR:KEY=JAHSPABG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29R9G&amp;VAR:INDEX=0"}</definedName>
    <definedName function="false" hidden="true" name="_1621__FDSAUDITLINK__" vbProcedure="false">{"fdsup://directions/FAT Viewer?action=UPDATE&amp;creator=factset&amp;DYN_ARGS=TRUE&amp;DOC_NAME=FAT:FQL_AUDITING_CLIENT_TEMPLATE.FAT&amp;display_string=Audit&amp;VAR:KEY=NKXKNAJU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446912&amp;VAR:INDEX=0"}</definedName>
    <definedName function="false" hidden="true" name="_1622__FDSAUDITLINK__" vbProcedure="false">{"fdsup://directions/FAT Viewer?action=UPDATE&amp;creator=factset&amp;DYN_ARGS=TRUE&amp;DOC_NAME=FAT:FQL_AUDITING_CLIENT_TEMPLATE.FAT&amp;display_string=Audit&amp;VAR:KEY=DMTOBENK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342645&amp;VAR:INDEX=0"}</definedName>
    <definedName function="false" hidden="true" name="_1623__FDSAUDITLINK__" vbProcedure="false">{"fdsup://directions/FAT Viewer?action=UPDATE&amp;creator=factset&amp;DYN_ARGS=TRUE&amp;DOC_NAME=FAT:FQL_AUDITING_CLIENT_TEMPLATE.FAT&amp;display_string=Audit&amp;VAR:KEY=BSJYRYLM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058695&amp;VAR:INDEX=0"}</definedName>
    <definedName function="false" hidden="true" name="_1624__FDSAUDITLINK__" vbProcedure="false">{"fdsup://directions/FAT Viewer?action=UPDATE&amp;creator=factset&amp;DYN_ARGS=TRUE&amp;DOC_NAME=FAT:FQL_AUDITING_CLIENT_TEMPLATE.FAT&amp;display_string=Audit&amp;VAR:KEY=TGHGXWLW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CR&amp;VAR:INDEX=0"}</definedName>
    <definedName function="false" hidden="true" name="_1625__FDSAUDITLINK__" vbProcedure="false">{"fdsup://directions/FAT Viewer?action=UPDATE&amp;creator=factset&amp;DYN_ARGS=TRUE&amp;DOC_NAME=FAT:FQL_AUDITING_CLIENT_TEMPLATE.FAT&amp;display_string=Audit&amp;VAR:KEY=DGXOXKZY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038578&amp;VAR:INDEX=0"}</definedName>
    <definedName function="false" hidden="true" name="_1626__FDSAUDITLINK__" vbProcedure="false">{"fdsup://directions/FAT Viewer?action=UPDATE&amp;creator=factset&amp;DYN_ARGS=TRUE&amp;DOC_NAME=FAT:FQL_AUDITING_CLIENT_TEMPLATE.FAT&amp;display_string=Audit&amp;VAR:KEY=LGDCZKFK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565478&amp;VAR:INDEX=0"}</definedName>
    <definedName function="false" hidden="true" name="_1627__FDSAUDITLINK__" vbProcedure="false">{"fdsup://directions/FAT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function="false" hidden="true" name="_1628__FDSAUDITLINK__" vbProcedure="false">{"fdsup://directions/FAT Viewer?action=UPDATE&amp;creator=factset&amp;DYN_ARGS=TRUE&amp;DOC_NAME=FAT:FQL_AUDITING_CLIENT_TEMPLATE.FAT&amp;display_string=Audit&amp;VAR:KEY=NSFYJKJKP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AYX&amp;VAR:INDEX=0"}</definedName>
    <definedName function="false" hidden="true" name="_1629__FDSAUDITLINK__" vbProcedure="false">{"fdsup://directions/FAT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function="false" hidden="true" name="_162__FDSAUDITLINK__" vbProcedure="false">{"fdsup://directions/FAT Viewer?action=UPDATE&amp;creator=factset&amp;DYN_ARGS=TRUE&amp;DOC_NAME=FAT:FQL_AUDITING_CLIENT_TEMPLATE.FAT&amp;display_string=Audit&amp;VAR:KEY=LOFIXWDCDW&amp;VAR:QUERY=RkZfRUJJVERBX09QRVIoTFRNLDAsLCwsVVNEKQ==&amp;WINDOW=FIRST_POPUP&amp;HEIGHT=450&amp;WIDTH=450&amp;STAR","T_MAXIMIZED=FALSE&amp;VAR:CALENDAR=US&amp;VAR:SYMBOL=BAS&amp;VAR:INDEX=0"}</definedName>
    <definedName function="false" hidden="true" name="_1630__FDSAUDITLINK__" vbProcedure="false">{"fdsup://directions/FAT Viewer?action=UPDATE&amp;creator=factset&amp;DYN_ARGS=TRUE&amp;DOC_NAME=FAT:FQL_AUDITING_CLIENT_TEMPLATE.FAT&amp;display_string=Audit&amp;VAR:KEY=ZMVORARK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amp;VAR:INDEX=0"}</definedName>
    <definedName function="false" hidden="true" name="_1631__FDSAUDITLINK__" vbProcedure="false">{"fdsup://directions/FAT Viewer?action=UPDATE&amp;creator=factset&amp;DYN_ARGS=TRUE&amp;DOC_NAME=FAT:FQL_AUDITING_CLIENT_TEMPLATE.FAT&amp;display_string=Audit&amp;VAR:KEY=DYDYFAPCP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BAY&amp;VAR:INDEX=0"}</definedName>
    <definedName function="false" hidden="true" name="_1632__FDSAUDITLINK__" vbProcedure="false">{"fdsup://Directions/FactSet Auditing Viewer?action=AUDIT_VALUE&amp;DB=129&amp;ID1=597976&amp;VALUEID=02001&amp;SDATE=201002&amp;PERIODTYPE=QTR_STD&amp;window=popup_no_bar&amp;width=385&amp;height=120&amp;START_MAXIMIZED=FALSE&amp;creator=factset&amp;display_string=Audit"}</definedName>
    <definedName function="false" hidden="true" name="_1633__FDSAUDITLINK__" vbProcedure="false">{"fdsup://Directions/FactSet Auditing Viewer?action=AUDIT_VALUE&amp;DB=129&amp;ID1=B29R9G&amp;VALUEID=02001&amp;SDATE=201002&amp;PERIODTYPE=QTR_STD&amp;window=popup_no_bar&amp;width=385&amp;height=120&amp;START_MAXIMIZED=FALSE&amp;creator=factset&amp;display_string=Audit"}</definedName>
    <definedName function="false" hidden="true" name="_1634__FDSAUDITLINK__" vbProcedure="false">{"fdsup://Directions/FactSet Auditing Viewer?action=AUDIT_VALUE&amp;DB=129&amp;ID1=B0463V&amp;VALUEID=02001&amp;SDATE=201002&amp;PERIODTYPE=QTR_STD&amp;window=popup_no_bar&amp;width=385&amp;height=120&amp;START_MAXIMIZED=FALSE&amp;creator=factset&amp;display_string=Audit"}</definedName>
    <definedName function="false" hidden="true" name="_1635__FDSAUDITLINK__" vbProcedure="false">{"fdsup://Directions/FactSet Auditing Viewer?action=AUDIT_VALUE&amp;DB=129&amp;ID1=342645&amp;VALUEID=02001&amp;SDATE=201001&amp;PERIODTYPE=SEMI_STD&amp;window=popup_no_bar&amp;width=385&amp;height=120&amp;START_MAXIMIZED=FALSE&amp;creator=factset&amp;display_string=Audit"}</definedName>
    <definedName function="false" hidden="true" name="_1636__FDSAUDITLINK__" vbProcedure="false">{"fdsup://Directions/FactSet Auditing Viewer?action=AUDIT_VALUE&amp;DB=129&amp;ID1=058695&amp;VALUEID=02001&amp;SDATE=201001&amp;PERIODTYPE=SEMI_STD&amp;window=popup_no_bar&amp;width=385&amp;height=120&amp;START_MAXIMIZED=FALSE&amp;creator=factset&amp;display_string=Audit"}</definedName>
    <definedName function="false" hidden="true" name="_1637__FDSAUDITLINK__" vbProcedure="false">{"fdsup://Directions/FactSet Auditing Viewer?action=AUDIT_VALUE&amp;DB=129&amp;ID1=89190610&amp;VALUEID=02001&amp;SDATE=201003&amp;PERIODTYPE=QTR_STD&amp;window=popup_no_bar&amp;width=385&amp;height=120&amp;START_MAXIMIZED=FALSE&amp;creator=factset&amp;display_string=Audit"}</definedName>
    <definedName function="false" hidden="true" name="_1638__FDSAUDITLINK__" vbProcedure="false">{"fdsup://Directions/FactSet Auditing Viewer?action=AUDIT_VALUE&amp;DB=129&amp;ID1=565478&amp;VALUEID=02001&amp;SDATE=201001&amp;PERIODTYPE=SEMI_STD&amp;window=popup_no_bar&amp;width=385&amp;height=120&amp;START_MAXIMIZED=FALSE&amp;creator=factset&amp;display_string=Audit"}</definedName>
    <definedName function="false" hidden="true" name="_1639__FDSAUDITLINK__" vbProcedure="false">{"fdsup://Directions/FactSet Auditing Viewer?action=AUDIT_VALUE&amp;DB=129&amp;ID1=27864210&amp;VALUEID=02001&amp;SDATE=201003&amp;PERIODTYPE=QTR_STD&amp;window=popup_no_bar&amp;width=385&amp;height=120&amp;START_MAXIMIZED=FALSE&amp;creator=factset&amp;display_string=Audit"}</definedName>
    <definedName function="false" hidden="true" name="_163__FDSAUDITLINK__" vbProcedure="false">{"fdsup://directions/FAT Viewer?action=UPDATE&amp;creator=factset&amp;DYN_ARGS=TRUE&amp;DOC_NAME=FAT:FQL_AUDITING_CLIENT_TEMPLATE.FAT&amp;display_string=Audit&amp;VAR:KEY=XWZCXUFERG&amp;VAR:QUERY=RkZfRUJJVERBX09QRVIoTFRNLDAsLCwsVVNEKQ==&amp;WINDOW=FIRST_POPUP&amp;HEIGHT=450&amp;WIDTH=450&amp;STAR","T_MAXIMIZED=FALSE&amp;VAR:CALENDAR=US&amp;VAR:SYMBOL=NOA&amp;VAR:INDEX=0"}</definedName>
    <definedName function="false" hidden="true" name="_1640__FDSAUDITLINK__" vbProcedure="false">{"fdsup://Directions/FactSet Auditing Viewer?action=AUDIT_VALUE&amp;DB=129&amp;ID1=33773810&amp;VALUEID=02001&amp;SDATE=201002&amp;PERIODTYPE=QTR_STD&amp;window=popup_no_bar&amp;width=385&amp;height=120&amp;START_MAXIMIZED=FALSE&amp;creator=factset&amp;display_string=Audit"}</definedName>
    <definedName function="false" hidden="true" name="_1641__FDSAUDITLINK__" vbProcedure="false">{"fdsup://Directions/FactSet Auditing Viewer?action=AUDIT_VALUE&amp;DB=129&amp;ID1=70432610&amp;VALUEID=02001&amp;SDATE=201001&amp;PERIODTYPE=QTR_STD&amp;window=popup_no_bar&amp;width=385&amp;height=120&amp;START_MAXIMIZED=FALSE&amp;creator=factset&amp;display_string=Audit"}</definedName>
    <definedName function="false" hidden="true" name="_1642__FDSAUDITLINK__" vbProcedure="false">{"fdsup://Directions/FactSet Auditing Viewer?action=AUDIT_VALUE&amp;DB=129&amp;ID1=05301510&amp;VALUEID=02001&amp;SDATE=201004&amp;PERIODTYPE=QTR_STD&amp;window=popup_no_bar&amp;width=385&amp;height=120&amp;START_MAXIMIZED=FALSE&amp;creator=factset&amp;display_string=Audit"}</definedName>
    <definedName function="false" hidden="true" name="_1643__FDSAUDITLINK__" vbProcedure="false">{"fdsup://directions/FAT Viewer?action=UPDATE&amp;creator=factset&amp;DYN_ARGS=TRUE&amp;DOC_NAME=FAT:FQL_AUDITING_CLIENT_TEMPLATE.FAT&amp;display_string=Audit&amp;VAR:KEY=FEHOPYJE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DS&amp;VAR:INDEX=0"}</definedName>
    <definedName function="false" hidden="true" name="_1644__FDSAUDITLINK__" vbProcedure="false">{"fdsup://directions/FAT Viewer?action=UPDATE&amp;creator=factset&amp;DYN_ARGS=TRUE&amp;DOC_NAME=FAT:FQL_AUDITING_CLIENT_TEMPLATE.FAT&amp;display_string=Audit&amp;VAR:KEY=HIRYJAJIXY&amp;VAR:QUERY=KEZTTF9ORVRfSU5DKE5PVyxOT1csRlNBLCxVU0QpQEZGX05FVF9JTkMoTFRNUywwLCwsLFVTRCkp&amp;WINDOW=F","IRST_POPUP&amp;HEIGHT=450&amp;WIDTH=450&amp;START_MAXIMIZED=FALSE&amp;VAR:CALENDAR=US&amp;VAR:SYMBOL=MKTX&amp;VAR:INDEX=0"}</definedName>
    <definedName function="false" hidden="true" name="_1645__FDSAUDITLINK__" vbProcedure="false">{"fdsup://Directions/FactSet Auditing Viewer?action=AUDIT_VALUE&amp;DB=129&amp;ID1=30307510&amp;VALUEID=02001&amp;SDATE=201004&amp;PERIODTYPE=QTR_STD&amp;window=popup_no_bar&amp;width=385&amp;height=120&amp;START_MAXIMIZED=FALSE&amp;creator=factset&amp;display_string=Audit"}</definedName>
    <definedName function="false" hidden="true" name="_1646__FDSAUDITLINK__" vbProcedure="false">{"fdsup://directions/FAT Viewer?action=UPDATE&amp;creator=factset&amp;DYN_ARGS=TRUE&amp;DOC_NAME=FAT:FQL_AUDITING_CLIENT_TEMPLATE.FAT&amp;display_string=Audit&amp;VAR:KEY=BWXYPWFUHW&amp;VAR:QUERY=KEZTTF9ORVRfSU5DKE5PVyxOT1csRlNBLCxVU0QpQEZGX05FVF9JTkMoTFRNUywwLCwsLFVTRCkp&amp;WINDOW=F","IRST_POPUP&amp;HEIGHT=450&amp;WIDTH=450&amp;START_MAXIMIZED=FALSE&amp;VAR:CALENDAR=US&amp;VAR:SYMBOL=CA&amp;VAR:INDEX=0"}</definedName>
    <definedName function="false" hidden="true" name="_1647__FDSAUDITLINK__" vbProcedure="false">{"fdsup://Directions/FactSet Auditing Viewer?action=AUDIT_VALUE&amp;DB=129&amp;ID1=57060D10&amp;VALUEID=02001&amp;SDATE=201002&amp;PERIODTYPE=QTR_STD&amp;window=popup_no_bar&amp;width=385&amp;height=120&amp;START_MAXIMIZED=FALSE&amp;creator=factset&amp;display_string=Audit"}</definedName>
    <definedName function="false" hidden="true" name="_1648__FDSAUDITLINK__" vbProcedure="false">{"fdsup://directions/FAT Viewer?action=UPDATE&amp;creator=factset&amp;DYN_ARGS=TRUE&amp;DOC_NAME=FAT:FQL_AUDITING_CLIENT_TEMPLATE.FAT&amp;display_string=Audit&amp;VAR:KEY=FEDIVQPKTW&amp;VAR:QUERY=KEZTTF9ORVRfSU5DKE5PVyxOT1csRlNBLCxVU0QpQEZGX05FVF9JTkMoTFRNUywwLCwsLFVTRCkp&amp;WINDOW=F","IRST_POPUP&amp;HEIGHT=450&amp;WIDTH=450&amp;START_MAXIMIZED=FALSE&amp;VAR:CALENDAR=US&amp;VAR:SYMBOL=OPWV&amp;VAR:INDEX=0"}</definedName>
    <definedName function="false" hidden="true" name="_1649__FDSAUDITLINK__" vbProcedure="false">{"fdsup://directions/FAT Viewer?action=UPDATE&amp;creator=factset&amp;DYN_ARGS=TRUE&amp;DOC_NAME=FAT:FQL_AUDITING_CLIENT_TEMPLATE.FAT&amp;display_string=Audit&amp;VAR:KEY=HGDAZCXWLM&amp;VAR:QUERY=KEZTTF9ORVRfSU5DKE5PVyxOT1csRlNBLCxVU0QpQEZGX05FVF9JTkMoTFRNUywwLCwsLFVTRCkp&amp;WINDOW=F","IRST_POPUP&amp;HEIGHT=450&amp;WIDTH=450&amp;START_MAXIMIZED=FALSE&amp;VAR:CALENDAR=US&amp;VAR:SYMBOL=PKT&amp;VAR:INDEX=0"}</definedName>
    <definedName function="false" hidden="true" name="_164__FDSAUDITLINK__" vbProcedure="false">{"fdsup://directions/FAT Viewer?action=UPDATE&amp;creator=factset&amp;DYN_ARGS=TRUE&amp;DOC_NAME=FAT:FQL_AUDITING_CLIENT_TEMPLATE.FAT&amp;display_string=Audit&amp;VAR:KEY=PATMVCLKFE&amp;VAR:QUERY=RkZfRUJJVERBX09QRVIoTFRNLDAsLCwsVVNEKQ==&amp;WINDOW=FIRST_POPUP&amp;HEIGHT=450&amp;WIDTH=450&amp;STAR","T_MAXIMIZED=FALSE&amp;VAR:CALENDAR=US&amp;VAR:SYMBOL=TSYS&amp;VAR:INDEX=0"}</definedName>
    <definedName function="false" hidden="true" name="_1650__FDSAUDITLINK__" vbProcedure="false">{"fdsup://directions/FAT Viewer?action=UPDATE&amp;creator=factset&amp;DYN_ARGS=TRUE&amp;DOC_NAME=FAT:FQL_AUDITING_CLIENT_TEMPLATE.FAT&amp;display_string=Audit&amp;VAR:KEY=DARCPEZOFK&amp;VAR:QUERY=KEZTTF9ORVRfSU5DKE5PVyxOT1csRlNBLCxVU0QpQEZGX05FVF9JTkMoTFRNUywwLCwsLFVTRCkp&amp;WINDOW=F","IRST_POPUP&amp;HEIGHT=450&amp;WIDTH=450&amp;START_MAXIMIZED=FALSE&amp;VAR:CALENDAR=US&amp;VAR:SYMBOL=EVOLD&amp;VAR:INDEX=0"}</definedName>
    <definedName function="false" hidden="true" name="_1651__FDSAUDITLINK__" vbProcedure="false">{"fdsup://directions/FAT Viewer?action=UPDATE&amp;creator=factset&amp;DYN_ARGS=TRUE&amp;DOC_NAME=FAT:FQL_AUDITING_CLIENT_TEMPLATE.FAT&amp;display_string=Audit&amp;VAR:KEY=IZMZUFSFS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GT&amp;VAR:INDEX=0"}</definedName>
    <definedName function="false" hidden="true" name="_1652__FDSAUDITLINK__" vbProcedure="false">{"fdsup://directions/FAT Viewer?action=UPDATE&amp;creator=factset&amp;DYN_ARGS=TRUE&amp;DOC_NAME=FAT:FQL_AUDITING_CLIENT_TEMPLATE.FAT&amp;display_string=Audit&amp;VAR:KEY=HIDOLEXG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NDO&amp;VAR:INDEX=0"}</definedName>
    <definedName function="false" hidden="true" name="_1653__FDSAUDITLINK__" vbProcedure="false">{"fdsup://directions/FAT Viewer?action=UPDATE&amp;creator=factset&amp;DYN_ARGS=TRUE&amp;DOC_NAME=FAT:FQL_AUDITING_CLIENT_TEMPLATE.FAT&amp;display_string=Audit&amp;VAR:KEY=BITEPGNW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586161&amp;VAR:INDEX=0"}</definedName>
    <definedName function="false" hidden="true" name="_1654__FDSAUDITLINK__" vbProcedure="false">{"fdsup://directions/FAT Viewer?action=UPDATE&amp;creator=factset&amp;DYN_ARGS=TRUE&amp;DOC_NAME=FAT:FQL_AUDITING_CLIENT_TEMPLATE.FAT&amp;display_string=Audit&amp;VAR:KEY=JENIXEVE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KAN&amp;VAR:INDEX=0"}</definedName>
    <definedName function="false" hidden="true" name="_1655__FDSAUDITLINK__" vbProcedure="false">{"fdsup://directions/FAT Viewer?action=UPDATE&amp;creator=factset&amp;DYN_ARGS=TRUE&amp;DOC_NAME=FAT:FQL_AUDITING_CLIENT_TEMPLATE.FAT&amp;display_string=Audit&amp;VAR:KEY=LWLCTUTYL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DWR&amp;VAR:INDEX=0"}</definedName>
    <definedName function="false" hidden="true" name="_1656__FDSAUDITLINK__" vbProcedure="false">{"fdsup://directions/FAT Viewer?action=UPDATE&amp;creator=factset&amp;DYN_ARGS=TRUE&amp;DOC_NAME=FAT:FQL_AUDITING_CLIENT_TEMPLATE.FAT&amp;display_string=Audit&amp;VAR:KEY=FEBYJAZU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067250&amp;VAR:INDEX=0"}</definedName>
    <definedName function="false" hidden="true" name="_1657__FDSAUDITLINK__" vbProcedure="false">{"fdsup://directions/FAT Viewer?action=UPDATE&amp;creator=factset&amp;DYN_ARGS=TRUE&amp;DOC_NAME=FAT:FQL_AUDITING_CLIENT_TEMPLATE.FAT&amp;display_string=Audit&amp;VAR:KEY=ZMVSXYHC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LT&amp;VAR:INDEX=0"}</definedName>
    <definedName function="false" hidden="true" name="_1658__FDSAUDITLINK__" vbProcedure="false">{"fdsup://Directions/FactSet Auditing Viewer?action=AUDIT_VALUE&amp;DB=129&amp;ID1=45668X20&amp;VALUEID=02001&amp;SDATE=201002&amp;PERIODTYPE=QTR_STD&amp;window=popup_no_bar&amp;width=385&amp;height=120&amp;START_MAXIMIZED=FALSE&amp;creator=factset&amp;display_string=Audit"}</definedName>
    <definedName function="false" hidden="true" name="_1659__FDSAUDITLINK__" vbProcedure="false">{"fdsup://Directions/FactSet Auditing Viewer?action=AUDIT_VALUE&amp;DB=129&amp;ID1=586161&amp;VALUEID=02001&amp;SDATE=201002&amp;PERIODTYPE=QTR_STD&amp;window=popup_no_bar&amp;width=385&amp;height=120&amp;START_MAXIMIZED=FALSE&amp;creator=factset&amp;display_string=Audit"}</definedName>
    <definedName function="false" hidden="true" name="_165__FDSAUDITLINK__" vbProcedure="false">{"fdsup://directions/FAT Viewer?action=UPDATE&amp;creator=factset&amp;DYN_ARGS=TRUE&amp;DOC_NAME=FAT:FQL_AUDITING_CLIENT_TEMPLATE.FAT&amp;display_string=Audit&amp;VAR:KEY=HYXSRUNIPO&amp;VAR:QUERY=RkZfRUJJVERBX09QRVIoTFRNLDAsLCwsVVNEKQ==&amp;WINDOW=FIRST_POPUP&amp;HEIGHT=450&amp;WIDTH=450&amp;STAR","T_MAXIMIZED=FALSE&amp;VAR:CALENDAR=US&amp;VAR:SYMBOL=GTIV&amp;VAR:INDEX=0"}</definedName>
    <definedName function="false" hidden="true" name="_1660__FDSAUDITLINK__" vbProcedure="false">{"fdsup://directions/FAT Viewer?action=UPDATE&amp;creator=factset&amp;DYN_ARGS=TRUE&amp;DOC_NAME=FAT:FQL_AUDITING_CLIENT_TEMPLATE.FAT&amp;display_string=Audit&amp;VAR:KEY=FYPIRQRAJC&amp;VAR:QUERY=KEZTTF9ORVRfSU5DKE5PVyxOT1csRlNBLCxVU0QpQEZGX05FVF9JTkMoTFRNUywwLCwsLFVTRCkp&amp;WINDOW=F","IRST_POPUP&amp;HEIGHT=450&amp;WIDTH=450&amp;START_MAXIMIZED=FALSE&amp;VAR:CALENDAR=US&amp;VAR:SYMBOL=VCST&amp;VAR:INDEX=0"}</definedName>
    <definedName function="false" hidden="true" name="_1661__FDSAUDITLINK__" vbProcedure="false">{"fdsup://Directions/FactSet Auditing Viewer?action=AUDIT_VALUE&amp;DB=129&amp;ID1=45173E10&amp;VALUEID=02001&amp;SDATE=201002&amp;PERIODTYPE=QTR_STD&amp;window=popup_no_bar&amp;width=385&amp;height=120&amp;START_MAXIMIZED=FALSE&amp;creator=factset&amp;display_string=Audit"}</definedName>
    <definedName function="false" hidden="true" name="_1662__FDSAUDITLINK__" vbProcedure="false">{"fdsup://Directions/FactSet Auditing Viewer?action=AUDIT_VALUE&amp;DB=129&amp;ID1=M0854Q10&amp;VALUEID=02001&amp;SDATE=201002&amp;PERIODTYPE=QTR_STD&amp;window=popup_no_bar&amp;width=385&amp;height=120&amp;START_MAXIMIZED=FALSE&amp;creator=factset&amp;display_string=Audit"}</definedName>
    <definedName function="false" hidden="true" name="_1663__FDSAUDITLINK__" vbProcedure="false">{"fdsup://directions/FAT Viewer?action=UPDATE&amp;creator=factset&amp;DYN_ARGS=TRUE&amp;DOC_NAME=FAT:FQL_AUDITING_CLIENT_TEMPLATE.FAT&amp;display_string=Audit&amp;VAR:KEY=LAPUNEL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RN&amp;VAR:INDEX=0"}</definedName>
    <definedName function="false" hidden="true" name="_1664__FDSAUDITLINK__" vbProcedure="false">{"fdsup://directions/FAT Viewer?action=UPDATE&amp;creator=factset&amp;DYN_ARGS=TRUE&amp;DOC_NAME=FAT:FQL_AUDITING_CLIENT_TEMPLATE.FAT&amp;display_string=Audit&amp;VAR:KEY=HYBAXCLCLC&amp;VAR:QUERY=KEZTTF9ORVRfSU5DKE5PVyxOT1csRlNBLCxVU0QpQEZGX05FVF9JTkMoTFRNUywwLCwsLFVTRCkp&amp;WINDOW=F","IRST_POPUP&amp;HEIGHT=450&amp;WIDTH=450&amp;START_MAXIMIZED=FALSE&amp;VAR:CALENDAR=US&amp;VAR:SYMBOL=080216&amp;VAR:INDEX=0"}</definedName>
    <definedName function="false" hidden="true" name="_1665__FDSAUDITLINK__" vbProcedure="false">{"fdsup://Directions/FactSet Auditing Viewer?action=AUDIT_VALUE&amp;DB=129&amp;ID1=48273U10&amp;VALUEID=02001&amp;SDATE=201004&amp;PERIODTYPE=QTR_STD&amp;window=popup_no_bar&amp;width=385&amp;height=120&amp;START_MAXIMIZED=FALSE&amp;creator=factset&amp;display_string=Audit"}</definedName>
    <definedName function="false" hidden="true" name="_1666__FDSAUDITLINK__" vbProcedure="false">{"fdsup://directions/FAT Viewer?action=UPDATE&amp;creator=factset&amp;DYN_ARGS=TRUE&amp;DOC_NAME=FAT:FQL_AUDITING_CLIENT_TEMPLATE.FAT&amp;display_string=Audit&amp;VAR:KEY=ZSBSBARW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080216&amp;VAR:INDEX=0"}</definedName>
    <definedName function="false" hidden="true" name="_1667__FDSAUDITLINK__" vbProcedure="false">{"fdsup://Directions/FactSet Auditing Viewer?action=AUDIT_VALUE&amp;DB=129&amp;ID1=080216&amp;VALUEID=02001&amp;SDATE=201001&amp;PERIODTYPE=SEMI_STD&amp;window=popup_no_bar&amp;width=385&amp;height=120&amp;START_MAXIMIZED=FALSE&amp;creator=factset&amp;display_string=Audit"}</definedName>
    <definedName function="false" hidden="true" name="_1668__FDSAUDITLINK__" vbProcedure="false">{"fdsup://directions/FAT Viewer?action=UPDATE&amp;creator=factset&amp;DYN_ARGS=TRUE&amp;DOC_NAME=FAT:FQL_AUDITING_CLIENT_TEMPLATE.FAT&amp;display_string=Audit&amp;VAR:KEY=FINGDIVOBG&amp;VAR:QUERY=KEZTTF9ORVRfSU5DKE5PVyxOT1csRlNBLCxVU0QpQEZGX05FVF9JTkMoTFRNUywwLCwsLFVTRCkp&amp;WINDOW=F","IRST_POPUP&amp;HEIGHT=450&amp;WIDTH=450&amp;START_MAXIMIZED=FALSE&amp;VAR:CALENDAR=US&amp;VAR:SYMBOL=NOVL&amp;VAR:INDEX=0"}</definedName>
    <definedName function="false" hidden="true" name="_1669__FDSAUDITLINK__" vbProcedure="false">{"fdsup://directions/FAT Viewer?action=UPDATE&amp;creator=factset&amp;DYN_ARGS=TRUE&amp;DOC_NAME=FAT:FQL_AUDITING_CLIENT_TEMPLATE.FAT&amp;display_string=Audit&amp;VAR:KEY=PCRWBKFOHK&amp;VAR:QUERY=KEZTTF9ORVRfSU5DKE5PVyxOT1csRlNBLCxVU0QpQEZGX05FVF9JTkMoTFRNUywwLCwsLFVTRCkp&amp;WINDOW=F","IRST_POPUP&amp;HEIGHT=450&amp;WIDTH=450&amp;START_MAXIMIZED=FALSE&amp;VAR:CALENDAR=US&amp;VAR:SYMBOL=DIGA&amp;VAR:INDEX=0"}</definedName>
    <definedName function="false" hidden="true" name="_166__FDSAUDITLINK__" vbProcedure="false">{"fdsup://directions/FAT Viewer?action=UPDATE&amp;creator=factset&amp;DYN_ARGS=TRUE&amp;DOC_NAME=FAT:FQL_AUDITING_CLIENT_TEMPLATE.FAT&amp;display_string=Audit&amp;VAR:KEY=JCVMXSHGBM&amp;VAR:QUERY=RkZfRUJJVERBX09QRVIoTFRNLDAsLCwsVVNEKQ==&amp;WINDOW=FIRST_POPUP&amp;HEIGHT=450&amp;WIDTH=450&amp;STAR","T_MAXIMIZED=FALSE&amp;VAR:CALENDAR=US&amp;VAR:SYMBOL=NCIT&amp;VAR:INDEX=0"}</definedName>
    <definedName function="false" hidden="true" name="_1670__FDSAUDITLINK__" vbProcedure="false">{"fdsup://directions/FAT Viewer?action=UPDATE&amp;creator=factset&amp;DYN_ARGS=TRUE&amp;DOC_NAME=FAT:FQL_AUDITING_CLIENT_TEMPLATE.FAT&amp;display_string=Audit&amp;VAR:KEY=PUFSJYNIXG&amp;VAR:QUERY=KEZTTF9ORVRfSU5DKE5PVyxOT1csRlNBLCxVU0QpQEZGX05FVF9JTkMoTFRNUywwLCwsLFVTRCkp&amp;WINDOW=F","IRST_POPUP&amp;HEIGHT=450&amp;WIDTH=450&amp;START_MAXIMIZED=FALSE&amp;VAR:CALENDAR=US&amp;VAR:SYMBOL=RPTN&amp;VAR:INDEX=0"}</definedName>
    <definedName function="false" hidden="true" name="_1671__FDSAUDITLINK__" vbProcedure="false">{"fdsup://directions/FAT Viewer?action=UPDATE&amp;creator=factset&amp;DYN_ARGS=TRUE&amp;DOC_NAME=FAT:FQL_AUDITING_CLIENT_TEMPLATE.FAT&amp;display_string=Audit&amp;VAR:KEY=RAJUXCPEDS&amp;VAR:QUERY=KEZTTF9ORVRfSU5DKE5PVyxOT1csRlNBLCxVU0QpQEZGX05FVF9JTkMoTFRNUywwLCwsLFVTRCkp&amp;WINDOW=F","IRST_POPUP&amp;HEIGHT=450&amp;WIDTH=450&amp;START_MAXIMIZED=FALSE&amp;VAR:CALENDAR=US&amp;VAR:SYMBOL=CSPI&amp;VAR:INDEX=0"}</definedName>
    <definedName function="false" hidden="true" name="_1672__FDSAUDITLINK__" vbProcedure="false">{"fdsup://directions/FAT Viewer?action=UPDATE&amp;creator=factset&amp;DYN_ARGS=TRUE&amp;DOC_NAME=FAT:FQL_AUDITING_CLIENT_TEMPLATE.FAT&amp;display_string=Audit&amp;VAR:KEY=FGXYZKLWVU&amp;VAR:QUERY=KEZTTF9ORVRfSU5DKE5PVyxOT1csRlNBLCxVU0QpQEZGX05FVF9JTkMoTFRNUywwLCwsLFVTRCkp&amp;WINDOW=F","IRST_POPUP&amp;HEIGHT=450&amp;WIDTH=450&amp;START_MAXIMIZED=FALSE&amp;VAR:CALENDAR=US&amp;VAR:SYMBOL=CVDT&amp;VAR:INDEX=0"}</definedName>
    <definedName function="false" hidden="true" name="_1673__FDSAUDITLINK__" vbProcedure="false">{"fdsup://directions/FAT Viewer?action=UPDATE&amp;creator=factset&amp;DYN_ARGS=TRUE&amp;DOC_NAME=FAT:FQL_AUDITING_CLIENT_TEMPLATE.FAT&amp;display_string=Audit&amp;VAR:KEY=ZMNQLATEXQ&amp;VAR:QUERY=KEZTTF9ORVRfSU5DKE5PVyxOT1csRlNBLCxVU0QpQEZGX05FVF9JTkMoTFRNUywwLCwsLFVTRCkp&amp;WINDOW=F","IRST_POPUP&amp;HEIGHT=450&amp;WIDTH=450&amp;START_MAXIMIZED=FALSE&amp;VAR:CALENDAR=US&amp;VAR:SYMBOL=APDN&amp;VAR:INDEX=0"}</definedName>
    <definedName function="false" hidden="true" name="_1674__FDSAUDITLINK__" vbProcedure="false">{"fdsup://directions/FAT Viewer?action=UPDATE&amp;creator=factset&amp;DYN_ARGS=TRUE&amp;DOC_NAME=FAT:FQL_AUDITING_CLIENT_TEMPLATE.FAT&amp;display_string=Audit&amp;VAR:KEY=HSXUTYHYXM&amp;VAR:QUERY=KEZTTF9ORVRfSU5DKE5PVyxOT1csRlNBLCxVU0QpQEZGX05FVF9JTkMoTFRNUywwLCwsLFVTRCkp&amp;WINDOW=F","IRST_POPUP&amp;HEIGHT=450&amp;WIDTH=450&amp;START_MAXIMIZED=FALSE&amp;VAR:CALENDAR=US&amp;VAR:SYMBOL=PRTK&amp;VAR:INDEX=0"}</definedName>
    <definedName function="false" hidden="true" name="_1675__FDSAUDITLINK__" vbProcedure="false">{"fdsup://directions/FAT Viewer?action=UPDATE&amp;creator=factset&amp;DYN_ARGS=TRUE&amp;DOC_NAME=FAT:FQL_AUDITING_CLIENT_TEMPLATE.FAT&amp;display_string=Audit&amp;VAR:KEY=DOPKTADGZO&amp;VAR:QUERY=KEZTTF9ORVRfSU5DKE5PVyxOT1csRlNBLCxVU0QpQEZGX05FVF9JTkMoTFRNUywwLCwsLFVTRCkp&amp;WINDOW=F","IRST_POPUP&amp;HEIGHT=450&amp;WIDTH=450&amp;START_MAXIMIZED=FALSE&amp;VAR:CALENDAR=US&amp;VAR:SYMBOL=AXIH&amp;VAR:INDEX=0"}</definedName>
    <definedName function="false" hidden="true" name="_1676__FDSAUDITLINK__" vbProcedure="false">{"fdsup://directions/FAT Viewer?action=UPDATE&amp;creator=factset&amp;DYN_ARGS=TRUE&amp;DOC_NAME=FAT:FQL_AUDITING_CLIENT_TEMPLATE.FAT&amp;display_string=Audit&amp;VAR:KEY=HKPSLKBSPM&amp;VAR:QUERY=KEZTTF9ORVRfSU5DKE5PVyxOT1csRlNBLCxVU0QpQEZGX05FVF9JTkMoTFRNUywwLCwsLFVTRCkp&amp;WINDOW=F","IRST_POPUP&amp;HEIGHT=450&amp;WIDTH=450&amp;START_MAXIMIZED=FALSE&amp;VAR:CALENDAR=US&amp;VAR:SYMBOL=AQAS&amp;VAR:INDEX=0"}</definedName>
    <definedName function="false" hidden="true" name="_1677__FDSAUDITLINK__" vbProcedure="false">{"fdsup://directions/FAT Viewer?action=UPDATE&amp;creator=factset&amp;DYN_ARGS=TRUE&amp;DOC_NAME=FAT:FQL_AUDITING_CLIENT_TEMPLATE.FAT&amp;display_string=Audit&amp;VAR:KEY=JAPSFUFEVO&amp;VAR:QUERY=KEZTTF9ORVRfSU5DKE5PVyxOT1csRlNBLCxVU0QpQEZGX05FVF9JTkMoTFRNUywwLCwsLFVTRCkp&amp;WINDOW=F","IRST_POPUP&amp;HEIGHT=450&amp;WIDTH=450&amp;START_MAXIMIZED=FALSE&amp;VAR:CALENDAR=US&amp;VAR:SYMBOL=GSPH&amp;VAR:INDEX=0"}</definedName>
    <definedName function="false" hidden="true" name="_1678__FDSAUDITLINK__" vbProcedure="false">{"fdsup://directions/FAT Viewer?action=UPDATE&amp;creator=factset&amp;DYN_ARGS=TRUE&amp;DOC_NAME=FAT:FQL_AUDITING_CLIENT_TEMPLATE.FAT&amp;display_string=Audit&amp;VAR:KEY=JMRURGRMDI&amp;VAR:QUERY=KEZTTF9ORVRfSU5DKE5PVyxOT1csRlNBLCxVU0QpQEZGX05FVF9JTkMoTFRNUywwLCwsLFVTRCkp&amp;WINDOW=F","IRST_POPUP&amp;HEIGHT=450&amp;WIDTH=450&amp;START_MAXIMIZED=FALSE&amp;VAR:CALENDAR=US&amp;VAR:SYMBOL=ETHT&amp;VAR:INDEX=0"}</definedName>
    <definedName function="false" hidden="true" name="_1679__FDSAUDITLINK__" vbProcedure="false">{"fdsup://directions/FAT Viewer?action=UPDATE&amp;creator=factset&amp;DYN_ARGS=TRUE&amp;DOC_NAME=FAT:FQL_AUDITING_CLIENT_TEMPLATE.FAT&amp;display_string=Audit&amp;VAR:KEY=NSVCNKZYPI&amp;VAR:QUERY=KEZTTF9ORVRfSU5DKE5PVyxOT1csRlNBLCxVU0QpQEZGX05FVF9JTkMoTFRNUywwLCwsLFVTRCkp&amp;WINDOW=F","IRST_POPUP&amp;HEIGHT=450&amp;WIDTH=450&amp;START_MAXIMIZED=FALSE&amp;VAR:CALENDAR=US&amp;VAR:SYMBOL=CRWG&amp;VAR:INDEX=0"}</definedName>
    <definedName function="false" hidden="true" name="_167__FDSAUDITLINK__" vbProcedure="false">{"fdsup://directions/FAT Viewer?action=UPDATE&amp;creator=factset&amp;DYN_ARGS=TRUE&amp;DOC_NAME=FAT:FQL_AUDITING_CLIENT_TEMPLATE.FAT&amp;display_string=Audit&amp;VAR:KEY=HSRAZEVKTS&amp;VAR:QUERY=RkZfRUJJVERBX09QRVIoTFRNLDAsLCwsVVNEKQ==&amp;WINDOW=FIRST_POPUP&amp;HEIGHT=450&amp;WIDTH=450&amp;STAR","T_MAXIMIZED=FALSE&amp;VAR:CALENDAR=US&amp;VAR:SYMBOL=ABFS&amp;VAR:INDEX=0"}</definedName>
    <definedName function="false" hidden="true" name="_1680__FDSAUDITLINK__" vbProcedure="false">{"fdsup://directions/FAT Viewer?action=UPDATE&amp;creator=factset&amp;DYN_ARGS=TRUE&amp;DOC_NAME=FAT:FQL_AUDITING_CLIENT_TEMPLATE.FAT&amp;display_string=Audit&amp;VAR:KEY=XIXYBGVSPG&amp;VAR:QUERY=KEZTTF9ORVRfSU5DKE5PVyxOT1csRlNBLCxVU0QpQEZGX05FVF9JTkMoTFRNUywwLCwsLFVTRCkp&amp;WINDOW=F","IRST_POPUP&amp;HEIGHT=450&amp;WIDTH=450&amp;START_MAXIMIZED=FALSE&amp;VAR:CALENDAR=US&amp;VAR:SYMBOL=DAIO&amp;VAR:INDEX=0"}</definedName>
    <definedName function="false" hidden="true" name="_1681__FDSAUDITLINK__" vbProcedure="false">{"fdsup://directions/FAT Viewer?action=UPDATE&amp;creator=factset&amp;DYN_ARGS=TRUE&amp;DOC_NAME=FAT:FQL_AUDITING_CLIENT_TEMPLATE.FAT&amp;display_string=Audit&amp;VAR:KEY=RUBSPEVSPS&amp;VAR:QUERY=KEZTTF9ORVRfSU5DKE5PVyxOT1csRlNBLCxVU0QpQEZGX05FVF9JTkMoTFRNUywwLCwsLFVTRCkp&amp;WINDOW=F","IRST_POPUP&amp;HEIGHT=450&amp;WIDTH=450&amp;START_MAXIMIZED=FALSE&amp;VAR:CALENDAR=US&amp;VAR:SYMBOL=DVOX&amp;VAR:INDEX=0"}</definedName>
    <definedName function="false" hidden="true" name="_1682__FDSAUDITLINK__" vbProcedure="false">{"fdsup://directions/FAT Viewer?action=UPDATE&amp;creator=factset&amp;DYN_ARGS=TRUE&amp;DOC_NAME=FAT:FQL_AUDITING_CLIENT_TEMPLATE.FAT&amp;display_string=Audit&amp;VAR:KEY=NUFUNQZCLK&amp;VAR:QUERY=KEZTTF9ORVRfSU5DKE5PVyxOT1csRlNBLCxVU0QpQEZGX05FVF9JTkMoTFRNUywwLCwsLFVTRCkp&amp;WINDOW=F","IRST_POPUP&amp;HEIGHT=450&amp;WIDTH=450&amp;START_MAXIMIZED=FALSE&amp;VAR:CALENDAR=US&amp;VAR:SYMBOL=AWRE&amp;VAR:INDEX=0"}</definedName>
    <definedName function="false" hidden="true" name="_1683__FDSAUDITLINK__" vbProcedure="false">{"fdsup://directions/FAT Viewer?action=UPDATE&amp;creator=factset&amp;DYN_ARGS=TRUE&amp;DOC_NAME=FAT:FQL_AUDITING_CLIENT_TEMPLATE.FAT&amp;display_string=Audit&amp;VAR:KEY=HCZKDCNMPA&amp;VAR:QUERY=KEZTTF9ORVRfSU5DKE5PVyxOT1csRlNBLCxVU0QpQEZGX05FVF9JTkMoTFRNUywwLCwsLFVTRCkp&amp;WINDOW=F","IRST_POPUP&amp;HEIGHT=450&amp;WIDTH=450&amp;START_MAXIMIZED=FALSE&amp;VAR:CALENDAR=US&amp;VAR:SYMBOL=AUTH&amp;VAR:INDEX=0"}</definedName>
    <definedName function="false" hidden="true" name="_1684__FDSAUDITLINK__" vbProcedure="false">{"fdsup://directions/FAT Viewer?action=UPDATE&amp;creator=factset&amp;DYN_ARGS=TRUE&amp;DOC_NAME=FAT:FQL_AUDITING_CLIENT_TEMPLATE.FAT&amp;display_string=Audit&amp;VAR:KEY=RYBEFQXOHK&amp;VAR:QUERY=KEZTTF9ORVRfSU5DKE5PVyxOT1csRlNBLCxVU0QpQEZGX05FVF9JTkMoTFRNUywwLCwsLFVTRCkp&amp;WINDOW=F","IRST_POPUP&amp;HEIGHT=450&amp;WIDTH=450&amp;START_MAXIMIZED=FALSE&amp;VAR:CALENDAR=US&amp;VAR:SYMBOL=CHNT&amp;VAR:INDEX=0"}</definedName>
    <definedName function="false" hidden="true" name="_1685__FDSAUDITLINK__" vbProcedure="false">{"fdsup://directions/FAT Viewer?action=UPDATE&amp;creator=factset&amp;DYN_ARGS=TRUE&amp;DOC_NAME=FAT:FQL_AUDITING_CLIENT_TEMPLATE.FAT&amp;display_string=Audit&amp;VAR:KEY=DWJSFYFCHA&amp;VAR:QUERY=KEZTTF9ORVRfSU5DKE5PVyxOT1csRlNBLCxVU0QpQEZGX05FVF9JTkMoTFRNUywwLCwsLFVTRCkp&amp;WINDOW=F","IRST_POPUP&amp;HEIGHT=450&amp;WIDTH=450&amp;START_MAXIMIZED=FALSE&amp;VAR:CALENDAR=US&amp;VAR:SYMBOL=THPW&amp;VAR:INDEX=0"}</definedName>
    <definedName function="false" hidden="true" name="_1686__FDSAUDITLINK__" vbProcedure="false">{"fdsup://directions/FAT Viewer?action=UPDATE&amp;creator=factset&amp;DYN_ARGS=TRUE&amp;DOC_NAME=FAT:FQL_AUDITING_CLIENT_TEMPLATE.FAT&amp;display_string=Audit&amp;VAR:KEY=LOVEFOHIVA&amp;VAR:QUERY=KEZTTF9ORVRfSU5DKE5PVyxOT1csRlNBLCxVU0QpQEZGX05FVF9JTkMoTFRNUywwLCwsLFVTRCkp&amp;WINDOW=F","IRST_POPUP&amp;HEIGHT=450&amp;WIDTH=450&amp;START_MAXIMIZED=FALSE&amp;VAR:CALENDAR=US&amp;VAR:SYMBOL=ACFN&amp;VAR:INDEX=0"}</definedName>
    <definedName function="false" hidden="true" name="_1687__FDSAUDITLINK__" vbProcedure="false">{"fdsup://directions/FAT Viewer?action=UPDATE&amp;creator=factset&amp;DYN_ARGS=TRUE&amp;DOC_NAME=FAT:FQL_AUDITING_CLIENT_TEMPLATE.FAT&amp;display_string=Audit&amp;VAR:KEY=RABSJUTKBA&amp;VAR:QUERY=KEZTTF9ORVRfSU5DKE5PVyxOT1csRlNBLCxVU0QpQEZGX05FVF9JTkMoTFRNUywwLCwsLFVTRCkp&amp;WINDOW=F","IRST_POPUP&amp;HEIGHT=450&amp;WIDTH=450&amp;START_MAXIMIZED=FALSE&amp;VAR:CALENDAR=US&amp;VAR:SYMBOL=CREG&amp;VAR:INDEX=0"}</definedName>
    <definedName function="false" hidden="true" name="_1688__FDSAUDITLINK__" vbProcedure="false">{"fdsup://directions/FAT Viewer?action=UPDATE&amp;creator=factset&amp;DYN_ARGS=TRUE&amp;DOC_NAME=FAT:FQL_AUDITING_CLIENT_TEMPLATE.FAT&amp;display_string=Audit&amp;VAR:KEY=DQHEDEJQZU&amp;VAR:QUERY=KEZTTF9ORVRfSU5DKE5PVyxOT1csRlNBLCxVU0QpQEZGX05FVF9JTkMoTFRNUywwLCwsLFVTRCkp&amp;WINDOW=F","IRST_POPUP&amp;HEIGHT=450&amp;WIDTH=450&amp;START_MAXIMIZED=FALSE&amp;VAR:CALENDAR=US&amp;VAR:SYMBOL=GAIA&amp;VAR:INDEX=0"}</definedName>
    <definedName function="false" hidden="true" name="_1689__FDSAUDITLINK__" vbProcedure="false">{"fdsup://directions/FAT Viewer?action=UPDATE&amp;creator=factset&amp;DYN_ARGS=TRUE&amp;DOC_NAME=FAT:FQL_AUDITING_CLIENT_TEMPLATE.FAT&amp;display_string=Audit&amp;VAR:KEY=BEBUTAZITO&amp;VAR:QUERY=KEZTTF9ORVRfSU5DKE5PVyxOT1csRlNBLCxVU0QpQEZGX05FVF9JTkMoTFRNUywwLCwsLFVTRCkp&amp;WINDOW=F","IRST_POPUP&amp;HEIGHT=450&amp;WIDTH=450&amp;START_MAXIMIZED=FALSE&amp;VAR:CALENDAR=US&amp;VAR:SYMBOL=ISYS&amp;VAR:INDEX=0"}</definedName>
    <definedName function="false" hidden="true" name="_168__FDSAUDITLINK__" vbProcedure="false">{"fdsup://directions/FAT Viewer?action=UPDATE&amp;creator=factset&amp;DYN_ARGS=TRUE&amp;DOC_NAME=FAT:FQL_AUDITING_CLIENT_TEMPLATE.FAT&amp;display_string=Audit&amp;VAR:KEY=RYDKLIHOFE&amp;VAR:QUERY=RkZfRUJJVERBX09QRVIoTFRNLDAsLCwsVVNEKQ==&amp;WINDOW=FIRST_POPUP&amp;HEIGHT=450&amp;WIDTH=450&amp;STAR","T_MAXIMIZED=FALSE&amp;VAR:CALENDAR=US&amp;VAR:SYMBOL=VTNC&amp;VAR:INDEX=0"}</definedName>
    <definedName function="false" hidden="true" name="_1690__FDSAUDITLINK__" vbProcedure="false">{"fdsup://directions/FAT Viewer?action=UPDATE&amp;creator=factset&amp;DYN_ARGS=TRUE&amp;DOC_NAME=FAT:FQL_AUDITING_CLIENT_TEMPLATE.FAT&amp;display_string=Audit&amp;VAR:KEY=HMVSTWBGHS&amp;VAR:QUERY=KEZTTF9ORVRfSU5DKE5PVyxOT1csRlNBLCxVU0QpQEZGX05FVF9JTkMoTFRNUywwLCwsLFVTRCkp&amp;WINDOW=F","IRST_POPUP&amp;HEIGHT=450&amp;WIDTH=450&amp;START_MAXIMIZED=FALSE&amp;VAR:CALENDAR=US&amp;VAR:SYMBOL=ADPI&amp;VAR:INDEX=0"}</definedName>
    <definedName function="false" hidden="true" name="_1691__FDSAUDITLINK__" vbProcedure="false">{"fdsup://directions/FAT Viewer?action=UPDATE&amp;creator=factset&amp;DYN_ARGS=TRUE&amp;DOC_NAME=FAT:FQL_AUDITING_CLIENT_TEMPLATE.FAT&amp;display_string=Audit&amp;VAR:KEY=XQFUZYHMJK&amp;VAR:QUERY=KEZTTF9ORVRfSU5DKE5PVyxOT1csRlNBLCxVU0QpQEZGX05FVF9JTkMoTFRNUywwLCwsLFVTRCkp&amp;WINDOW=F","IRST_POPUP&amp;HEIGHT=450&amp;WIDTH=450&amp;START_MAXIMIZED=FALSE&amp;VAR:CALENDAR=US&amp;VAR:SYMBOL=MRCY&amp;VAR:INDEX=0"}</definedName>
    <definedName function="false" hidden="true" name="_1692__FDSAUDITLINK__" vbProcedure="false">{"fdsup://directions/FAT Viewer?action=UPDATE&amp;creator=factset&amp;DYN_ARGS=TRUE&amp;DOC_NAME=FAT:FQL_AUDITING_CLIENT_TEMPLATE.FAT&amp;display_string=Audit&amp;VAR:KEY=NWFOFIJUXE&amp;VAR:QUERY=KEZTTF9ORVRfSU5DKE5PVyxOT1csRlNBLCxVU0QpQEZGX05FVF9JTkMoTFRNUywwLCwsLFVTRCkp&amp;WINDOW=F","IRST_POPUP&amp;HEIGHT=450&amp;WIDTH=450&amp;START_MAXIMIZED=FALSE&amp;VAR:CALENDAR=US&amp;VAR:SYMBOL=ALOG&amp;VAR:INDEX=0"}</definedName>
    <definedName function="false" hidden="true" name="_1693__FDSAUDITLINK__" vbProcedure="false">{"fdsup://directions/FAT Viewer?action=UPDATE&amp;creator=factset&amp;DYN_ARGS=TRUE&amp;DOC_NAME=FAT:FQL_AUDITING_CLIENT_TEMPLATE.FAT&amp;display_string=Audit&amp;VAR:KEY=TMJIXIVMRM&amp;VAR:QUERY=KEZTTF9ORVRfSU5DKE5PVyxOT1csRlNBLCxVU0QpQEZGX05FVF9JTkMoTFRNUywwLCwsLFVTRCkp&amp;WINDOW=F","IRST_POPUP&amp;HEIGHT=450&amp;WIDTH=450&amp;START_MAXIMIZED=FALSE&amp;VAR:CALENDAR=US&amp;VAR:SYMBOL=AONE&amp;VAR:INDEX=0"}</definedName>
    <definedName function="false" hidden="true" name="_1694__FDSAUDITLINK__" vbProcedure="false">{"fdsup://directions/FAT Viewer?action=UPDATE&amp;creator=factset&amp;DYN_ARGS=TRUE&amp;DOC_NAME=FAT:FQL_AUDITING_CLIENT_TEMPLATE.FAT&amp;display_string=Audit&amp;VAR:KEY=JKBAVATCHM&amp;VAR:QUERY=KEZTTF9ORVRfSU5DKE5PVyxOT1csRlNBLCxVU0QpQEZGX05FVF9JTkMoTFRNUywwLCwsLFVTRCkp&amp;WINDOW=F","IRST_POPUP&amp;HEIGHT=450&amp;WIDTH=450&amp;START_MAXIMIZED=FALSE&amp;VAR:CALENDAR=US&amp;VAR:SYMBOL=TECD&amp;VAR:INDEX=0"}</definedName>
    <definedName function="false" hidden="true" name="_1695__FDSAUDITLINK__" vbProcedure="false">{"fdsup://directions/FAT Viewer?action=UPDATE&amp;creator=factset&amp;DYN_ARGS=TRUE&amp;DOC_NAME=FAT:FQL_AUDITING_CLIENT_TEMPLATE.FAT&amp;display_string=Audit&amp;VAR:KEY=TMTGVINCFI&amp;VAR:QUERY=KEZTTF9ORVRfSU5DKE5PVyxOT1csRlNBLCxVU0QpQEZGX05FVF9JTkMoTFRNUywwLCwsLFVTRCkp&amp;WINDOW=F","IRST_POPUP&amp;HEIGHT=450&amp;WIDTH=450&amp;START_MAXIMIZED=FALSE&amp;VAR:CALENDAR=US&amp;VAR:SYMBOL=IM&amp;VAR:INDEX=0"}</definedName>
    <definedName function="false" hidden="true" name="_1696__FDSAUDITLINK__" vbProcedure="false">{"fdsup://directions/FAT Viewer?action=UPDATE&amp;creator=factset&amp;DYN_ARGS=TRUE&amp;DOC_NAME=FAT:FQL_AUDITING_CLIENT_TEMPLATE.FAT&amp;display_string=Audit&amp;VAR:KEY=BUVYPAZAXM&amp;VAR:QUERY=KEZTTF9ORVRfSU5DKE5PVyxOT1csRlNBLCxVU0QpQEZGX05FVF9JTkMoTFRNUywwLCwsLFVTRCkp&amp;WINDOW=F","IRST_POPUP&amp;HEIGHT=450&amp;WIDTH=450&amp;START_MAXIMIZED=FALSE&amp;VAR:CALENDAR=US&amp;VAR:SYMBOL=HON&amp;VAR:INDEX=0"}</definedName>
    <definedName function="false" hidden="true" name="_1697__FDSAUDITLINK__" vbProcedure="false">{"fdsup://Directions/FactSet Auditing Viewer?action=AUDIT_VALUE&amp;DB=129&amp;ID1=16944E10&amp;VALUEID=02001&amp;SDATE=201004&amp;PERIODTYPE=QTR_STD&amp;window=popup_no_bar&amp;width=385&amp;height=120&amp;START_MAXIMIZED=FALSE&amp;creator=factset&amp;display_string=Audit"}</definedName>
    <definedName function="false" hidden="true" name="_1698__FDSAUDITLINK__" vbProcedure="false">{"fdsup://directions/FAT Viewer?action=UPDATE&amp;creator=factset&amp;DYN_ARGS=TRUE&amp;DOC_NAME=FAT:FQL_AUDITING_CLIENT_TEMPLATE.FAT&amp;display_string=Audit&amp;VAR:KEY=VAZINMNW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GL&amp;VAR:INDEX=0"}</definedName>
    <definedName function="false" hidden="true" name="_1699__FDSAUDITLINK__" vbProcedure="false">{"fdsup://directions/FAT Viewer?action=UPDATE&amp;creator=factset&amp;DYN_ARGS=TRUE&amp;DOC_NAME=FAT:FQL_AUDITING_CLIENT_TEMPLATE.FAT&amp;display_string=Audit&amp;VAR:KEY=VAVMVMJCD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IO&amp;VAR:INDEX=0"}</definedName>
    <definedName function="false" hidden="true" name="_169__FDSAUDITLINK__" vbProcedure="false">{"fdsup://directions/FAT Viewer?action=UPDATE&amp;creator=factset&amp;DYN_ARGS=TRUE&amp;DOC_NAME=FAT:FQL_AUDITING_CLIENT_TEMPLATE.FAT&amp;display_string=Audit&amp;VAR:KEY=NODSRKFUNC&amp;VAR:QUERY=RkZfRUJJVERBX09QRVIoTFRNLDAsLCwsVVNEKQ==&amp;WINDOW=FIRST_POPUP&amp;HEIGHT=450&amp;WIDTH=450&amp;STAR","T_MAXIMIZED=FALSE&amp;VAR:CALENDAR=US&amp;VAR:SYMBOL=USAK&amp;VAR:INDEX=0"}</definedName>
    <definedName function="false" hidden="true" name="_16__123Graph_BDIAGR_2" vbProcedure="false">#REF!</definedName>
    <definedName function="false" hidden="true" name="_16__123Graph_CADV_PCE" vbProcedure="false">#REF!</definedName>
    <definedName function="false" hidden="true" name="_16__123Graph_X_FABP_L.WK1_FAB" vbProcedure="false">#REF!</definedName>
    <definedName function="false" hidden="true" name="_16__FDSAUDITLINK__" vbProcedure="false">{"fdsup://directions/FAT Viewer?action=UPDATE&amp;creator=factset&amp;DYN_ARGS=TRUE&amp;DOC_NAME=FAT:FQL_AUDITING_CLIENT_TEMPLATE.FAT&amp;display_string=Audit&amp;VAR:KEY=AZMXKHARML&amp;VAR:QUERY=RkZfRUJJVERBX09QRVIoTFRNLDAsLCwsVVNEKQ==&amp;WINDOW=FIRST_POPUP&amp;HEIGHT=450&amp;WIDTH=450&amp;STAR","T_MAXIMIZED=FALSE&amp;VAR:CALENDAR=US&amp;VAR:SYMBOL=SUNH&amp;VAR:INDEX=0"}</definedName>
    <definedName function="false" hidden="true" name="_1700__FDSAUDITLINK__" vbProcedure="false">{"fdsup://directions/FAT Viewer?action=UPDATE&amp;creator=factset&amp;DYN_ARGS=TRUE&amp;DOC_NAME=FAT:FQL_AUDITING_CLIENT_TEMPLATE.FAT&amp;display_string=Audit&amp;VAR:KEY=TMLWREDEJ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YIG&amp;VAR:INDEX=0"}</definedName>
    <definedName function="false" hidden="true" name="_1701__FDSAUDITLINK__" vbProcedure="false">{"fdsup://directions/FAT Viewer?action=UPDATE&amp;creator=factset&amp;DYN_ARGS=TRUE&amp;DOC_NAME=FAT:FQL_AUDITING_CLIENT_TEMPLATE.FAT&amp;display_string=Audit&amp;VAR:KEY=ZYLEBOR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VI&amp;VAR:INDEX=0"}</definedName>
    <definedName function="false" hidden="true" name="_1702__FDSAUDITLINK__" vbProcedure="false">{"fdsup://Directions/FactSet Auditing Viewer?action=AUDIT_VALUE&amp;DB=129&amp;ID1=17260A10&amp;VALUEID=02001&amp;SDATE=201002&amp;PERIODTYPE=QTR_STD&amp;window=popup_no_bar&amp;width=385&amp;height=120&amp;START_MAXIMIZED=FALSE&amp;creator=factset&amp;display_string=Audit"}</definedName>
    <definedName function="false" hidden="true" name="_1703__FDSAUDITLINK__" vbProcedure="false">{"fdsup://Directions/FactSet Auditing Viewer?action=AUDIT_VALUE&amp;DB=129&amp;ID1=04031110&amp;VALUEID=02001&amp;SDATE=200903&amp;PERIODTYPE=QTR_STD&amp;window=popup_no_bar&amp;width=385&amp;height=120&amp;START_MAXIMIZED=FALSE&amp;creator=factset&amp;display_string=Audit"}</definedName>
    <definedName function="false" hidden="true" name="_1704__FDSAUDITLINK__" vbProcedure="false">{"fdsup://directions/FAT Viewer?action=UPDATE&amp;creator=factset&amp;DYN_ARGS=TRUE&amp;DOC_NAME=FAT:FQL_AUDITING_CLIENT_TEMPLATE.FAT&amp;display_string=Audit&amp;VAR:KEY=DEHATKBE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IGA&amp;VAR:INDEX=0"}</definedName>
    <definedName function="false" hidden="true" name="_1705__FDSAUDITLINK__" vbProcedure="false">{"fdsup://Directions/FactSet Auditing Viewer?action=AUDIT_VALUE&amp;DB=129&amp;ID1=16945C10&amp;VALUEID=02001&amp;SDATE=200903&amp;PERIODTYPE=QTR_STD&amp;window=popup_no_bar&amp;width=385&amp;height=120&amp;START_MAXIMIZED=FALSE&amp;creator=factset&amp;display_string=Audit"}</definedName>
    <definedName function="false" hidden="true" name="_1706__FDSAUDITLINK__" vbProcedure="false">{"fdsup://Directions/FactSet Auditing Viewer?action=AUDIT_VALUE&amp;DB=129&amp;ID1=25849C10&amp;VALUEID=02001&amp;SDATE=201001&amp;PERIODTYPE=QTR_STD&amp;window=popup_no_bar&amp;width=385&amp;height=120&amp;START_MAXIMIZED=FALSE&amp;creator=factset&amp;display_string=Audit"}</definedName>
    <definedName function="false" hidden="true" name="_1707__FDSAUDITLINK__" vbProcedure="false">{"fdsup://Directions/FactSet Auditing Viewer?action=AUDIT_VALUE&amp;DB=129&amp;ID1=25383A20&amp;VALUEID=02001&amp;SDATE=201002&amp;PERIODTYPE=QTR_STD&amp;window=popup_no_bar&amp;width=385&amp;height=120&amp;START_MAXIMIZED=FALSE&amp;creator=factset&amp;display_string=Audit"}</definedName>
    <definedName function="false" hidden="true" name="_1708__FDSAUDITLINK__" vbProcedure="false">{"fdsup://Directions/FactSet Auditing Viewer?action=AUDIT_VALUE&amp;DB=129&amp;ID1=75382A10&amp;VALUEID=02001&amp;SDATE=201002&amp;PERIODTYPE=QTR_STD&amp;window=popup_no_bar&amp;width=385&amp;height=120&amp;START_MAXIMIZED=FALSE&amp;creator=factset&amp;display_string=Audit"}</definedName>
    <definedName function="false" hidden="true" name="_1709__FDSAUDITLINK__" vbProcedure="false">{"fdsup://Directions/FactSet Auditing Viewer?action=AUDIT_VALUE&amp;DB=129&amp;ID1=12638910&amp;VALUEID=02001&amp;SDATE=201003&amp;PERIODTYPE=QTR_STD&amp;window=popup_no_bar&amp;width=385&amp;height=120&amp;START_MAXIMIZED=FALSE&amp;creator=factset&amp;display_string=Audit"}</definedName>
    <definedName function="false" hidden="true" name="_170__FDSAUDITLINK__" vbProcedure="false">{"fdsup://directions/FAT Viewer?action=UPDATE&amp;creator=factset&amp;DYN_ARGS=TRUE&amp;DOC_NAME=FAT:FQL_AUDITING_CLIENT_TEMPLATE.FAT&amp;display_string=Audit&amp;VAR:KEY=LULYPYPUFA&amp;VAR:QUERY=RkZfRUJJVERBX09QRVIoTFRNLDAsLCwsVVNEKQ==&amp;WINDOW=FIRST_POPUP&amp;HEIGHT=450&amp;WIDTH=450&amp;STAR","T_MAXIMIZED=FALSE&amp;VAR:CALENDAR=US&amp;VAR:SYMBOL=AVNW&amp;VAR:INDEX=0"}</definedName>
    <definedName function="false" hidden="true" name="_1710__FDSAUDITLINK__" vbProcedure="false">{"fdsup://Directions/FactSet Auditing Viewer?action=AUDIT_VALUE&amp;DB=129&amp;ID1=16946G10&amp;VALUEID=02001&amp;SDATE=201002&amp;PERIODTYPE=QTR_STD&amp;window=popup_no_bar&amp;width=385&amp;height=120&amp;START_MAXIMIZED=FALSE&amp;creator=factset&amp;display_string=Audit"}</definedName>
    <definedName function="false" hidden="true" name="_1711__FDSAUDITLINK__" vbProcedure="false">{"fdsup://Directions/FactSet Auditing Viewer?action=AUDIT_VALUE&amp;DB=129&amp;ID1=03815U10&amp;VALUEID=02001&amp;SDATE=201003&amp;PERIODTYPE=QTR_STD&amp;window=popup_no_bar&amp;width=385&amp;height=120&amp;START_MAXIMIZED=FALSE&amp;creator=factset&amp;display_string=Audit"}</definedName>
    <definedName function="false" hidden="true" name="_1712__FDSAUDITLINK__" vbProcedure="false">{"fdsup://Directions/FactSet Auditing Viewer?action=AUDIT_VALUE&amp;DB=129&amp;ID1=74316410&amp;VALUEID=02001&amp;SDATE=201004&amp;PERIODTYPE=QTR_STD&amp;window=popup_no_bar&amp;width=385&amp;height=120&amp;START_MAXIMIZED=FALSE&amp;creator=factset&amp;display_string=Audit"}</definedName>
    <definedName function="false" hidden="true" name="_1713__FDSAUDITLINK__" vbProcedure="false">{"fdsup://Directions/FactSet Auditing Viewer?action=AUDIT_VALUE&amp;DB=129&amp;ID1=05462D10&amp;VALUEID=02001&amp;SDATE=201003&amp;PERIODTYPE=QTR_STD&amp;window=popup_no_bar&amp;width=385&amp;height=120&amp;START_MAXIMIZED=FALSE&amp;creator=factset&amp;display_string=Audit"}</definedName>
    <definedName function="false" hidden="true" name="_1714__FDSAUDITLINK__" vbProcedure="false">{"fdsup://Directions/FactSet Auditing Viewer?action=AUDIT_VALUE&amp;DB=129&amp;ID1=03841C10&amp;VALUEID=02001&amp;SDATE=200703&amp;PERIODTYPE=QTR_STD&amp;window=popup_no_bar&amp;width=385&amp;height=120&amp;START_MAXIMIZED=FALSE&amp;creator=factset&amp;display_string=Audit"}</definedName>
    <definedName function="false" hidden="true" name="_1715__FDSAUDITLINK__" vbProcedure="false">{"fdsup://Directions/FactSet Auditing Viewer?action=AUDIT_VALUE&amp;DB=129&amp;ID1=37364F10&amp;VALUEID=02001&amp;SDATE=201002&amp;PERIODTYPE=QTR_STD&amp;window=popup_no_bar&amp;width=385&amp;height=120&amp;START_MAXIMIZED=FALSE&amp;creator=factset&amp;display_string=Audit"}</definedName>
    <definedName function="false" hidden="true" name="_1716__FDSAUDITLINK__" vbProcedure="false">{"fdsup://Directions/FactSet Auditing Viewer?action=AUDIT_VALUE&amp;DB=129&amp;ID1=29382030&amp;VALUEID=02001&amp;SDATE=201002&amp;PERIODTYPE=QTR_STD&amp;window=popup_no_bar&amp;width=385&amp;height=120&amp;START_MAXIMIZED=FALSE&amp;creator=factset&amp;display_string=Audit"}</definedName>
    <definedName function="false" hidden="true" name="_1717__FDSAUDITLINK__" vbProcedure="false">{"fdsup://Directions/FactSet Auditing Viewer?action=AUDIT_VALUE&amp;DB=129&amp;ID1=22787P10&amp;VALUEID=02001&amp;SDATE=201001&amp;PERIODTYPE=QTR_STD&amp;window=popup_no_bar&amp;width=385&amp;height=120&amp;START_MAXIMIZED=FALSE&amp;creator=factset&amp;display_string=Audit"}</definedName>
    <definedName function="false" hidden="true" name="_1718__FDSAUDITLINK__" vbProcedure="false">{"fdsup://Directions/FactSet Auditing Viewer?action=AUDIT_VALUE&amp;DB=129&amp;ID1=23769010&amp;VALUEID=02001&amp;SDATE=201002&amp;PERIODTYPE=QTR_STD&amp;window=popup_no_bar&amp;width=385&amp;height=120&amp;START_MAXIMIZED=FALSE&amp;creator=factset&amp;display_string=Audit"}</definedName>
    <definedName function="false" hidden="true" name="_1719__FDSAUDITLINK__" vbProcedure="false">{"fdsup://directions/FAT Viewer?action=UPDATE&amp;creator=factset&amp;DYN_ARGS=TRUE&amp;DOC_NAME=FAT:FQL_AUDITING_CLIENT_TEMPLATE.FAT&amp;display_string=Audit&amp;VAR:KEY=BUTWDUPQ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PTN&amp;VAR:INDEX=0"}</definedName>
    <definedName function="false" hidden="true" name="_171__FDSAUDITLINK__" vbProcedure="false">{"fdsup://directions/FAT Viewer?action=UPDATE&amp;creator=factset&amp;DYN_ARGS=TRUE&amp;DOC_NAME=FAT:FQL_AUDITING_CLIENT_TEMPLATE.FAT&amp;display_string=Audit&amp;VAR:KEY=BERWXUVKJY&amp;VAR:QUERY=RkZfRUJJVERBX09QRVIoTFRNLDAsLCwsVVNEKQ==&amp;WINDOW=FIRST_POPUP&amp;HEIGHT=450&amp;WIDTH=450&amp;STAR","T_MAXIMIZED=FALSE&amp;VAR:CALENDAR=US&amp;VAR:SYMBOL=PWER&amp;VAR:INDEX=0"}</definedName>
    <definedName function="false" hidden="true" name="_1720__FDSAUDITLINK__" vbProcedure="false">{"fdsup://directions/FAT Viewer?action=UPDATE&amp;creator=factset&amp;DYN_ARGS=TRUE&amp;DOC_NAME=FAT:FQL_AUDITING_CLIENT_TEMPLATE.FAT&amp;display_string=Audit&amp;VAR:KEY=LGRQNYRG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PI&amp;VAR:INDEX=0"}</definedName>
    <definedName function="false" hidden="true" name="_1721__FDSAUDITLINK__" vbProcedure="false">{"fdsup://directions/FAT Viewer?action=UPDATE&amp;creator=factset&amp;DYN_ARGS=TRUE&amp;DOC_NAME=FAT:FQL_AUDITING_CLIENT_TEMPLATE.FAT&amp;display_string=Audit&amp;VAR:KEY=BATAVEZG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PDN&amp;VAR:INDEX=0"}</definedName>
    <definedName function="false" hidden="true" name="_1722__FDSAUDITLINK__" vbProcedure="false">{"fdsup://directions/FAT Viewer?action=UPDATE&amp;creator=factset&amp;DYN_ARGS=TRUE&amp;DOC_NAME=FAT:FQL_AUDITING_CLIENT_TEMPLATE.FAT&amp;display_string=Audit&amp;VAR:KEY=NATMDONC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TK&amp;VAR:INDEX=0"}</definedName>
    <definedName function="false" hidden="true" name="_1723__FDSAUDITLINK__" vbProcedure="false">{"fdsup://directions/FAT Viewer?action=UPDATE&amp;creator=factset&amp;DYN_ARGS=TRUE&amp;DOC_NAME=FAT:FQL_AUDITING_CLIENT_TEMPLATE.FAT&amp;display_string=Audit&amp;VAR:KEY=XCXMFUHY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XIH&amp;VAR:INDEX=0"}</definedName>
    <definedName function="false" hidden="true" name="_1724__FDSAUDITLINK__" vbProcedure="false">{"fdsup://directions/FAT Viewer?action=UPDATE&amp;creator=factset&amp;DYN_ARGS=TRUE&amp;DOC_NAME=FAT:FQL_AUDITING_CLIENT_TEMPLATE.FAT&amp;display_string=Audit&amp;VAR:KEY=JQRYPKLW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QAS&amp;VAR:INDEX=0"}</definedName>
    <definedName function="false" hidden="true" name="_1725__FDSAUDITLINK__" vbProcedure="false">{"fdsup://directions/FAT Viewer?action=UPDATE&amp;creator=factset&amp;DYN_ARGS=TRUE&amp;DOC_NAME=FAT:FQL_AUDITING_CLIENT_TEMPLATE.FAT&amp;display_string=Audit&amp;VAR:KEY=JOHKZITO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SPH&amp;VAR:INDEX=0"}</definedName>
    <definedName function="false" hidden="true" name="_1726__FDSAUDITLINK__" vbProcedure="false">{"fdsup://directions/FAT Viewer?action=UPDATE&amp;creator=factset&amp;DYN_ARGS=TRUE&amp;DOC_NAME=FAT:FQL_AUDITING_CLIENT_TEMPLATE.FAT&amp;display_string=Audit&amp;VAR:KEY=RQHWJQRA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THT&amp;VAR:INDEX=0"}</definedName>
    <definedName function="false" hidden="true" name="_1727__FDSAUDITLINK__" vbProcedure="false">{"fdsup://directions/FAT Viewer?action=UPDATE&amp;creator=factset&amp;DYN_ARGS=TRUE&amp;DOC_NAME=FAT:FQL_AUDITING_CLIENT_TEMPLATE.FAT&amp;display_string=Audit&amp;VAR:KEY=HCPQBCPC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WG&amp;VAR:INDEX=0"}</definedName>
    <definedName function="false" hidden="true" name="_1728__FDSAUDITLINK__" vbProcedure="false">{"fdsup://directions/FAT Viewer?action=UPDATE&amp;creator=factset&amp;DYN_ARGS=TRUE&amp;DOC_NAME=FAT:FQL_AUDITING_CLIENT_TEMPLATE.FAT&amp;display_string=Audit&amp;VAR:KEY=BABETIVAR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AIO&amp;VAR:INDEX=0"}</definedName>
    <definedName function="false" hidden="true" name="_1729__FDSAUDITLINK__" vbProcedure="false">{"fdsup://directions/FAT Viewer?action=UPDATE&amp;creator=factset&amp;DYN_ARGS=TRUE&amp;DOC_NAME=FAT:FQL_AUDITING_CLIENT_TEMPLATE.FAT&amp;display_string=Audit&amp;VAR:KEY=HYHYRITGR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WRE&amp;VAR:INDEX=0"}</definedName>
    <definedName function="false" hidden="true" name="_172__FDSAUDITLINK__" vbProcedure="false">{"fdsup://directions/FAT Viewer?action=UPDATE&amp;creator=factset&amp;DYN_ARGS=TRUE&amp;DOC_NAME=FAT:FQL_AUDITING_CLIENT_TEMPLATE.FAT&amp;display_string=Audit&amp;VAR:KEY=MRWJIZGZAP&amp;VAR:QUERY=RkZfRUJJVERBX09QRVIoTFRNLDAsLCwsVVNEKQ==&amp;WINDOW=FIRST_POPUP&amp;HEIGHT=450&amp;WIDTH=450&amp;STAR","T_MAXIMIZED=FALSE&amp;VAR:CALENDAR=US&amp;VAR:SYMBOL=MYRG&amp;VAR:INDEX=0"}</definedName>
    <definedName function="false" hidden="true" name="_1730__FDSAUDITLINK__" vbProcedure="false">{"fdsup://directions/FAT Viewer?action=UPDATE&amp;creator=factset&amp;DYN_ARGS=TRUE&amp;DOC_NAME=FAT:FQL_AUDITING_CLIENT_TEMPLATE.FAT&amp;display_string=Audit&amp;VAR:KEY=TIXCJIJE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UTH&amp;VAR:INDEX=0"}</definedName>
    <definedName function="false" hidden="true" name="_1731__FDSAUDITLINK__" vbProcedure="false">{"fdsup://directions/FAT Viewer?action=UPDATE&amp;creator=factset&amp;DYN_ARGS=TRUE&amp;DOC_NAME=FAT:FQL_AUDITING_CLIENT_TEMPLATE.FAT&amp;display_string=Audit&amp;VAR:KEY=LYLAPKN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NT&amp;VAR:INDEX=0"}</definedName>
    <definedName function="false" hidden="true" name="_1732__FDSAUDITLINK__" vbProcedure="false">{"fdsup://directions/FAT Viewer?action=UPDATE&amp;creator=factset&amp;DYN_ARGS=TRUE&amp;DOC_NAME=FAT:FQL_AUDITING_CLIENT_TEMPLATE.FAT&amp;display_string=Audit&amp;VAR:KEY=ROVWHYDY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HPW&amp;VAR:INDEX=0"}</definedName>
    <definedName function="false" hidden="true" name="_1733__FDSAUDITLINK__" vbProcedure="false">{"fdsup://directions/FAT Viewer?action=UPDATE&amp;creator=factset&amp;DYN_ARGS=TRUE&amp;DOC_NAME=FAT:FQL_AUDITING_CLIENT_TEMPLATE.FAT&amp;display_string=Audit&amp;VAR:KEY=BGZQRIPG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FN&amp;VAR:INDEX=0"}</definedName>
    <definedName function="false" hidden="true" name="_1734__FDSAUDITLINK__" vbProcedure="false">{"fdsup://directions/FAT Viewer?action=UPDATE&amp;creator=factset&amp;DYN_ARGS=TRUE&amp;DOC_NAME=FAT:FQL_AUDITING_CLIENT_TEMPLATE.FAT&amp;display_string=Audit&amp;VAR:KEY=PUJUROVE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EG&amp;VAR:INDEX=0"}</definedName>
    <definedName function="false" hidden="true" name="_1735__FDSAUDITLINK__" vbProcedure="false">{"fdsup://directions/FAT Viewer?action=UPDATE&amp;creator=factset&amp;DYN_ARGS=TRUE&amp;DOC_NAME=FAT:FQL_AUDITING_CLIENT_TEMPLATE.FAT&amp;display_string=Audit&amp;VAR:KEY=XCVKRWJI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IA&amp;VAR:INDEX=0"}</definedName>
    <definedName function="false" hidden="true" name="_1736__FDSAUDITLINK__" vbProcedure="false">{"fdsup://directions/FAT Viewer?action=UPDATE&amp;creator=factset&amp;DYN_ARGS=TRUE&amp;DOC_NAME=FAT:FQL_AUDITING_CLIENT_TEMPLATE.FAT&amp;display_string=Audit&amp;VAR:KEY=VAVYTUJU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SYS&amp;VAR:INDEX=0"}</definedName>
    <definedName function="false" hidden="true" name="_1737__FDSAUDITLINK__" vbProcedure="false">{"fdsup://directions/FAT Viewer?action=UPDATE&amp;creator=factset&amp;DYN_ARGS=TRUE&amp;DOC_NAME=FAT:FQL_AUDITING_CLIENT_TEMPLATE.FAT&amp;display_string=Audit&amp;VAR:KEY=ZKBYHGBA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AZ&amp;VAR:INDEX=0"}</definedName>
    <definedName function="false" hidden="true" name="_1738__FDSAUDITLINK__" vbProcedure="false">{"fdsup://directions/FAT Viewer?action=UPDATE&amp;creator=factset&amp;DYN_ARGS=TRUE&amp;DOC_NAME=FAT:FQL_AUDITING_CLIENT_TEMPLATE.FAT&amp;display_string=Audit&amp;VAR:KEY=TSXGVQVUD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I&amp;VAR:INDEX=0"}</definedName>
    <definedName function="false" hidden="true" name="_1739__FDSAUDITLINK__" vbProcedure="false">{"fdsup://directions/FAT Viewer?action=UPDATE&amp;creator=factset&amp;DYN_ARGS=TRUE&amp;DOC_NAME=FAT:FQL_AUDITING_CLIENT_TEMPLATE.FAT&amp;display_string=Audit&amp;VAR:KEY=PADQDMRI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RCY&amp;VAR:INDEX=0"}</definedName>
    <definedName function="false" hidden="true" name="_173__FDSAUDITLINK__" vbProcedure="false">{"fdsup://directions/FAT Viewer?action=UPDATE&amp;creator=factset&amp;DYN_ARGS=TRUE&amp;DOC_NAME=FAT:FQL_AUDITING_CLIENT_TEMPLATE.FAT&amp;display_string=Audit&amp;VAR:KEY=LMFMTAXMBY&amp;VAR:QUERY=RkZfRUJJVERBX09QRVIoTFRNLDAsLCwsVVNEKQ==&amp;WINDOW=FIRST_POPUP&amp;HEIGHT=450&amp;WIDTH=450&amp;STAR","T_MAXIMIZED=FALSE&amp;VAR:CALENDAR=US&amp;VAR:SYMBOL=COMV&amp;VAR:INDEX=0"}</definedName>
    <definedName function="false" hidden="true" name="_1740__FDSAUDITLINK__" vbProcedure="false">{"fdsup://directions/FAT Viewer?action=UPDATE&amp;creator=factset&amp;DYN_ARGS=TRUE&amp;DOC_NAME=FAT:FQL_AUDITING_CLIENT_TEMPLATE.FAT&amp;display_string=Audit&amp;VAR:KEY=LALSLOZW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OG&amp;VAR:INDEX=0"}</definedName>
    <definedName function="false" hidden="true" name="_1741__FDSAUDITLINK__" vbProcedure="false">{"fdsup://directions/FAT Viewer?action=UPDATE&amp;creator=factset&amp;DYN_ARGS=TRUE&amp;DOC_NAME=FAT:FQL_AUDITING_CLIENT_TEMPLATE.FAT&amp;display_string=Audit&amp;VAR:KEY=ZANYZSZY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ONE&amp;VAR:INDEX=0"}</definedName>
    <definedName function="false" hidden="true" name="_1742__FDSAUDITLINK__" vbProcedure="false">{"fdsup://directions/FAT Viewer?action=UPDATE&amp;creator=factset&amp;DYN_ARGS=TRUE&amp;DOC_NAME=FAT:FQL_AUDITING_CLIENT_TEMPLATE.FAT&amp;display_string=Audit&amp;VAR:KEY=HKZWJILKD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M&amp;VAR:INDEX=0"}</definedName>
    <definedName function="false" hidden="true" name="_1743__FDSAUDITLINK__" vbProcedure="false">{"fdsup://directions/FAT Viewer?action=UPDATE&amp;creator=factset&amp;DYN_ARGS=TRUE&amp;DOC_NAME=FAT:FQL_AUDITING_CLIENT_TEMPLATE.FAT&amp;display_string=Audit&amp;VAR:KEY=LSVCLYRC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ON&amp;VAR:INDEX=0"}</definedName>
    <definedName function="false" hidden="true" name="_1744__FDSAUDITLINK__" vbProcedure="false">{"fdsup://Directions/FactSet Auditing Viewer?action=AUDIT_VALUE&amp;DB=129&amp;ID1=43851610&amp;VALUEID=02001&amp;SDATE=201003&amp;PERIODTYPE=QTR_STD&amp;window=popup_no_bar&amp;width=385&amp;height=120&amp;START_MAXIMIZED=FALSE&amp;creator=factset&amp;display_string=Audit"}</definedName>
    <definedName function="false" hidden="true" name="_1745__FDSAUDITLINK__" vbProcedure="false">{"fdsup://directions/FAT Viewer?action=UPDATE&amp;creator=factset&amp;DYN_ARGS=TRUE&amp;DOC_NAME=FAT:FQL_AUDITING_CLIENT_TEMPLATE.FAT&amp;display_string=Audit&amp;VAR:KEY=BQBKFILQVG&amp;VAR:QUERY=KEZTTF9ORVRfSU5DKE5PVyxOT1csRlNBLCxVU0QpQEZGX05FVF9JTkMoTFRNUywwLCwsLFVTRCkp&amp;WINDOW=F","IRST_POPUP&amp;HEIGHT=450&amp;WIDTH=450&amp;START_MAXIMIZED=FALSE&amp;VAR:CALENDAR=US&amp;VAR:SYMBOL=MTLK&amp;VAR:INDEX=0"}</definedName>
    <definedName function="false" hidden="true" name="_1746__FDSAUDITLINK__" vbProcedure="false">{"fdsup://directions/FAT Viewer?action=UPDATE&amp;creator=factset&amp;DYN_ARGS=TRUE&amp;DOC_NAME=FAT:FQL_AUDITING_CLIENT_TEMPLATE.FAT&amp;display_string=Audit&amp;VAR:KEY=ZMTEJKXWDE&amp;VAR:QUERY=KEZTTF9ORVRfSU5DKE5PVyxOT1csRlNBLCxVU0QpQEZGX05FVF9JTkMoTFRNUywwLCwsLFVTRCkp&amp;WINDOW=F","IRST_POPUP&amp;HEIGHT=450&amp;WIDTH=450&amp;START_MAXIMIZED=FALSE&amp;VAR:CALENDAR=US&amp;VAR:SYMBOL=ARCW&amp;VAR:INDEX=0"}</definedName>
    <definedName function="false" hidden="true" name="_1747__FDSAUDITLINK__" vbProcedure="false">{"fdsup://directions/FAT Viewer?action=UPDATE&amp;creator=factset&amp;DYN_ARGS=TRUE&amp;DOC_NAME=FAT:FQL_AUDITING_CLIENT_TEMPLATE.FAT&amp;display_string=Audit&amp;VAR:KEY=VCPEFGLKLY&amp;VAR:QUERY=KEZTTF9ORVRfSU5DKE5PVyxOT1csRlNBLCxVU0QpQEZGX05FVF9JTkMoTFRNUywwLCwsLFVTRCkp&amp;WINDOW=F","IRST_POPUP&amp;HEIGHT=450&amp;WIDTH=450&amp;START_MAXIMIZED=FALSE&amp;VAR:CALENDAR=US&amp;VAR:SYMBOL=TSTR&amp;VAR:INDEX=0"}</definedName>
    <definedName function="false" hidden="true" name="_1748__FDSAUDITLINK__" vbProcedure="false">{"fdsup://directions/FAT Viewer?action=UPDATE&amp;creator=factset&amp;DYN_ARGS=TRUE&amp;DOC_NAME=FAT:FQL_AUDITING_CLIENT_TEMPLATE.FAT&amp;display_string=Audit&amp;VAR:KEY=DIRWXUXMDE&amp;VAR:QUERY=KEZTTF9ORVRfSU5DKE5PVyxOT1csRlNBLCxVU0QpQEZGX05FVF9JTkMoTFRNUywwLCwsLFVTRCkp&amp;WINDOW=F","IRST_POPUP&amp;HEIGHT=450&amp;WIDTH=450&amp;START_MAXIMIZED=FALSE&amp;VAR:CALENDAR=US&amp;VAR:SYMBOL=CLFD&amp;VAR:INDEX=0"}</definedName>
    <definedName function="false" hidden="true" name="_1749__FDSAUDITLINK__" vbProcedure="false">{"fdsup://Directions/FactSet Auditing Viewer?action=AUDIT_VALUE&amp;DB=129&amp;ID1=05453N10&amp;VALUEID=02001&amp;SDATE=201002&amp;PERIODTYPE=QTR_STD&amp;window=popup_no_bar&amp;width=385&amp;height=120&amp;START_MAXIMIZED=FALSE&amp;creator=factset&amp;display_string=Audit"}</definedName>
    <definedName function="false" hidden="true" name="_174__FDSAUDITLINK__" vbProcedure="false">{"fdsup://directions/FAT Viewer?action=UPDATE&amp;creator=factset&amp;DYN_ARGS=TRUE&amp;DOC_NAME=FAT:FQL_AUDITING_CLIENT_TEMPLATE.FAT&amp;display_string=Audit&amp;VAR:KEY=TABKXQHEVC&amp;VAR:QUERY=RkZfRUJJVERBX09QRVIoTFRNLDAsLCwsVVNEKQ==&amp;WINDOW=FIRST_POPUP&amp;HEIGHT=450&amp;WIDTH=450&amp;STAR","T_MAXIMIZED=FALSE&amp;VAR:CALENDAR=US&amp;VAR:SYMBOL=MXWL&amp;VAR:INDEX=0"}</definedName>
    <definedName function="false" hidden="true" name="_1750__FDSAUDITLINK__" vbProcedure="false">{"fdsup://Directions/FactSet Auditing Viewer?action=AUDIT_VALUE&amp;DB=129&amp;ID1=05266010&amp;VALUEID=02001&amp;SDATE=201002&amp;PERIODTYPE=QTR_STD&amp;window=popup_no_bar&amp;width=385&amp;height=120&amp;START_MAXIMIZED=FALSE&amp;creator=factset&amp;display_string=Audit"}</definedName>
    <definedName function="false" hidden="true" name="_1751__FDSAUDITLINK__" vbProcedure="false">{"fdsup://Directions/FactSet Auditing Viewer?action=AUDIT_VALUE&amp;DB=129&amp;ID1=B1TSK3&amp;VALUEID=02001&amp;SDATE=201002&amp;PERIODTYPE=QTR_STD&amp;window=popup_no_bar&amp;width=385&amp;height=120&amp;START_MAXIMIZED=FALSE&amp;creator=factset&amp;display_string=Audit"}</definedName>
    <definedName function="false" hidden="true" name="_1752__FDSAUDITLINK__" vbProcedure="false">{"fdsup://Directions/FactSet Auditing Viewer?action=AUDIT_VALUE&amp;DB=129&amp;ID1=53224K10&amp;VALUEID=02001&amp;SDATE=201002&amp;PERIODTYPE=QTR_STD&amp;window=popup_no_bar&amp;width=385&amp;height=120&amp;START_MAXIMIZED=FALSE&amp;creator=factset&amp;display_string=Audit"}</definedName>
    <definedName function="false" hidden="true" name="_1753__FDSAUDITLINK__" vbProcedure="false">{"fdsup://Directions/FactSet Auditing Viewer?action=AUDIT_VALUE&amp;DB=129&amp;ID1=00484810&amp;VALUEID=02001&amp;SDATE=201002&amp;PERIODTYPE=QTR_STD&amp;window=popup_no_bar&amp;width=385&amp;height=120&amp;START_MAXIMIZED=FALSE&amp;creator=factset&amp;display_string=Audit"}</definedName>
    <definedName function="false" hidden="true" name="_1754__FDSAUDITLINK__" vbProcedure="false">{"fdsup://Directions/FactSet Auditing Viewer?action=AUDIT_VALUE&amp;DB=129&amp;ID1=16891310&amp;VALUEID=02001&amp;SDATE=201002&amp;PERIODTYPE=QTR_STD&amp;window=popup_no_bar&amp;width=385&amp;height=120&amp;START_MAXIMIZED=FALSE&amp;creator=factset&amp;display_string=Audit"}</definedName>
    <definedName function="false" hidden="true" name="_1755__FDSAUDITLINK__" vbProcedure="false">{"fdsup://Directions/FactSet Auditing Viewer?action=AUDIT_VALUE&amp;DB=129&amp;ID1=36268Q10&amp;VALUEID=02001&amp;SDATE=201002&amp;PERIODTYPE=QTR_STD&amp;window=popup_no_bar&amp;width=385&amp;height=120&amp;START_MAXIMIZED=FALSE&amp;creator=factset&amp;display_string=Audit"}</definedName>
    <definedName function="false" hidden="true" name="_1756__FDSAUDITLINK__" vbProcedure="false">{"fdsup://Directions/FactSet Auditing Viewer?action=AUDIT_VALUE&amp;DB=129&amp;ID1=45810H10&amp;VALUEID=02001&amp;SDATE=201003&amp;PERIODTYPE=QTR_STD&amp;window=popup_no_bar&amp;width=385&amp;height=120&amp;START_MAXIMIZED=FALSE&amp;creator=factset&amp;display_string=Audit"}</definedName>
    <definedName function="false" hidden="true" name="_1757__FDSAUDITLINK__" vbProcedure="false">{"fdsup://Directions/FactSet Auditing Viewer?action=AUDIT_VALUE&amp;DB=129&amp;ID1=02535310&amp;VALUEID=02001&amp;SDATE=201002&amp;PERIODTYPE=QTR_STD&amp;window=popup_no_bar&amp;width=385&amp;height=120&amp;START_MAXIMIZED=FALSE&amp;creator=factset&amp;display_string=Audit"}</definedName>
    <definedName function="false" hidden="true" name="_1758__FDSAUDITLINK__" vbProcedure="false">{"fdsup://Directions/FactSet Auditing Viewer?action=AUDIT_VALUE&amp;DB=129&amp;ID1=58937810&amp;VALUEID=02001&amp;SDATE=201004&amp;PERIODTYPE=QTR_STD&amp;window=popup_no_bar&amp;width=385&amp;height=120&amp;START_MAXIMIZED=FALSE&amp;creator=factset&amp;display_string=Audit"}</definedName>
    <definedName function="false" hidden="true" name="_1759__FDSAUDITLINK__" vbProcedure="false">{"fdsup://Directions/FactSet Auditing Viewer?action=AUDIT_VALUE&amp;DB=129&amp;ID1=03265720&amp;VALUEID=02001&amp;SDATE=201004&amp;PERIODTYPE=QTR_STD&amp;window=popup_no_bar&amp;width=385&amp;height=120&amp;START_MAXIMIZED=FALSE&amp;creator=factset&amp;display_string=Audit"}</definedName>
    <definedName function="false" hidden="true" name="_175__FDSAUDITLINK__" vbProcedure="false">{"fdsup://directions/FAT Viewer?action=UPDATE&amp;creator=factset&amp;DYN_ARGS=TRUE&amp;DOC_NAME=FAT:FQL_AUDITING_CLIENT_TEMPLATE.FAT&amp;display_string=Audit&amp;VAR:KEY=VMPKVQTWFW&amp;VAR:QUERY=RkZfRUJJVERBX09QRVIoTFRNLDAsLCwsVVNEKQ==&amp;WINDOW=FIRST_POPUP&amp;HEIGHT=450&amp;WIDTH=450&amp;STAR","T_MAXIMIZED=FALSE&amp;VAR:CALENDAR=US&amp;VAR:SYMBOL=SPRT&amp;VAR:INDEX=0"}</definedName>
    <definedName function="false" hidden="true" name="_1760__FDSAUDITLINK__" vbProcedure="false">{"fdsup://Directions/FactSet Auditing Viewer?action=AUDIT_VALUE&amp;DB=129&amp;ID1=03739T10&amp;VALUEID=02001&amp;SDATE=201002&amp;PERIODTYPE=QTR_STD&amp;window=popup_no_bar&amp;width=385&amp;height=120&amp;START_MAXIMIZED=FALSE&amp;creator=factset&amp;display_string=Audit"}</definedName>
    <definedName function="false" hidden="true" name="_1761__FDSAUDITLINK__" vbProcedure="false">{"fdsup://Directions/FactSet Auditing Viewer?action=AUDIT_VALUE&amp;DB=129&amp;ID1=87823710&amp;VALUEID=02001&amp;SDATE=201002&amp;PERIODTYPE=QTR_STD&amp;window=popup_no_bar&amp;width=385&amp;height=120&amp;START_MAXIMIZED=FALSE&amp;creator=factset&amp;display_string=Audit"}</definedName>
    <definedName function="false" hidden="true" name="_1762__FDSAUDITLINK__" vbProcedure="false">{"fdsup://Directions/FactSet Auditing Viewer?action=AUDIT_VALUE&amp;DB=129&amp;ID1=45715310&amp;VALUEID=02001&amp;SDATE=201002&amp;PERIODTYPE=QTR_STD&amp;window=popup_no_bar&amp;width=385&amp;height=120&amp;START_MAXIMIZED=FALSE&amp;creator=factset&amp;display_string=Audit"}</definedName>
    <definedName function="false" hidden="true" name="_1763__FDSAUDITLINK__" vbProcedure="false">{"fdsup://directions/FAT Viewer?action=UPDATE&amp;creator=factset&amp;DYN_ARGS=TRUE&amp;DOC_NAME=FAT:FQL_AUDITING_CLIENT_TEMPLATE.FAT&amp;display_string=Audit&amp;VAR:KEY=PCVCDYVWBW&amp;VAR:QUERY=KEZTTF9ORVRfSU5DKE5PVyxOT1csRlNBLCxVU0QpQEZGX05FVF9JTkMoTFRNUywwLCwsLFVTRCkp&amp;WINDOW=F","IRST_POPUP&amp;HEIGHT=450&amp;WIDTH=450&amp;START_MAXIMIZED=FALSE&amp;VAR:CALENDAR=US&amp;VAR:SYMBOL=CAMP&amp;VAR:INDEX=0"}</definedName>
    <definedName function="false" hidden="true" name="_1764__FDSAUDITLINK__" vbProcedure="false">{"fdsup://directions/FAT Viewer?action=UPDATE&amp;creator=factset&amp;DYN_ARGS=TRUE&amp;DOC_NAME=FAT:FQL_AUDITING_CLIENT_TEMPLATE.FAT&amp;display_string=Audit&amp;VAR:KEY=GJIRIVENAP&amp;VAR:QUERY=KEZTTF9ORVRfSU5DKE5PVyxOT1csRlNBLCxVU0QpQEZGX05FVF9JTkMoTFRNUywwLCwsLFVTRCkp&amp;WINDOW=F","IRST_POPUP&amp;HEIGHT=450&amp;WIDTH=450&amp;START_MAXIMIZED=FALSE&amp;VAR:CALENDAR=US&amp;VAR:SYMBOL=CA&amp;VAR:INDEX=0"}</definedName>
    <definedName function="false" hidden="true" name="_1765__FDSAUDITLINK__" vbProcedure="false">{"fdsup://directions/FAT Viewer?action=UPDATE&amp;creator=factset&amp;DYN_ARGS=TRUE&amp;DOC_NAME=FAT:FQL_AUDITING_CLIENT_TEMPLATE.FAT&amp;display_string=Audit&amp;VAR:KEY=OHORURILEV&amp;VAR:QUERY=KEZTTF9ORVRfSU5DKE5PVyxOT1csRlNBLCxVU0QpQEZGX05FVF9JTkMoTFRNUywwLCwsLFVTRCkp&amp;WINDOW=F","IRST_POPUP&amp;HEIGHT=450&amp;WIDTH=450&amp;START_MAXIMIZED=FALSE&amp;VAR:CALENDAR=US&amp;VAR:SYMBOL=JNPR&amp;VAR:INDEX=0"}</definedName>
    <definedName function="false" hidden="true" name="_1766__FDSAUDITLINK__" vbProcedure="false">{"fdsup://directions/FAT Viewer?action=UPDATE&amp;creator=factset&amp;DYN_ARGS=TRUE&amp;DOC_NAME=FAT:FQL_AUDITING_CLIENT_TEMPLATE.FAT&amp;display_string=Audit&amp;VAR:KEY=YVYBUNKZKL&amp;VAR:QUERY=KEZTTF9ORVRfSU5DKE5PVyxOT1csRlNBLCxVU0QpQEZGX05FVF9JTkMoTFRNUywwLCwsLFVTRCkp&amp;WINDOW=F","IRST_POPUP&amp;HEIGHT=450&amp;WIDTH=450&amp;START_MAXIMIZED=FALSE&amp;VAR:CALENDAR=US&amp;VAR:SYMBOL=YHOO&amp;VAR:INDEX=0"}</definedName>
    <definedName function="false" hidden="true" name="_1767__FDSAUDITLINK__" vbProcedure="false">{"fdsup://directions/FAT Viewer?action=UPDATE&amp;creator=factset&amp;DYN_ARGS=TRUE&amp;DOC_NAME=FAT:FQL_AUDITING_CLIENT_TEMPLATE.FAT&amp;display_string=Audit&amp;VAR:KEY=YPCJULAPOR&amp;VAR:QUERY=KEZTTF9ORVRfSU5DKE5PVyxOT1csRlNBLCxVU0QpQEZGX05FVF9JTkMoTFRNUywwLCwsLFVTRCkp&amp;WINDOW=F","IRST_POPUP&amp;HEIGHT=450&amp;WIDTH=450&amp;START_MAXIMIZED=FALSE&amp;VAR:CALENDAR=US&amp;VAR:SYMBOL=MOT&amp;VAR:INDEX=0"}</definedName>
    <definedName function="false" hidden="true" name="_1768__FDSAUDITLINK__" vbProcedure="false">{"fdsup://directions/FAT Viewer?action=UPDATE&amp;creator=factset&amp;DYN_ARGS=TRUE&amp;DOC_NAME=FAT:FQL_AUDITING_CLIENT_TEMPLATE.FAT&amp;display_string=Audit&amp;VAR:KEY=UXUPMRKZKV&amp;VAR:QUERY=KEZTTF9ORVRfSU5DKE5PVyxOT1csRlNBLCxVU0QpQEZGX05FVF9JTkMoTFRNUywwLCwsLFVTRCkp&amp;WINDOW=F","IRST_POPUP&amp;HEIGHT=450&amp;WIDTH=450&amp;START_MAXIMIZED=FALSE&amp;VAR:CALENDAR=US&amp;VAR:SYMBOL=DELL&amp;VAR:INDEX=0"}</definedName>
    <definedName function="false" hidden="true" name="_1769__FDSAUDITLINK__" vbProcedure="false">{"fdsup://directions/FAT Viewer?action=UPDATE&amp;creator=factset&amp;DYN_ARGS=TRUE&amp;DOC_NAME=FAT:FQL_AUDITING_CLIENT_TEMPLATE.FAT&amp;display_string=Audit&amp;VAR:KEY=SZIHITOLQT&amp;VAR:QUERY=KEZTTF9ORVRfSU5DKE5PVyxOT1csRlNBLCxVU0QpQEZGX05FVF9JTkMoTFRNUywwLCwsLFVTRCkp&amp;WINDOW=F","IRST_POPUP&amp;HEIGHT=450&amp;WIDTH=450&amp;START_MAXIMIZED=FALSE&amp;VAR:CALENDAR=US&amp;VAR:SYMBOL=EMC&amp;VAR:INDEX=0"}</definedName>
    <definedName function="false" hidden="true" name="_176__FDSAUDITLINK__" vbProcedure="false">{"fdsup://directions/FAT Viewer?action=UPDATE&amp;creator=factset&amp;DYN_ARGS=TRUE&amp;DOC_NAME=FAT:FQL_AUDITING_CLIENT_TEMPLATE.FAT&amp;display_string=Audit&amp;VAR:KEY=VAJGZCZAXK&amp;VAR:QUERY=RkZfRUJJVERBX09QRVIoTFRNLDAsLCwsVVNEKQ==&amp;WINDOW=FIRST_POPUP&amp;HEIGHT=450&amp;WIDTH=450&amp;STAR","T_MAXIMIZED=FALSE&amp;VAR:CALENDAR=US&amp;VAR:SYMBOL=QNST&amp;VAR:INDEX=0"}</definedName>
    <definedName function="false" hidden="true" name="_1770__FDSAUDITLINK__" vbProcedure="false">{"fdsup://directions/FAT Viewer?action=UPDATE&amp;creator=factset&amp;DYN_ARGS=TRUE&amp;DOC_NAME=FAT:FQL_AUDITING_CLIENT_TEMPLATE.FAT&amp;display_string=Audit&amp;VAR:KEY=INKBAPGVGR&amp;VAR:QUERY=KEZTTF9ORVRfSU5DKE5PVyxOT1csRlNBLCxVU0QpQEZGX05FVF9JTkMoTFRNUywwLCwsLFVTRCkp&amp;WINDOW=F","IRST_POPUP&amp;HEIGHT=450&amp;WIDTH=450&amp;START_MAXIMIZED=FALSE&amp;VAR:CALENDAR=US&amp;VAR:SYMBOL=SAP&amp;VAR:INDEX=0"}</definedName>
    <definedName function="false" hidden="true" name="_1771__FDSAUDITLINK__" vbProcedure="false">{"fdsup://directions/FAT Viewer?action=UPDATE&amp;creator=factset&amp;DYN_ARGS=TRUE&amp;DOC_NAME=FAT:FQL_AUDITING_CLIENT_TEMPLATE.FAT&amp;display_string=Audit&amp;VAR:KEY=SXMROVIPWD&amp;VAR:QUERY=KEZTTF9ORVRfSU5DKE5PVyxOT1csRlNBLCxVU0QpQEZGX05FVF9JTkMoTFRNUywwLCwsLFVTRCkp&amp;WINDOW=F","IRST_POPUP&amp;HEIGHT=450&amp;WIDTH=450&amp;START_MAXIMIZED=FALSE&amp;VAR:CALENDAR=US&amp;VAR:SYMBOL=HPQ&amp;VAR:INDEX=0"}</definedName>
    <definedName function="false" hidden="true" name="_1772__FDSAUDITLINK__" vbProcedure="false">{"fdsup://directions/FAT Viewer?action=UPDATE&amp;creator=factset&amp;DYN_ARGS=TRUE&amp;DOC_NAME=FAT:FQL_AUDITING_CLIENT_TEMPLATE.FAT&amp;display_string=Audit&amp;VAR:KEY=WXCTWJETGH&amp;VAR:QUERY=KEZTTF9ORVRfSU5DKE5PVyxOT1csRlNBLCxVU0QpQEZGX05FVF9JTkMoTFRNUywwLCwsLFVTRCkp&amp;WINDOW=F","IRST_POPUP&amp;HEIGHT=450&amp;WIDTH=450&amp;START_MAXIMIZED=FALSE&amp;VAR:CALENDAR=US&amp;VAR:SYMBOL=INTC&amp;VAR:INDEX=0"}</definedName>
    <definedName function="false" hidden="true" name="_1773__FDSAUDITLINK__" vbProcedure="false">{"fdsup://directions/FAT Viewer?action=UPDATE&amp;creator=factset&amp;DYN_ARGS=TRUE&amp;DOC_NAME=FAT:FQL_AUDITING_CLIENT_TEMPLATE.FAT&amp;display_string=Audit&amp;VAR:KEY=GVSRWRMLMZ&amp;VAR:QUERY=KEZTTF9ORVRfSU5DKE5PVyxOT1csRlNBLCxVU0QpQEZGX05FVF9JTkMoTFRNUywwLCwsLFVTRCkp&amp;WINDOW=F","IRST_POPUP&amp;HEIGHT=450&amp;WIDTH=450&amp;START_MAXIMIZED=FALSE&amp;VAR:CALENDAR=US&amp;VAR:SYMBOL=ORCL&amp;VAR:INDEX=0"}</definedName>
    <definedName function="false" hidden="true" name="_1774__FDSAUDITLINK__" vbProcedure="false">{"fdsup://directions/FAT Viewer?action=UPDATE&amp;creator=factset&amp;DYN_ARGS=TRUE&amp;DOC_NAME=FAT:FQL_AUDITING_CLIENT_TEMPLATE.FAT&amp;display_string=Audit&amp;VAR:KEY=CDAJGBGHSN&amp;VAR:QUERY=KEZTTF9ORVRfSU5DKE5PVyxOT1csRlNBLCxVU0QpQEZGX05FVF9JTkMoTFRNUywwLCwsLFVTRCkp&amp;WINDOW=F","IRST_POPUP&amp;HEIGHT=450&amp;WIDTH=450&amp;START_MAXIMIZED=FALSE&amp;VAR:CALENDAR=US&amp;VAR:SYMBOL=GOOG&amp;VAR:INDEX=0"}</definedName>
    <definedName function="false" hidden="true" name="_1775__FDSAUDITLINK__" vbProcedure="false">{"fdsup://directions/FAT Viewer?action=UPDATE&amp;creator=factset&amp;DYN_ARGS=TRUE&amp;DOC_NAME=FAT:FQL_AUDITING_CLIENT_TEMPLATE.FAT&amp;display_string=Audit&amp;VAR:KEY=EFWBCPCTKL&amp;VAR:QUERY=KEZTTF9ORVRfSU5DKE5PVyxOT1csRlNBLCxVU0QpQEZGX05FVF9JTkMoTFRNUywwLCwsLFVTRCkp&amp;WINDOW=F","IRST_POPUP&amp;HEIGHT=450&amp;WIDTH=450&amp;START_MAXIMIZED=FALSE&amp;VAR:CALENDAR=US&amp;VAR:SYMBOL=CSCO&amp;VAR:INDEX=0"}</definedName>
    <definedName function="false" hidden="true" name="_1776__FDSAUDITLINK__" vbProcedure="false">{"fdsup://directions/FAT Viewer?action=UPDATE&amp;creator=factset&amp;DYN_ARGS=TRUE&amp;DOC_NAME=FAT:FQL_AUDITING_CLIENT_TEMPLATE.FAT&amp;display_string=Audit&amp;VAR:KEY=EDEZCJSXKT&amp;VAR:QUERY=KEZTTF9ORVRfSU5DKE5PVyxOT1csRlNBLCxVU0QpQEZGX05FVF9JTkMoTFRNUywwLCwsLFVTRCkp&amp;WINDOW=F","IRST_POPUP&amp;HEIGHT=450&amp;WIDTH=450&amp;START_MAXIMIZED=FALSE&amp;VAR:CALENDAR=US&amp;VAR:SYMBOL=IBM&amp;VAR:INDEX=0"}</definedName>
    <definedName function="false" hidden="true" name="_1777__FDSAUDITLINK__" vbProcedure="false">{"fdsup://directions/FAT Viewer?action=UPDATE&amp;creator=factset&amp;DYN_ARGS=TRUE&amp;DOC_NAME=FAT:FQL_AUDITING_CLIENT_TEMPLATE.FAT&amp;display_string=Audit&amp;VAR:KEY=MZGDQLKRWJ&amp;VAR:QUERY=KEZTTF9ORVRfSU5DKE5PVyxOT1csRlNBLCxVU0QpQEZGX05FVF9JTkMoTFRNUywwLCwsLFVTRCkp&amp;WINDOW=F","IRST_POPUP&amp;HEIGHT=450&amp;WIDTH=450&amp;START_MAXIMIZED=FALSE&amp;VAR:CALENDAR=US&amp;VAR:SYMBOL=MSFT&amp;VAR:INDEX=0"}</definedName>
    <definedName function="false" hidden="true" name="_1778__FDSAUDITLINK__" vbProcedure="false">{"fdsup://directions/FAT Viewer?action=UPDATE&amp;creator=factset&amp;DYN_ARGS=TRUE&amp;DOC_NAME=FAT:FQL_AUDITING_CLIENT_TEMPLATE.FAT&amp;display_string=Audit&amp;VAR:KEY=MLQNQVUBWL&amp;VAR:QUERY=KEZTTF9ORVRfSU5DKE5PVyxOT1csRlNBLCxVU0QpQEZGX05FVF9JTkMoTFRNUywwLCwsLFVTRCkp&amp;WINDOW=F","IRST_POPUP&amp;HEIGHT=450&amp;WIDTH=450&amp;START_MAXIMIZED=FALSE&amp;VAR:CALENDAR=US&amp;VAR:SYMBOL=AAPL&amp;VAR:INDEX=0"}</definedName>
    <definedName function="false" hidden="true" name="_1779__FDSAUDITLINK__" vbProcedure="false">{"fdsup://directions/FAT Viewer?action=UPDATE&amp;creator=factset&amp;DYN_ARGS=TRUE&amp;DOC_NAME=FAT:FQL_AUDITING_CLIENT_TEMPLATE.FAT&amp;display_string=Audit&amp;VAR:KEY=ENOJYLSDKH&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function="false" hidden="true" name="_177__FDSAUDITLINK__" vbProcedure="false">{"fdsup://directions/FAT Viewer?action=UPDATE&amp;creator=factset&amp;DYN_ARGS=TRUE&amp;DOC_NAME=FAT:FQL_AUDITING_CLIENT_TEMPLATE.FAT&amp;display_string=Audit&amp;VAR:KEY=ZMLIFOPKFY&amp;VAR:QUERY=RkZfRUJJVERBX09QRVIoTFRNLDAsLCwsVVNEKQ==&amp;WINDOW=FIRST_POPUP&amp;HEIGHT=450&amp;WIDTH=450&amp;STAR","T_MAXIMIZED=FALSE&amp;VAR:CALENDAR=US&amp;VAR:SYMBOL=GOK&amp;VAR:INDEX=0"}</definedName>
    <definedName function="false" hidden="true" name="_1780__FDSAUDITLINK__" vbProcedure="false">{"fdsup://directions/FAT Viewer?action=UPDATE&amp;creator=factset&amp;DYN_ARGS=TRUE&amp;DOC_NAME=FAT:FQL_AUDITING_CLIENT_TEMPLATE.FAT&amp;display_string=Audit&amp;VAR:KEY=GLYPMDGZI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NPR&amp;VAR:INDEX=0"}</definedName>
    <definedName function="false" hidden="true" name="_1781__FDSAUDITLINK__" vbProcedure="false">{"fdsup://directions/FAT Viewer?action=UPDATE&amp;creator=factset&amp;DYN_ARGS=TRUE&amp;DOC_NAME=FAT:FQL_AUDITING_CLIENT_TEMPLATE.FAT&amp;display_string=Audit&amp;VAR:KEY=WTMZQLCHS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YHOO&amp;VAR:INDEX=0"}</definedName>
    <definedName function="false" hidden="true" name="_1782__FDSAUDITLINK__" vbProcedure="false">{"fdsup://directions/FAT Viewer?action=UPDATE&amp;creator=factset&amp;DYN_ARGS=TRUE&amp;DOC_NAME=FAT:FQL_AUDITING_CLIENT_TEMPLATE.FAT&amp;display_string=Audit&amp;VAR:KEY=ORSLQPQDO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OT&amp;VAR:INDEX=0"}</definedName>
    <definedName function="false" hidden="true" name="_1783__FDSAUDITLINK__" vbProcedure="false">{"fdsup://directions/FAT Viewer?action=UPDATE&amp;creator=factset&amp;DYN_ARGS=TRUE&amp;DOC_NAME=FAT:FQL_AUDITING_CLIENT_TEMPLATE.FAT&amp;display_string=Audit&amp;VAR:KEY=GRGXSXQPS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ELL&amp;VAR:INDEX=0"}</definedName>
    <definedName function="false" hidden="true" name="_1784__FDSAUDITLINK__" vbProcedure="false">{"fdsup://directions/FAT Viewer?action=UPDATE&amp;creator=factset&amp;DYN_ARGS=TRUE&amp;DOC_NAME=FAT:FQL_AUDITING_CLIENT_TEMPLATE.FAT&amp;display_string=Audit&amp;VAR:KEY=UHILKBORS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C&amp;VAR:INDEX=0"}</definedName>
    <definedName function="false" hidden="true" name="_1785__FDSAUDITLINK__" vbProcedure="false">{"fdsup://directions/FAT Viewer?action=UPDATE&amp;creator=factset&amp;DYN_ARGS=TRUE&amp;DOC_NAME=FAT:FQL_AUDITING_CLIENT_TEMPLATE.FAT&amp;display_string=Audit&amp;VAR:KEY=OHGLQBMLG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P&amp;VAR:INDEX=0"}</definedName>
    <definedName function="false" hidden="true" name="_1786__FDSAUDITLINK__" vbProcedure="false">{"fdsup://directions/FAT Viewer?action=UPDATE&amp;creator=factset&amp;DYN_ARGS=TRUE&amp;DOC_NAME=FAT:FQL_AUDITING_CLIENT_TEMPLATE.FAT&amp;display_string=Audit&amp;VAR:KEY=GBEZWFCFAZ&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PQ&amp;VAR:INDEX=0"}</definedName>
    <definedName function="false" hidden="true" name="_1787__FDSAUDITLINK__" vbProcedure="false">{"fdsup://directions/FAT Viewer?action=UPDATE&amp;creator=factset&amp;DYN_ARGS=TRUE&amp;DOC_NAME=FAT:FQL_AUDITING_CLIENT_TEMPLATE.FAT&amp;display_string=Audit&amp;VAR:KEY=UZIVUFQLA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C&amp;VAR:INDEX=0"}</definedName>
    <definedName function="false" hidden="true" name="_1788__FDSAUDITLINK__" vbProcedure="false">{"fdsup://directions/FAT Viewer?action=UPDATE&amp;creator=factset&amp;DYN_ARGS=TRUE&amp;DOC_NAME=FAT:FQL_AUDITING_CLIENT_TEMPLATE.FAT&amp;display_string=Audit&amp;VAR:KEY=GHSBIPKTK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L&amp;VAR:INDEX=0"}</definedName>
    <definedName function="false" hidden="true" name="_1789__FDSAUDITLINK__" vbProcedure="false">{"fdsup://directions/FAT Viewer?action=UPDATE&amp;creator=factset&amp;DYN_ARGS=TRUE&amp;DOC_NAME=FAT:FQL_AUDITING_CLIENT_TEMPLATE.FAT&amp;display_string=Audit&amp;VAR:KEY=WHWLEXAFC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OOG&amp;VAR:INDEX=0"}</definedName>
    <definedName function="false" hidden="true" name="_178__FDSAUDITLINK__" vbProcedure="false">{"fdsup://directions/FAT Viewer?action=UPDATE&amp;creator=factset&amp;DYN_ARGS=TRUE&amp;DOC_NAME=FAT:FQL_AUDITING_CLIENT_TEMPLATE.FAT&amp;display_string=Audit&amp;VAR:KEY=BQFAXOVOHG&amp;VAR:QUERY=RkZfRUJJVERBX09QRVIoTFRNLDAsLCwsVVNEKQ==&amp;WINDOW=FIRST_POPUP&amp;HEIGHT=450&amp;WIDTH=450&amp;STAR","T_MAXIMIZED=FALSE&amp;VAR:CALENDAR=US&amp;VAR:SYMBOL=ORN&amp;VAR:INDEX=0"}</definedName>
    <definedName function="false" hidden="true" name="_1790__FDSAUDITLINK__" vbProcedure="false">{"fdsup://directions/FAT Viewer?action=UPDATE&amp;creator=factset&amp;DYN_ARGS=TRUE&amp;DOC_NAME=FAT:FQL_AUDITING_CLIENT_TEMPLATE.FAT&amp;display_string=Audit&amp;VAR:KEY=OZUFIRWTY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CO&amp;VAR:INDEX=0"}</definedName>
    <definedName function="false" hidden="true" name="_1791__FDSAUDITLINK__" vbProcedure="false">{"fdsup://directions/FAT Viewer?action=UPDATE&amp;creator=factset&amp;DYN_ARGS=TRUE&amp;DOC_NAME=FAT:FQL_AUDITING_CLIENT_TEMPLATE.FAT&amp;display_string=Audit&amp;VAR:KEY=CXUXWFGFE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BM&amp;VAR:INDEX=0"}</definedName>
    <definedName function="false" hidden="true" name="_1792__FDSAUDITLINK__" vbProcedure="false">{"fdsup://directions/FAT Viewer?action=UPDATE&amp;creator=factset&amp;DYN_ARGS=TRUE&amp;DOC_NAME=FAT:FQL_AUDITING_CLIENT_TEMPLATE.FAT&amp;display_string=Audit&amp;VAR:KEY=INGXKZWJI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SFT&amp;VAR:INDEX=0"}</definedName>
    <definedName function="false" hidden="true" name="_1793__FDSAUDITLINK__" vbProcedure="false">{"fdsup://directions/FAT Viewer?action=UPDATE&amp;creator=factset&amp;DYN_ARGS=TRUE&amp;DOC_NAME=FAT:FQL_AUDITING_CLIENT_TEMPLATE.FAT&amp;display_string=Audit&amp;VAR:KEY=WDELUJUTA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APL&amp;VAR:INDEX=0"}</definedName>
    <definedName function="false" hidden="true" name="_1794__FDSAUDITLINK__" vbProcedure="false">{"fdsup://Directions/FactSet Auditing Viewer?action=AUDIT_VALUE&amp;DB=129&amp;ID1=12673P10&amp;VALUEID=02001&amp;SDATE=201001&amp;PERIODTYPE=QTR_STD&amp;window=popup_no_bar&amp;width=385&amp;height=120&amp;START_MAXIMIZED=FALSE&amp;creator=factset&amp;display_string=Audit"}</definedName>
    <definedName function="false" hidden="true" name="_1795__FDSAUDITLINK__" vbProcedure="false">{"fdsup://Directions/FactSet Auditing Viewer?action=AUDIT_VALUE&amp;DB=129&amp;ID1=48203R10&amp;VALUEID=02001&amp;SDATE=201002&amp;PERIODTYPE=QTR_STD&amp;window=popup_no_bar&amp;width=385&amp;height=120&amp;START_MAXIMIZED=FALSE&amp;creator=factset&amp;display_string=Audit"}</definedName>
    <definedName function="false" hidden="true" name="_1796__FDSAUDITLINK__" vbProcedure="false">{"fdsup://Directions/FactSet Auditing Viewer?action=AUDIT_VALUE&amp;DB=129&amp;ID1=98433210&amp;VALUEID=02001&amp;SDATE=201002&amp;PERIODTYPE=QTR_STD&amp;window=popup_no_bar&amp;width=385&amp;height=120&amp;START_MAXIMIZED=FALSE&amp;creator=factset&amp;display_string=Audit"}</definedName>
    <definedName function="false" hidden="true" name="_1797__FDSAUDITLINK__" vbProcedure="false">{"fdsup://Directions/FactSet Auditing Viewer?action=AUDIT_VALUE&amp;DB=129&amp;ID1=62007610&amp;VALUEID=02001&amp;SDATE=201002&amp;PERIODTYPE=QTR_STD&amp;window=popup_no_bar&amp;width=385&amp;height=120&amp;START_MAXIMIZED=FALSE&amp;creator=factset&amp;display_string=Audit"}</definedName>
    <definedName function="false" hidden="true" name="_1798__FDSAUDITLINK__" vbProcedure="false">{"fdsup://Directions/FactSet Auditing Viewer?action=AUDIT_VALUE&amp;DB=129&amp;ID1=24702R10&amp;VALUEID=02001&amp;SDATE=201002&amp;PERIODTYPE=QTR_STD&amp;window=popup_no_bar&amp;width=385&amp;height=120&amp;START_MAXIMIZED=FALSE&amp;creator=factset&amp;display_string=Audit"}</definedName>
    <definedName function="false" hidden="true" name="_1799__FDSAUDITLINK__" vbProcedure="false">{"fdsup://Directions/FactSet Auditing Viewer?action=AUDIT_VALUE&amp;DB=129&amp;ID1=42823610&amp;VALUEID=02001&amp;SDATE=201003&amp;PERIODTYPE=QTR_STD&amp;window=popup_no_bar&amp;width=385&amp;height=120&amp;START_MAXIMIZED=FALSE&amp;creator=factset&amp;display_string=Audit"}</definedName>
    <definedName function="false" hidden="true" name="_179__FDSAUDITLINK__" vbProcedure="false">{"fdsup://directions/FAT Viewer?action=UPDATE&amp;creator=factset&amp;DYN_ARGS=TRUE&amp;DOC_NAME=FAT:FQL_AUDITING_CLIENT_TEMPLATE.FAT&amp;display_string=Audit&amp;VAR:KEY=BEXUZQFSPE&amp;VAR:QUERY=RkZfRUJJVERBX09QRVIoTFRNLDAsLCwsVVNEKQ==&amp;WINDOW=FIRST_POPUP&amp;HEIGHT=450&amp;WIDTH=450&amp;STAR","T_MAXIMIZED=FALSE&amp;VAR:CALENDAR=US&amp;VAR:SYMBOL=FRM&amp;VAR:INDEX=0"}</definedName>
    <definedName function="false" hidden="true" name="_17__123Graph_BDIAGR_4" vbProcedure="false">#REF!</definedName>
    <definedName function="false" hidden="true" name="_17__123Graph_XADV_GDP" vbProcedure="false">#REF!</definedName>
    <definedName function="false" hidden="true" name="_17__FDSAUDITLINK__" vbProcedure="false">{"fdsup://directions/FAT Viewer?action=UPDATE&amp;creator=factset&amp;DYN_ARGS=TRUE&amp;DOC_NAME=FAT:FQL_AUDITING_CLIENT_TEMPLATE.FAT&amp;display_string=Audit&amp;VAR:KEY=TSPOXYHQ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KHY&amp;VAR:INDEX=0"}</definedName>
    <definedName function="false" hidden="true" name="_1800__FDSAUDITLINK__" vbProcedure="false">{"fdsup://Directions/FactSet Auditing Viewer?action=AUDIT_VALUE&amp;DB=129&amp;ID1=45814010&amp;VALUEID=02001&amp;SDATE=201003&amp;PERIODTYPE=QTR_STD&amp;window=popup_no_bar&amp;width=385&amp;height=120&amp;START_MAXIMIZED=FALSE&amp;creator=factset&amp;display_string=Audit"}</definedName>
    <definedName function="false" hidden="true" name="_1801__FDSAUDITLINK__" vbProcedure="false">{"fdsup://Directions/FactSet Auditing Viewer?action=AUDIT_VALUE&amp;DB=129&amp;ID1=68389X10&amp;VALUEID=02001&amp;SDATE=201001&amp;PERIODTYPE=QTR_STD&amp;window=popup_no_bar&amp;width=385&amp;height=120&amp;START_MAXIMIZED=FALSE&amp;creator=factset&amp;display_string=Audit"}</definedName>
    <definedName function="false" hidden="true" name="_1802__FDSAUDITLINK__" vbProcedure="false">{"fdsup://Directions/FactSet Auditing Viewer?action=AUDIT_VALUE&amp;DB=129&amp;ID1=38259P50&amp;VALUEID=02001&amp;SDATE=201003&amp;PERIODTYPE=QTR_STD&amp;window=popup_no_bar&amp;width=385&amp;height=120&amp;START_MAXIMIZED=FALSE&amp;creator=factset&amp;display_string=Audit"}</definedName>
    <definedName function="false" hidden="true" name="_1803__FDSAUDITLINK__" vbProcedure="false">{"fdsup://Directions/FactSet Auditing Viewer?action=AUDIT_VALUE&amp;DB=129&amp;ID1=17275R10&amp;VALUEID=02001&amp;SDATE=201004&amp;PERIODTYPE=QTR_STD&amp;window=popup_no_bar&amp;width=385&amp;height=120&amp;START_MAXIMIZED=FALSE&amp;creator=factset&amp;display_string=Audit"}</definedName>
    <definedName function="false" hidden="true" name="_1804__FDSAUDITLINK__" vbProcedure="false">{"fdsup://Directions/FactSet Auditing Viewer?action=AUDIT_VALUE&amp;DB=129&amp;ID1=03783310&amp;VALUEID=02001&amp;SDATE=201004&amp;PERIODTYPE=QTR_STD&amp;window=popup_no_bar&amp;width=385&amp;height=120&amp;START_MAXIMIZED=FALSE&amp;creator=factset&amp;display_string=Audit"}</definedName>
    <definedName function="false" hidden="true" name="_1805__FDSAUDITLINK__" vbProcedure="false">{"fdsup://directions/FAT Viewer?action=UPDATE&amp;creator=factset&amp;DYN_ARGS=TRUE&amp;DOC_NAME=FAT:FQL_AUDITING_CLIENT_TEMPLATE.FAT&amp;display_string=Audit&amp;VAR:KEY=NYJOHMRQTO&amp;VAR:QUERY=KEZTTF9ORVRfSU5DKE5PVyxOT1csRlNBLCxVU0QpQEZGX05FVF9JTkMoTFRNUywwLCwsLFVTRCkp&amp;WINDOW=F","IRST_POPUP&amp;HEIGHT=450&amp;WIDTH=450&amp;START_MAXIMIZED=FALSE&amp;VAR:CALENDAR=US&amp;VAR:SYMBOL=VOCS&amp;VAR:INDEX=0"}</definedName>
    <definedName function="false" hidden="true" name="_1806__FDSAUDITLINK__" vbProcedure="false">{"fdsup://directions/FAT Viewer?action=UPDATE&amp;creator=factset&amp;DYN_ARGS=TRUE&amp;DOC_NAME=FAT:FQL_AUDITING_CLIENT_TEMPLATE.FAT&amp;display_string=Audit&amp;VAR:KEY=RQTGBQRKDQ&amp;VAR:QUERY=KEZTTF9ORVRfSU5DKE5PVyxOT1csRlNBLCxVU0QpQEZGX05FVF9JTkMoTFRNUywwLCwsLFVTRCkp&amp;WINDOW=F","IRST_POPUP&amp;HEIGHT=450&amp;WIDTH=450&amp;START_MAXIMIZED=FALSE&amp;VAR:CALENDAR=US&amp;VAR:SYMBOL=IL&amp;VAR:INDEX=0"}</definedName>
    <definedName function="false" hidden="true" name="_1807__FDSAUDITLINK__" vbProcedure="false">{"fdsup://directions/FAT Viewer?action=UPDATE&amp;creator=factset&amp;DYN_ARGS=TRUE&amp;DOC_NAME=FAT:FQL_AUDITING_CLIENT_TEMPLATE.FAT&amp;display_string=Audit&amp;VAR:KEY=FYXMHADM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CS&amp;VAR:INDEX=0"}</definedName>
    <definedName function="false" hidden="true" name="_1808__FDSAUDITLINK__" vbProcedure="false">{"fdsup://Directions/FactSet Auditing Viewer?action=AUDIT_VALUE&amp;DB=129&amp;ID1=76657R10&amp;VALUEID=02001&amp;SDATE=201002&amp;PERIODTYPE=QTR_STD&amp;window=popup_no_bar&amp;width=385&amp;height=120&amp;START_MAXIMIZED=FALSE&amp;creator=factset&amp;display_string=Audit"}</definedName>
    <definedName function="false" hidden="true" name="_1809__FDSAUDITLINK__" vbProcedure="false">{"fdsup://directions/FAT Viewer?action=UPDATE&amp;creator=factset&amp;DYN_ARGS=TRUE&amp;DOC_NAME=FAT:FQL_AUDITING_CLIENT_TEMPLATE.FAT&amp;display_string=Audit&amp;VAR:KEY=DSJSJYNU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amp;VAR:INDEX=0"}</definedName>
    <definedName function="false" hidden="true" name="_180__FDSAUDITLINK__" vbProcedure="false">{"fdsup://directions/FAT Viewer?action=UPDATE&amp;creator=factset&amp;DYN_ARGS=TRUE&amp;DOC_NAME=FAT:FQL_AUDITING_CLIENT_TEMPLATE.FAT&amp;display_string=Audit&amp;VAR:KEY=ZKDETMFKBS&amp;VAR:QUERY=RkZfRUJJVERBX09QRVIoTFRNLDAsLCwsVVNEKQ==&amp;WINDOW=FIRST_POPUP&amp;HEIGHT=450&amp;WIDTH=450&amp;STAR","T_MAXIMIZED=FALSE&amp;VAR:CALENDAR=US&amp;VAR:SYMBOL=KRO&amp;VAR:INDEX=0"}</definedName>
    <definedName function="false" hidden="true" name="_1810__FDSAUDITLINK__" vbProcedure="false">{"fdsup://Directions/FactSet Auditing Viewer?action=AUDIT_VALUE&amp;DB=129&amp;ID1=53625210&amp;VALUEID=02001&amp;SDATE=201002&amp;PERIODTYPE=QTR_STD&amp;window=popup_no_bar&amp;width=385&amp;height=120&amp;START_MAXIMIZED=FALSE&amp;creator=factset&amp;display_string=Audit"}</definedName>
    <definedName function="false" hidden="true" name="_1811__FDSAUDITLINK__" vbProcedure="false">{"fdsup://Directions/FactSet Auditing Viewer?action=AUDIT_VALUE&amp;DB=129&amp;ID1=64104X10&amp;VALUEID=02001&amp;SDATE=201002&amp;PERIODTYPE=QTR_STD&amp;window=popup_no_bar&amp;width=385&amp;height=120&amp;START_MAXIMIZED=FALSE&amp;creator=factset&amp;display_string=Audit"}</definedName>
    <definedName function="false" hidden="true" name="_1812__FDSAUDITLINK__" vbProcedure="false">{"fdsup://directions/FAT Viewer?action=UPDATE&amp;creator=factset&amp;DYN_ARGS=TRUE&amp;DOC_NAME=FAT:FQL_AUDITING_CLIENT_TEMPLATE.FAT&amp;display_string=Audit&amp;VAR:KEY=JWNAPYTSFM&amp;VAR:QUERY=KEZTTF9ORVRfSU5DKE5PVyxOT1csRlNBLCxVU0QpQEZGX05FVF9JTkMoTFRNUywwLCwsLFVTRCkp&amp;WINDOW=F","IRST_POPUP&amp;HEIGHT=450&amp;WIDTH=450&amp;START_MAXIMIZED=FALSE&amp;VAR:CALENDAR=US&amp;VAR:SYMBOL=80306210&amp;VAR:INDEX=0"}</definedName>
    <definedName function="false" hidden="true" name="_1813__FDSAUDITLINK__" vbProcedure="false">{"fdsup://Directions/FactSet Auditing Viewer?action=AUDIT_VALUE&amp;DB=129&amp;ID1=26805710&amp;VALUEID=02001&amp;SDATE=201002&amp;PERIODTYPE=QTR_STD&amp;window=popup_no_bar&amp;width=385&amp;height=120&amp;START_MAXIMIZED=FALSE&amp;creator=factset&amp;display_string=Audit"}</definedName>
    <definedName function="false" hidden="true" name="_1814__FDSAUDITLINK__" vbProcedure="false">{"fdsup://Directions/FactSet Auditing Viewer?action=AUDIT_VALUE&amp;DB=129&amp;ID1=17163B10&amp;VALUEID=02001&amp;SDATE=201002&amp;PERIODTYPE=QTR_STD&amp;window=popup_no_bar&amp;width=385&amp;height=120&amp;START_MAXIMIZED=FALSE&amp;creator=factset&amp;display_string=Audit"}</definedName>
    <definedName function="false" hidden="true" name="_1815__FDSAUDITLINK__" vbProcedure="false">{"fdsup://directions/FAT Viewer?action=UPDATE&amp;creator=factset&amp;DYN_ARGS=TRUE&amp;DOC_NAME=FAT:FQL_AUDITING_CLIENT_TEMPLATE.FAT&amp;display_string=Audit&amp;VAR:KEY=LCZEBOVG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63935N10&amp;VAR:INDEX=0"}</definedName>
    <definedName function="false" hidden="true" name="_1816__FDSAUDITLINK__" vbProcedure="false">{"fdsup://directions/FAT Viewer?action=UPDATE&amp;creator=factset&amp;DYN_ARGS=TRUE&amp;DOC_NAME=FAT:FQL_AUDITING_CLIENT_TEMPLATE.FAT&amp;display_string=Audit&amp;VAR:KEY=JWFIJCTUPA&amp;VAR:QUERY=KEZTTF9ORVRfSU5DKE5PVyxOT1csRlNBLCxVU0QpQEZGX05FVF9JTkMoTFRNUywwLCwsLFVTRCkp&amp;WINDOW=F","IRST_POPUP&amp;HEIGHT=450&amp;WIDTH=450&amp;START_MAXIMIZED=FALSE&amp;VAR:CALENDAR=US&amp;VAR:SYMBOL=INOD&amp;VAR:INDEX=0"}</definedName>
    <definedName function="false" hidden="true" name="_1817__FDSAUDITLINK__" vbProcedure="false">{"fdsup://directions/FAT Viewer?action=UPDATE&amp;creator=factset&amp;DYN_ARGS=TRUE&amp;DOC_NAME=FAT:FQL_AUDITING_CLIENT_TEMPLATE.FAT&amp;display_string=Audit&amp;VAR:KEY=TWXCTMTUL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I&amp;VAR:INDEX=0"}</definedName>
    <definedName function="false" hidden="true" name="_1818__FDSAUDITLINK__" vbProcedure="false">{"fdsup://directions/FAT Viewer?action=UPDATE&amp;creator=factset&amp;DYN_ARGS=TRUE&amp;DOC_NAME=FAT:FQL_AUDITING_CLIENT_TEMPLATE.FAT&amp;display_string=Audit&amp;VAR:KEY=PUBAJOLM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II&amp;VAR:INDEX=0"}</definedName>
    <definedName function="false" hidden="true" name="_1819__FDSAUDITLINK__" vbProcedure="false">{"fdsup://directions/FAT Viewer?action=UPDATE&amp;creator=factset&amp;DYN_ARGS=TRUE&amp;DOC_NAME=FAT:FQL_AUDITING_CLIENT_TEMPLATE.FAT&amp;display_string=Audit&amp;VAR:KEY=BQXOHOPS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C&amp;VAR:INDEX=0"}</definedName>
    <definedName function="false" hidden="true" name="_181__FDSAUDITLINK__" vbProcedure="false">{"fdsup://directions/FAT Viewer?action=UPDATE&amp;creator=factset&amp;DYN_ARGS=TRUE&amp;DOC_NAME=FAT:FQL_AUDITING_CLIENT_TEMPLATE.FAT&amp;display_string=Audit&amp;VAR:KEY=XWZCXUFERG&amp;VAR:QUERY=RkZfRUJJVERBX09QRVIoTFRNLDAsLCwsVVNEKQ==&amp;WINDOW=FIRST_POPUP&amp;HEIGHT=450&amp;WIDTH=450&amp;STAR","T_MAXIMIZED=FALSE&amp;VAR:CALENDAR=US&amp;VAR:SYMBOL=NOA&amp;VAR:INDEX=0"}</definedName>
    <definedName function="false" hidden="true" name="_1820__FDSAUDITLINK__" vbProcedure="false">{"fdsup://directions/FAT Viewer?action=UPDATE&amp;creator=factset&amp;DYN_ARGS=TRUE&amp;DOC_NAME=FAT:FQL_AUDITING_CLIENT_TEMPLATE.FAT&amp;display_string=Audit&amp;VAR:KEY=XONCTQLO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12719030&amp;VAR:INDEX=0"}</definedName>
    <definedName function="false" hidden="true" name="_1821__FDSAUDITLINK__" vbProcedure="false">{"fdsup://directions/FAT Viewer?action=UPDATE&amp;creator=factset&amp;DYN_ARGS=TRUE&amp;DOC_NAME=FAT:FQL_AUDITING_CLIENT_TEMPLATE.FAT&amp;display_string=Audit&amp;VAR:KEY=JQTKBSNMFQ&amp;VAR:QUERY=KEZTTF9ORVRfSU5DKE5PVyxOT1csRlNBLCxVU0QpQEZGX05FVF9JTkMoTFRNUywwLCwsLFVTRCkp&amp;WINDOW=F","IRST_POPUP&amp;HEIGHT=450&amp;WIDTH=450&amp;START_MAXIMIZED=FALSE&amp;VAR:CALENDAR=US&amp;VAR:SYMBOL=IBM&amp;VAR:INDEX=0"}</definedName>
    <definedName function="false" hidden="true" name="_1822__FDSAUDITLINK__" vbProcedure="false">{"fdsup://Directions/FactSet Auditing Viewer?action=AUDIT_VALUE&amp;DB=129&amp;ID1=45920010&amp;VALUEID=02001&amp;SDATE=201003&amp;PERIODTYPE=QTR_STD&amp;window=popup_no_bar&amp;width=385&amp;height=120&amp;START_MAXIMIZED=FALSE&amp;creator=factset&amp;display_string=Audit"}</definedName>
    <definedName function="false" hidden="true" name="_1823__FDSAUDITLINK__" vbProcedure="false">{"fdsup://Directions/FactSet Auditing Viewer?action=AUDIT_VALUE&amp;DB=129&amp;ID1=29015130&amp;VALUEID=02001&amp;SDATE=201002&amp;PERIODTYPE=QTR_STD&amp;window=popup_no_bar&amp;width=385&amp;height=120&amp;START_MAXIMIZED=FALSE&amp;creator=factset&amp;display_string=Audit"}</definedName>
    <definedName function="false" hidden="true" name="_1824__FDSAUDITLINK__" vbProcedure="false">{"fdsup://directions/FAT Viewer?action=UPDATE&amp;creator=factset&amp;DYN_ARGS=TRUE&amp;DOC_NAME=FAT:FQL_AUDITING_CLIENT_TEMPLATE.FAT&amp;display_string=Audit&amp;VAR:KEY=PEDGVID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W&amp;VAR:INDEX=0"}</definedName>
    <definedName function="false" hidden="true" name="_1825__FDSAUDITLINK__" vbProcedure="false">{"fdsup://directions/FAT Viewer?action=UPDATE&amp;creator=factset&amp;DYN_ARGS=TRUE&amp;DOC_NAME=FAT:FQL_AUDITING_CLIENT_TEMPLATE.FAT&amp;display_string=Audit&amp;VAR:KEY=IXEXAXQNYF&amp;VAR:QUERY=KEZTTF9ORVRfSU5DKE5PVyxOT1csRlNBLCxVU0QpQEZGX05FVF9JTkMoTFRNUywwLCwsLFVTRCkp&amp;WINDOW=F","IRST_POPUP&amp;HEIGHT=450&amp;WIDTH=450&amp;START_MAXIMIZED=FALSE&amp;VAR:CALENDAR=US&amp;VAR:SYMBOL=EDGW&amp;VAR:INDEX=0"}</definedName>
    <definedName function="false" hidden="true" name="_1826__FDSAUDITLINK__" vbProcedure="false">{"fdsup://directions/FAT Viewer?action=UPDATE&amp;creator=factset&amp;DYN_ARGS=TRUE&amp;DOC_NAME=FAT:FQL_AUDITING_CLIENT_TEMPLATE.FAT&amp;display_string=Audit&amp;VAR:KEY=WFIBWDYNQJ&amp;VAR:QUERY=KEZTTF9ORVRfSU5DKE5PVyxOT1csRlNBLCxVU0QpQEZGX05FVF9JTkMoTFRNUywwLCwsLFVTRCkp&amp;WINDOW=F","IRST_POPUP&amp;HEIGHT=450&amp;WIDTH=450&amp;START_MAXIMIZED=FALSE&amp;VAR:CALENDAR=US&amp;VAR:SYMBOL=CTGX&amp;VAR:INDEX=0"}</definedName>
    <definedName function="false" hidden="true" name="_1827__FDSAUDITLINK__" vbProcedure="false">{"fdsup://directions/FAT Viewer?action=UPDATE&amp;creator=factset&amp;DYN_ARGS=TRUE&amp;DOC_NAME=FAT:FQL_AUDITING_CLIENT_TEMPLATE.FAT&amp;display_string=Audit&amp;VAR:KEY=QNUVELQJOV&amp;VAR:QUERY=KEZTTF9ORVRfSU5DKE5PVyxOT1csRlNBLCxVU0QpQEZGX05FVF9JTkMoTFRNUywwLCwsLFVTRCkp&amp;WINDOW=F","IRST_POPUP&amp;HEIGHT=450&amp;WIDTH=450&amp;START_MAXIMIZED=FALSE&amp;VAR:CALENDAR=US&amp;VAR:SYMBOL=NSTC&amp;VAR:INDEX=0"}</definedName>
    <definedName function="false" hidden="true" name="_1828__FDSAUDITLINK__" vbProcedure="false">{"fdsup://directions/FAT Viewer?action=UPDATE&amp;creator=factset&amp;DYN_ARGS=TRUE&amp;DOC_NAME=FAT:FQL_AUDITING_CLIENT_TEMPLATE.FAT&amp;display_string=Audit&amp;VAR:KEY=GXMBGJMFIB&amp;VAR:QUERY=KEZTTF9ORVRfSU5DKE5PVyxOT1csRlNBLCxVU0QpQEZGX05FVF9JTkMoTFRNUywwLCwsLFVTRCkp&amp;WINDOW=F","IRST_POPUP&amp;HEIGHT=450&amp;WIDTH=450&amp;START_MAXIMIZED=FALSE&amp;VAR:CALENDAR=US&amp;VAR:SYMBOL=CBR&amp;VAR:INDEX=0"}</definedName>
    <definedName function="false" hidden="true" name="_1829__FDSAUDITLINK__" vbProcedure="false">{"fdsup://directions/FAT Viewer?action=UPDATE&amp;creator=factset&amp;DYN_ARGS=TRUE&amp;DOC_NAME=FAT:FQL_AUDITING_CLIENT_TEMPLATE.FAT&amp;display_string=Audit&amp;VAR:KEY=WJITQFGXWP&amp;VAR:QUERY=KEZTTF9ORVRfSU5DKE5PVyxOT1csRlNBLCxVU0QpQEZGX05FVF9JTkMoTFRNUywwLCwsLFVTRCkp&amp;WINDOW=F","IRST_POPUP&amp;HEIGHT=450&amp;WIDTH=450&amp;START_MAXIMIZED=FALSE&amp;VAR:CALENDAR=US&amp;VAR:SYMBOL=VRTU&amp;VAR:INDEX=0"}</definedName>
    <definedName function="false" hidden="true" name="_182__FDSAUDITLINK__" vbProcedure="false">{"fdsup://directions/FAT Viewer?action=UPDATE&amp;creator=factset&amp;DYN_ARGS=TRUE&amp;DOC_NAME=FAT:FQL_AUDITING_CLIENT_TEMPLATE.FAT&amp;display_string=Audit&amp;VAR:KEY=FKFSDYHWJE&amp;VAR:QUERY=RkZfRUJJVERBX09QRVIoTFRNLDAsLCwsVVNEKQ==&amp;WINDOW=FIRST_POPUP&amp;HEIGHT=450&amp;WIDTH=450&amp;STAR","T_MAXIMIZED=FALSE&amp;VAR:CALENDAR=US&amp;VAR:SYMBOL=NR&amp;VAR:INDEX=0"}</definedName>
    <definedName function="false" hidden="true" name="_1830__FDSAUDITLINK__" vbProcedure="false">{"fdsup://directions/FAT Viewer?action=UPDATE&amp;creator=factset&amp;DYN_ARGS=TRUE&amp;DOC_NAME=FAT:FQL_AUDITING_CLIENT_TEMPLATE.FAT&amp;display_string=Audit&amp;VAR:KEY=OFGHGVGFWV&amp;VAR:QUERY=KEZTTF9ORVRfSU5DKE5PVyxOT1csRlNBLCxVU0QpQEZGX05FVF9JTkMoTFRNUywwLCwsLFVTRCkp&amp;WINDOW=F","IRST_POPUP&amp;HEIGHT=450&amp;WIDTH=450&amp;START_MAXIMIZED=FALSE&amp;VAR:CALENDAR=US&amp;VAR:SYMBOL=DTPI&amp;VAR:INDEX=0"}</definedName>
    <definedName function="false" hidden="true" name="_1831__FDSAUDITLINK__" vbProcedure="false">{"fdsup://directions/FAT Viewer?action=UPDATE&amp;creator=factset&amp;DYN_ARGS=TRUE&amp;DOC_NAME=FAT:FQL_AUDITING_CLIENT_TEMPLATE.FAT&amp;display_string=Audit&amp;VAR:KEY=YNYNKPKXW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function="false" hidden="true" name="_1832__FDSAUDITLINK__" vbProcedure="false">{"fdsup://directions/FAT Viewer?action=UPDATE&amp;creator=factset&amp;DYN_ARGS=TRUE&amp;DOC_NAME=FAT:FQL_AUDITING_CLIENT_TEMPLATE.FAT&amp;display_string=Audit&amp;VAR:KEY=YVYXMRGRSN&amp;VAR:QUERY=KEZTTF9ORVRfSU5DKE5PVyxOT1csRlNBLCxVU0QpQEZGX05FVF9JTkMoTFRNUywwLCwsLFVTRCkp&amp;WINDOW=F","IRST_POPUP&amp;HEIGHT=450&amp;WIDTH=450&amp;START_MAXIMIZED=FALSE&amp;VAR:CALENDAR=US&amp;VAR:SYMBOL=EXLS&amp;VAR:INDEX=0"}</definedName>
    <definedName function="false" hidden="true" name="_1833__FDSAUDITLINK__" vbProcedure="false">{"fdsup://directions/FAT Viewer?action=UPDATE&amp;creator=factset&amp;DYN_ARGS=TRUE&amp;DOC_NAME=FAT:FQL_AUDITING_CLIENT_TEMPLATE.FAT&amp;display_string=Audit&amp;VAR:KEY=ALWTUVKPYP&amp;VAR:QUERY=KEZTTF9ORVRfSU5DKE5PVyxOT1csRlNBLCxVU0QpQEZGX05FVF9JTkMoTFRNUywwLCwsLFVTRCkp&amp;WINDOW=F","IRST_POPUP&amp;HEIGHT=450&amp;WIDTH=450&amp;START_MAXIMIZED=FALSE&amp;VAR:CALENDAR=US&amp;VAR:SYMBOL=AH&amp;VAR:INDEX=0"}</definedName>
    <definedName function="false" hidden="true" name="_1834__FDSAUDITLINK__" vbProcedure="false">{"fdsup://directions/FAT Viewer?action=UPDATE&amp;creator=factset&amp;DYN_ARGS=TRUE&amp;DOC_NAME=FAT:FQL_AUDITING_CLIENT_TEMPLATE.FAT&amp;display_string=Audit&amp;VAR:KEY=YJQNSHGJAZ&amp;VAR:QUERY=KEZTTF9ORVRfSU5DKE5PVyxOT1csRlNBLCxVU0QpQEZGX05FVF9JTkMoTFRNUywwLCwsLFVTRCkp&amp;WINDOW=F","IRST_POPUP&amp;HEIGHT=450&amp;WIDTH=450&amp;START_MAXIMIZED=FALSE&amp;VAR:CALENDAR=US&amp;VAR:SYMBOL=IGTE&amp;VAR:INDEX=0"}</definedName>
    <definedName function="false" hidden="true" name="_1835__FDSAUDITLINK__" vbProcedure="false">{"fdsup://directions/FAT Viewer?action=UPDATE&amp;creator=factset&amp;DYN_ARGS=TRUE&amp;DOC_NAME=FAT:FQL_AUDITING_CLIENT_TEMPLATE.FAT&amp;display_string=Audit&amp;VAR:KEY=GJWVYDYDWL&amp;VAR:QUERY=KEZTTF9ORVRfSU5DKE5PVyxOT1csRlNBLCxVU0QpQEZGX05FVF9JTkMoTFRNUywwLCwsLFVTRCkp&amp;WINDOW=F","IRST_POPUP&amp;HEIGHT=450&amp;WIDTH=450&amp;START_MAXIMIZED=FALSE&amp;VAR:CALENDAR=US&amp;VAR:SYMBOL=VIT&amp;VAR:INDEX=0"}</definedName>
    <definedName function="false" hidden="true" name="_1836__FDSAUDITLINK__" vbProcedure="false">{"fdsup://directions/FAT Viewer?action=UPDATE&amp;creator=factset&amp;DYN_ARGS=TRUE&amp;DOC_NAME=FAT:FQL_AUDITING_CLIENT_TEMPLATE.FAT&amp;display_string=Audit&amp;VAR:KEY=YBQTWLCBEZ&amp;VAR:QUERY=KEZTTF9ORVRfSU5DKE5PVyxOT1csRlNBLCxVU0QpQEZGX05FVF9JTkMoTFRNUywwLCwsLFVTRCkp&amp;WINDOW=F","IRST_POPUP&amp;HEIGHT=450&amp;WIDTH=450&amp;START_MAXIMIZED=FALSE&amp;VAR:CALENDAR=US&amp;VAR:SYMBOL=SAPE&amp;VAR:INDEX=0"}</definedName>
    <definedName function="false" hidden="true" name="_1837__FDSAUDITLINK__" vbProcedure="false">{"fdsup://directions/FAT Viewer?action=UPDATE&amp;creator=factset&amp;DYN_ARGS=TRUE&amp;DOC_NAME=FAT:FQL_AUDITING_CLIENT_TEMPLATE.FAT&amp;display_string=Audit&amp;VAR:KEY=ENEVAVKTGH&amp;VAR:QUERY=KEZTTF9ORVRfSU5DKE5PVyxOT1csRlNBLCxVU0QpQEZGX05FVF9JTkMoTFRNUywwLCwsLFVTRCkp&amp;WINDOW=F","IRST_POPUP&amp;HEIGHT=450&amp;WIDTH=450&amp;START_MAXIMIZED=FALSE&amp;VAR:CALENDAR=US&amp;VAR:SYMBOL=SYNT&amp;VAR:INDEX=0"}</definedName>
    <definedName function="false" hidden="true" name="_1838__FDSAUDITLINK__" vbProcedure="false">{"fdsup://directions/FAT Viewer?action=UPDATE&amp;creator=factset&amp;DYN_ARGS=TRUE&amp;DOC_NAME=FAT:FQL_AUDITING_CLIENT_TEMPLATE.FAT&amp;display_string=Audit&amp;VAR:KEY=WROBUFGHIR&amp;VAR:QUERY=KEZTTF9ORVRfSU5DKE5PVyxOT1csRlNBLCxVU0QpQEZGX05FVF9JTkMoTFRNUywwLCwsLFVTRCkp&amp;WINDOW=F","IRST_POPUP&amp;HEIGHT=450&amp;WIDTH=450&amp;START_MAXIMIZED=FALSE&amp;VAR:CALENDAR=US&amp;VAR:SYMBOL=G&amp;VAR:INDEX=0"}</definedName>
    <definedName function="false" hidden="true" name="_1839__FDSAUDITLINK__" vbProcedure="false">{"fdsup://directions/FAT Viewer?action=UPDATE&amp;creator=factset&amp;DYN_ARGS=TRUE&amp;DOC_NAME=FAT:FQL_AUDITING_CLIENT_TEMPLATE.FAT&amp;display_string=Audit&amp;VAR:KEY=SDOTAJEFUP&amp;VAR:QUERY=KEZTTF9ORVRfSU5DKE5PVyxOT1csRlNBLCxVU0QpQEZGX05FVF9JTkMoTFRNUywwLCwsLFVTRCkp&amp;WINDOW=F","IRST_POPUP&amp;HEIGHT=450&amp;WIDTH=450&amp;START_MAXIMIZED=FALSE&amp;VAR:CALENDAR=US&amp;VAR:SYMBOL=VRSK&amp;VAR:INDEX=0"}</definedName>
    <definedName function="false" hidden="true" name="_183__FDSAUDITLINK__" vbProcedure="false">{"fdsup://directions/FAT Viewer?action=UPDATE&amp;creator=factset&amp;DYN_ARGS=TRUE&amp;DOC_NAME=FAT:FQL_AUDITING_CLIENT_TEMPLATE.FAT&amp;display_string=Audit&amp;VAR:KEY=VKZOFYBOFM&amp;VAR:QUERY=RkZfRUJJVERBX09QRVIoTFRNLDAsLCwsVVNEKQ==&amp;WINDOW=FIRST_POPUP&amp;HEIGHT=450&amp;WIDTH=450&amp;STAR","T_MAXIMIZED=FALSE&amp;VAR:CALENDAR=US&amp;VAR:SYMBOL=WTSLA&amp;VAR:INDEX=0"}</definedName>
    <definedName function="false" hidden="true" name="_1840__FDSAUDITLINK__" vbProcedure="false">{"fdsup://directions/FAT Viewer?action=UPDATE&amp;creator=factset&amp;DYN_ARGS=TRUE&amp;DOC_NAME=FAT:FQL_AUDITING_CLIENT_TEMPLATE.FAT&amp;display_string=Audit&amp;VAR:KEY=QXAVWZSJG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W&amp;VAR:INDEX=0"}</definedName>
    <definedName function="false" hidden="true" name="_1841__FDSAUDITLINK__" vbProcedure="false">{"fdsup://directions/FAT Viewer?action=UPDATE&amp;creator=factset&amp;DYN_ARGS=TRUE&amp;DOC_NAME=FAT:FQL_AUDITING_CLIENT_TEMPLATE.FAT&amp;display_string=Audit&amp;VAR:KEY=CRMHGBCRQT&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GX&amp;VAR:INDEX=0"}</definedName>
    <definedName function="false" hidden="true" name="_1842__FDSAUDITLINK__" vbProcedure="false">{"fdsup://directions/FAT Viewer?action=UPDATE&amp;creator=factset&amp;DYN_ARGS=TRUE&amp;DOC_NAME=FAT:FQL_AUDITING_CLIENT_TEMPLATE.FAT&amp;display_string=Audit&amp;VAR:KEY=GPAVERSRI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TC&amp;VAR:INDEX=0"}</definedName>
    <definedName function="false" hidden="true" name="_1843__FDSAUDITLINK__" vbProcedure="false">{"fdsup://directions/FAT Viewer?action=UPDATE&amp;creator=factset&amp;DYN_ARGS=TRUE&amp;DOC_NAME=FAT:FQL_AUDITING_CLIENT_TEMPLATE.FAT&amp;display_string=Audit&amp;VAR:KEY=MFQHYJOLO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R&amp;VAR:INDEX=0"}</definedName>
    <definedName function="false" hidden="true" name="_1844__FDSAUDITLINK__" vbProcedure="false">{"fdsup://directions/FAT Viewer?action=UPDATE&amp;creator=factset&amp;DYN_ARGS=TRUE&amp;DOC_NAME=FAT:FQL_AUDITING_CLIENT_TEMPLATE.FAT&amp;display_string=Audit&amp;VAR:KEY=ORUPARINA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TU&amp;VAR:INDEX=0"}</definedName>
    <definedName function="false" hidden="true" name="_1845__FDSAUDITLINK__" vbProcedure="false">{"fdsup://directions/FAT Viewer?action=UPDATE&amp;creator=factset&amp;DYN_ARGS=TRUE&amp;DOC_NAME=FAT:FQL_AUDITING_CLIENT_TEMPLATE.FAT&amp;display_string=Audit&amp;VAR:KEY=IBOHQREHS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PI&amp;VAR:INDEX=0"}</definedName>
    <definedName function="false" hidden="true" name="_1846__FDSAUDITLINK__" vbProcedure="false">{"fdsup://Directions/FactSet Auditing Viewer?action=AUDIT_VALUE&amp;DB=129&amp;ID1=92345Y10&amp;VALUEID=02001&amp;SDATE=201002&amp;PERIODTYPE=QTR_STD&amp;window=popup_no_bar&amp;width=385&amp;height=120&amp;START_MAXIMIZED=FALSE&amp;creator=factset&amp;display_string=Audit"}</definedName>
    <definedName function="false" hidden="true" name="_1847__FDSAUDITLINK__" vbProcedure="false">{"fdsup://directions/FAT Viewer?action=UPDATE&amp;creator=factset&amp;DYN_ARGS=TRUE&amp;DOC_NAME=FAT:FQL_AUDITING_CLIENT_TEMPLATE.FAT&amp;display_string=Audit&amp;VAR:KEY=UJQHMFGTE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LS&amp;VAR:INDEX=0"}</definedName>
    <definedName function="false" hidden="true" name="_1848__FDSAUDITLINK__" vbProcedure="false">{"fdsup://Directions/FactSet Auditing Viewer?action=AUDIT_VALUE&amp;DB=129&amp;ID1=28035810&amp;VALUEID=02001&amp;SDATE=201002&amp;PERIODTYPE=QTR_STD&amp;window=popup_no_bar&amp;width=385&amp;height=120&amp;START_MAXIMIZED=FALSE&amp;creator=factset&amp;display_string=Audit"}</definedName>
    <definedName function="false" hidden="true" name="_1849__FDSAUDITLINK__" vbProcedure="false">{"fdsup://Directions/FactSet Auditing Viewer?action=AUDIT_VALUE&amp;DB=129&amp;ID1=20547710&amp;VALUEID=02001&amp;SDATE=201002&amp;PERIODTYPE=QTR_STD&amp;window=popup_no_bar&amp;width=385&amp;height=120&amp;START_MAXIMIZED=FALSE&amp;creator=factset&amp;display_string=Audit"}</definedName>
    <definedName function="false" hidden="true" name="_184__FDSAUDITLINK__" vbProcedure="false">{"fdsup://directions/FAT Viewer?action=UPDATE&amp;creator=factset&amp;DYN_ARGS=TRUE&amp;DOC_NAME=FAT:FQL_AUDITING_CLIENT_TEMPLATE.FAT&amp;display_string=Audit&amp;VAR:KEY=YBORQFCJSZ&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GX&amp;VAR:INDEX=0"}</definedName>
    <definedName function="false" hidden="true" name="_1850__FDSAUDITLINK__" vbProcedure="false">{"fdsup://Directions/FactSet Auditing Viewer?action=AUDIT_VALUE&amp;DB=129&amp;ID1=64104X10&amp;VALUEID=02001&amp;SDATE=201002&amp;PERIODTYPE=QTR_STD&amp;window=popup_no_bar&amp;width=385&amp;height=120&amp;START_MAXIMIZED=FALSE&amp;creator=factset&amp;display_string=Audit"}</definedName>
    <definedName function="false" hidden="true" name="_1851__FDSAUDITLINK__" vbProcedure="false">{"fdsup://Directions/FactSet Auditing Viewer?action=AUDIT_VALUE&amp;DB=129&amp;ID1=17163B10&amp;VALUEID=02001&amp;SDATE=201002&amp;PERIODTYPE=QTR_STD&amp;window=popup_no_bar&amp;width=385&amp;height=120&amp;START_MAXIMIZED=FALSE&amp;creator=factset&amp;display_string=Audit"}</definedName>
    <definedName function="false" hidden="true" name="_1852__FDSAUDITLINK__" vbProcedure="false">{"fdsup://Directions/FactSet Auditing Viewer?action=AUDIT_VALUE&amp;DB=129&amp;ID1=92827P10&amp;VALUEID=02001&amp;SDATE=201001&amp;PERIODTYPE=QTR_STD&amp;window=popup_no_bar&amp;width=385&amp;height=120&amp;START_MAXIMIZED=FALSE&amp;creator=factset&amp;display_string=Audit"}</definedName>
    <definedName function="false" hidden="true" name="_1853__FDSAUDITLINK__" vbProcedure="false">{"fdsup://Directions/FactSet Auditing Viewer?action=AUDIT_VALUE&amp;DB=129&amp;ID1=25269L10&amp;VALUEID=02001&amp;SDATE=201001&amp;PERIODTYPE=QTR_STD&amp;window=popup_no_bar&amp;width=385&amp;height=120&amp;START_MAXIMIZED=FALSE&amp;creator=factset&amp;display_string=Audit"}</definedName>
    <definedName function="false" hidden="true" name="_1854__FDSAUDITLINK__" vbProcedure="false">{"fdsup://Directions/FactSet Auditing Viewer?action=AUDIT_VALUE&amp;DB=129&amp;ID1=44746210&amp;VALUEID=02001&amp;SDATE=201002&amp;PERIODTYPE=QTR_STD&amp;window=popup_no_bar&amp;width=385&amp;height=120&amp;START_MAXIMIZED=FALSE&amp;creator=factset&amp;display_string=Audit"}</definedName>
    <definedName function="false" hidden="true" name="_1855__FDSAUDITLINK__" vbProcedure="false">{"fdsup://Directions/FactSet Auditing Viewer?action=AUDIT_VALUE&amp;DB=129&amp;ID1=30208110&amp;VALUEID=02001&amp;SDATE=201002&amp;PERIODTYPE=QTR_STD&amp;window=popup_no_bar&amp;width=385&amp;height=120&amp;START_MAXIMIZED=FALSE&amp;creator=factset&amp;display_string=Audit"}</definedName>
    <definedName function="false" hidden="true" name="_1856__FDSAUDITLINK__" vbProcedure="false">{"fdsup://Directions/FactSet Auditing Viewer?action=AUDIT_VALUE&amp;DB=129&amp;ID1=00438V10&amp;VALUEID=02001&amp;SDATE=201002&amp;PERIODTYPE=QTR_STD&amp;window=popup_no_bar&amp;width=385&amp;height=120&amp;START_MAXIMIZED=FALSE&amp;creator=factset&amp;display_string=Audit"}</definedName>
    <definedName function="false" hidden="true" name="_1857__FDSAUDITLINK__" vbProcedure="false">{"fdsup://Directions/FactSet Auditing Viewer?action=AUDIT_VALUE&amp;DB=129&amp;ID1=45169U10&amp;VALUEID=02001&amp;SDATE=201003&amp;PERIODTYPE=QTR_STD&amp;window=popup_no_bar&amp;width=385&amp;height=120&amp;START_MAXIMIZED=FALSE&amp;creator=factset&amp;display_string=Audit"}</definedName>
    <definedName function="false" hidden="true" name="_1858__FDSAUDITLINK__" vbProcedure="false">{"fdsup://Directions/FactSet Auditing Viewer?action=AUDIT_VALUE&amp;DB=129&amp;ID1=90921430&amp;VALUEID=02001&amp;SDATE=201002&amp;PERIODTYPE=QTR_STD&amp;window=popup_no_bar&amp;width=385&amp;height=120&amp;START_MAXIMIZED=FALSE&amp;creator=factset&amp;display_string=Audit"}</definedName>
    <definedName function="false" hidden="true" name="_1859__FDSAUDITLINK__" vbProcedure="false">{"fdsup://Directions/FactSet Auditing Viewer?action=AUDIT_VALUE&amp;DB=129&amp;ID1=80306210&amp;VALUEID=02001&amp;SDATE=201002&amp;PERIODTYPE=QTR_STD&amp;window=popup_no_bar&amp;width=385&amp;height=120&amp;START_MAXIMIZED=FALSE&amp;creator=factset&amp;display_string=Audit"}</definedName>
    <definedName function="false" hidden="true" name="_185__FDSAUDITLINK__" vbProcedure="false">{"fdsup://directions/FAT Viewer?action=UPDATE&amp;creator=factset&amp;DYN_ARGS=TRUE&amp;DOC_NAME=FAT:FQL_AUDITING_CLIENT_TEMPLATE.FAT&amp;display_string=Audit&amp;VAR:KEY=VGJWLKFSDM&amp;VAR:QUERY=RkZfRUJJVERBX09QRVIoTFRNLDAsLCwsVVNEKQ==&amp;WINDOW=FIRST_POPUP&amp;HEIGHT=450&amp;WIDTH=450&amp;STAR","T_MAXIMIZED=FALSE&amp;VAR:CALENDAR=US&amp;VAR:SYMBOL=SUNH&amp;VAR:INDEX=0"}</definedName>
    <definedName function="false" hidden="true" name="_1860__FDSAUDITLINK__" vbProcedure="false">{"fdsup://Directions/FactSet Auditing Viewer?action=AUDIT_VALUE&amp;DB=129&amp;ID1=87162H10&amp;VALUEID=02001&amp;SDATE=201002&amp;PERIODTYPE=QTR_STD&amp;window=popup_no_bar&amp;width=385&amp;height=120&amp;START_MAXIMIZED=FALSE&amp;creator=factset&amp;display_string=Audit"}</definedName>
    <definedName function="false" hidden="true" name="_1861__FDSAUDITLINK__" vbProcedure="false">{"fdsup://Directions/FactSet Auditing Viewer?action=AUDIT_VALUE&amp;DB=129&amp;ID1=G3922B10&amp;VALUEID=02001&amp;SDATE=201002&amp;PERIODTYPE=QTR_STD&amp;window=popup_no_bar&amp;width=385&amp;height=120&amp;START_MAXIMIZED=FALSE&amp;creator=factset&amp;display_string=Audit"}</definedName>
    <definedName function="false" hidden="true" name="_1862__FDSAUDITLINK__" vbProcedure="false">{"fdsup://directions/FAT Viewer?action=UPDATE&amp;creator=factset&amp;DYN_ARGS=TRUE&amp;DOC_NAME=FAT:FQL_AUDITING_CLIENT_TEMPLATE.FAT&amp;display_string=Audit&amp;VAR:KEY=KBIBGJQNQ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GTE&amp;VAR:INDEX=0"}</definedName>
    <definedName function="false" hidden="true" name="_1863__FDSAUDITLINK__" vbProcedure="false">{"fdsup://directions/FAT Viewer?action=UPDATE&amp;creator=factset&amp;DYN_ARGS=TRUE&amp;DOC_NAME=FAT:FQL_AUDITING_CLIENT_TEMPLATE.FAT&amp;display_string=Audit&amp;VAR:KEY=UTEFGDKFW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IS&amp;VAR:INDEX=0"}</definedName>
    <definedName function="false" hidden="true" name="_1864__FDSAUDITLINK__" vbProcedure="false">{"fdsup://directions/FAT Viewer?action=UPDATE&amp;creator=factset&amp;DYN_ARGS=TRUE&amp;DOC_NAME=FAT:FQL_AUDITING_CLIENT_TEMPLATE.FAT&amp;display_string=Audit&amp;VAR:KEY=EDEBYVEFCT&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IT&amp;VAR:INDEX=0"}</definedName>
    <definedName function="false" hidden="true" name="_1865__FDSAUDITLINK__" vbProcedure="false">{"fdsup://directions/FAT Viewer?action=UPDATE&amp;creator=factset&amp;DYN_ARGS=TRUE&amp;DOC_NAME=FAT:FQL_AUDITING_CLIENT_TEMPLATE.FAT&amp;display_string=Audit&amp;VAR:KEY=YXSLYBWJU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PE&amp;VAR:INDEX=0"}</definedName>
    <definedName function="false" hidden="true" name="_1866__FDSAUDITLINK__" vbProcedure="false">{"fdsup://directions/FAT Viewer?action=UPDATE&amp;creator=factset&amp;DYN_ARGS=TRUE&amp;DOC_NAME=FAT:FQL_AUDITING_CLIENT_TEMPLATE.FAT&amp;display_string=Audit&amp;VAR:KEY=EXEROTETC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NT&amp;VAR:INDEX=0"}</definedName>
    <definedName function="false" hidden="true" name="_1867__FDSAUDITLINK__" vbProcedure="false">{"fdsup://directions/FAT Viewer?action=UPDATE&amp;creator=factset&amp;DYN_ARGS=TRUE&amp;DOC_NAME=FAT:FQL_AUDITING_CLIENT_TEMPLATE.FAT&amp;display_string=Audit&amp;VAR:KEY=GJMDGPMTQ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mp;VAR:INDEX=0"}</definedName>
    <definedName function="false" hidden="true" name="_1868__FDSAUDITLINK__" vbProcedure="false">{"fdsup://directions/FAT Viewer?action=UPDATE&amp;creator=factset&amp;DYN_ARGS=TRUE&amp;DOC_NAME=FAT:FQL_AUDITING_CLIENT_TEMPLATE.FAT&amp;display_string=Audit&amp;VAR:KEY=GJMBCTWFG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SK&amp;VAR:INDEX=0"}</definedName>
    <definedName function="false" hidden="true" name="_1869__FDSAUDITLINK__" vbProcedure="false">{"fdsup://directions/FAT Viewer?action=UPDATE&amp;creator=factset&amp;DYN_ARGS=TRUE&amp;DOC_NAME=FAT:FQL_AUDITING_CLIENT_TEMPLATE.FAT&amp;display_string=Audit&amp;VAR:KEY=BMZSZWDCNG&amp;VAR:QUERY=KEZTTF9ORVRfSU5DKE5PVyxOT1csRlNBLCxVU0QpQEZGX05FVF9JTkMoTFRNUywwLCwsLFVTRCkp&amp;WINDOW=F","IRST_POPUP&amp;HEIGHT=450&amp;WIDTH=450&amp;START_MAXIMIZED=FALSE&amp;VAR:CALENDAR=US&amp;VAR:SYMBOL=DST&amp;VAR:INDEX=0"}</definedName>
    <definedName function="false" hidden="true" name="_186__FDSAUDITLINK__" vbProcedure="false">{"fdsup://directions/FAT Viewer?action=UPDATE&amp;creator=factset&amp;DYN_ARGS=TRUE&amp;DOC_NAME=FAT:FQL_AUDITING_CLIENT_TEMPLATE.FAT&amp;display_string=Audit&amp;VAR:KEY=LIDKROLSDK&amp;VAR:QUERY=RkZfRUJJVERBX09QRVIoTFRNLDAsLCwsVVNEKQ==&amp;WINDOW=FIRST_POPUP&amp;HEIGHT=450&amp;WIDTH=450&amp;STAR","T_MAXIMIZED=FALSE&amp;VAR:CALENDAR=US&amp;VAR:SYMBOL=SKH&amp;VAR:INDEX=0"}</definedName>
    <definedName function="false" hidden="true" name="_1870__FDSAUDITLINK__" vbProcedure="false">{"fdsup://directions/FAT Viewer?action=UPDATE&amp;creator=factset&amp;DYN_ARGS=TRUE&amp;DOC_NAME=FAT:FQL_AUDITING_CLIENT_TEMPLATE.FAT&amp;display_string=Audit&amp;VAR:KEY=TKJMNGVU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ST&amp;VAR:INDEX=0"}</definedName>
    <definedName function="false" hidden="true" name="_1871__FDSAUDITLINK__" vbProcedure="false">{"fdsup://directions/FAT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function="false" hidden="true" name="_1872__FDSAUDITLINK__" vbProcedure="false">{"fdsup://directions/FAT Viewer?action=UPDATE&amp;creator=factset&amp;DYN_ARGS=TRUE&amp;DOC_NAME=FAT:FQL_AUDITING_CLIENT_TEMPLATE.FAT&amp;display_string=Audit&amp;VAR:KEY=JWPWPWHALS&amp;VAR:QUERY=KEZTTF9ORVRfSU5DKE5PVyxOT1csRlNBLCxVU0QpQEZGX05FVF9JTkMoTFRNUywwLCwsLFVTRCkp&amp;WINDOW=F","IRST_POPUP&amp;HEIGHT=450&amp;WIDTH=450&amp;START_MAXIMIZED=FALSE&amp;VAR:CALENDAR=US&amp;VAR:SYMBOL=TTPA&amp;VAR:INDEX=0"}</definedName>
    <definedName function="false" hidden="true" name="_1873__FDSAUDITLINK__" vbProcedure="false">{"fdsup://directions/FAT Viewer?action=UPDATE&amp;creator=factset&amp;DYN_ARGS=TRUE&amp;DOC_NAME=FAT:FQL_AUDITING_CLIENT_TEMPLATE.FAT&amp;display_string=Audit&amp;VAR:KEY=BCLMZGHOTU&amp;VAR:QUERY=KEZTTF9ORVRfSU5DKE5PVyxOT1csRlNBLCxVU0QpQEZGX05FVF9JTkMoTFRNUywwLCwsLFVTRCkp&amp;WINDOW=F","IRST_POPUP&amp;HEIGHT=450&amp;WIDTH=450&amp;START_MAXIMIZED=FALSE&amp;VAR:CALENDAR=US&amp;VAR:SYMBOL=B0BQ0R&amp;VAR:INDEX=0"}</definedName>
    <definedName function="false" hidden="true" name="_1874__FDSAUDITLINK__" vbProcedure="false">{"fdsup://directions/FAT Viewer?action=UPDATE&amp;creator=factset&amp;DYN_ARGS=TRUE&amp;DOC_NAME=FAT:FQL_AUDITING_CLIENT_TEMPLATE.FAT&amp;display_string=Audit&amp;VAR:KEY=NQXQHEJAHU&amp;VAR:QUERY=KEZTTF9ORVRfSU5DKE5PVyxOT1csRlNBLCxVU0QpQEZGX05FVF9JTkMoTFRNUywwLCwsLFVTRCkp&amp;WINDOW=F","IRST_POPUP&amp;HEIGHT=450&amp;WIDTH=450&amp;START_MAXIMIZED=FALSE&amp;VAR:CALENDAR=US&amp;VAR:SYMBOL=463573&amp;VAR:INDEX=0"}</definedName>
    <definedName function="false" hidden="true" name="_1875__FDSAUDITLINK__" vbProcedure="false">{"fdsup://directions/FAT Viewer?action=UPDATE&amp;creator=factset&amp;DYN_ARGS=TRUE&amp;DOC_NAME=FAT:FQL_AUDITING_CLIENT_TEMPLATE.FAT&amp;display_string=Audit&amp;VAR:KEY=FMLWHMJOVI&amp;VAR:QUERY=KEZTTF9ORVRfSU5DKE5PVyxOT1csRlNBLCxVU0QpQEZGX05FVF9JTkMoTFRNUywwLCwsLFVTRCkp&amp;WINDOW=F","IRST_POPUP&amp;HEIGHT=450&amp;WIDTH=450&amp;START_MAXIMIZED=FALSE&amp;VAR:CALENDAR=US&amp;VAR:SYMBOL=591344&amp;VAR:INDEX=0"}</definedName>
    <definedName function="false" hidden="true" name="_1876__FDSAUDITLINK__" vbProcedure="false">{"fdsup://directions/FAT Viewer?action=UPDATE&amp;creator=factset&amp;DYN_ARGS=TRUE&amp;DOC_NAME=FAT:FQL_AUDITING_CLIENT_TEMPLATE.FAT&amp;display_string=Audit&amp;VAR:KEY=HSDSJMXWJ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PA&amp;VAR:INDEX=0"}</definedName>
    <definedName function="false" hidden="true" name="_1877__FDSAUDITLINK__" vbProcedure="false">{"fdsup://directions/FAT Viewer?action=UPDATE&amp;creator=factset&amp;DYN_ARGS=TRUE&amp;DOC_NAME=FAT:FQL_AUDITING_CLIENT_TEMPLATE.FAT&amp;display_string=Audit&amp;VAR:KEY=RUBCROHQ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BQ0R&amp;VAR:INDEX=0"}</definedName>
    <definedName function="false" hidden="true" name="_1878__FDSAUDITLINK__" vbProcedure="false">{"fdsup://Directions/FactSet Auditing Viewer?action=AUDIT_VALUE&amp;DB=129&amp;ID1=B0BQ0R&amp;VALUEID=02001&amp;SDATE=200902&amp;PERIODTYPE=SEMI_STD&amp;window=popup_no_bar&amp;width=385&amp;height=120&amp;START_MAXIMIZED=FALSE&amp;creator=factset&amp;display_string=Audit"}</definedName>
    <definedName function="false" hidden="true" name="_1879__FDSAUDITLINK__" vbProcedure="false">{"fdsup://Directions/FactSet Auditing Viewer?action=AUDIT_VALUE&amp;DB=129&amp;ID1=591344&amp;VALUEID=02001&amp;SDATE=201003&amp;PERIODTYPE=QTR_STD&amp;window=popup_no_bar&amp;width=385&amp;height=120&amp;START_MAXIMIZED=FALSE&amp;creator=factset&amp;display_string=Audit"}</definedName>
    <definedName function="false" hidden="true" name="_187__FDSAUDITLINK__" vbProcedure="false">{"fdsup://directions/FAT Viewer?action=UPDATE&amp;creator=factset&amp;DYN_ARGS=TRUE&amp;DOC_NAME=FAT:FQL_AUDITING_CLIENT_TEMPLATE.FAT&amp;display_string=Audit&amp;VAR:KEY=TKJSNWLWRU&amp;VAR:QUERY=RkZfRUJJVERBX09QRVIoTFRNLDAsLCwsVVNEKQ==&amp;WINDOW=FIRST_POPUP&amp;HEIGHT=450&amp;WIDTH=450&amp;STAR","T_MAXIMIZED=FALSE&amp;VAR:CALENDAR=US&amp;VAR:SYMBOL=VRML&amp;VAR:INDEX=0"}</definedName>
    <definedName function="false" hidden="true" name="_1880__FDSAUDITLINK__" vbProcedure="false">{"fdsup://directions/FAT Viewer?action=UPDATE&amp;creator=factset&amp;DYN_ARGS=TRUE&amp;DOC_NAME=FAT:FQL_AUDITING_CLIENT_TEMPLATE.FAT&amp;display_string=Audit&amp;VAR:KEY=BOJUNKLKJ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591344&amp;VAR:INDEX=0"}</definedName>
    <definedName function="false" hidden="true" name="_1881__FDSAUDITLINK__" vbProcedure="false">{"fdsup://directions/FAT Viewer?action=UPDATE&amp;creator=factset&amp;DYN_ARGS=TRUE&amp;DOC_NAME=FAT:FQL_AUDITING_CLIENT_TEMPLATE.FAT&amp;display_string=Audit&amp;VAR:KEY=PQRKVWFMJI&amp;VAR:QUERY=KEZTTF9ORVRfSU5DKE5PVyxOT1csRlNBLCxVU0QpQEZGX05FVF9JTkMoTFRNUywwLCwsLFVTRCkp&amp;WINDOW=F","IRST_POPUP&amp;HEIGHT=450&amp;WIDTH=450&amp;START_MAXIMIZED=FALSE&amp;VAR:CALENDAR=US&amp;VAR:SYMBOL=B0463V&amp;VAR:INDEX=0"}</definedName>
    <definedName function="false" hidden="true" name="_1882__FDSAUDITLINK__" vbProcedure="false">{"fdsup://directions/FAT Viewer?action=UPDATE&amp;creator=factset&amp;DYN_ARGS=TRUE&amp;DOC_NAME=FAT:FQL_AUDITING_CLIENT_TEMPLATE.FAT&amp;display_string=Audit&amp;VAR:KEY=XYNMHSRATC&amp;VAR:QUERY=KEZTTF9ORVRfSU5DKE5PVyxOT1csRlNBLCxVU0QpQEZGX05FVF9JTkMoTFRNUywwLCwsLFVTRCkp&amp;WINDOW=F","IRST_POPUP&amp;HEIGHT=450&amp;WIDTH=450&amp;START_MAXIMIZED=FALSE&amp;VAR:CALENDAR=US&amp;VAR:SYMBOL=ORCC&amp;VAR:INDEX=0"}</definedName>
    <definedName function="false" hidden="true" name="_1883__FDSAUDITLINK__" vbProcedure="false">{"fdsup://directions/FAT Viewer?action=UPDATE&amp;creator=factset&amp;DYN_ARGS=TRUE&amp;DOC_NAME=FAT:FQL_AUDITING_CLIENT_TEMPLATE.FAT&amp;display_string=Audit&amp;VAR:KEY=TYLOFMPAX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597976&amp;VAR:INDEX=0"}</definedName>
    <definedName function="false" hidden="true" name="_1884__FDSAUDITLINK__" vbProcedure="false">{"fdsup://directions/FAT Viewer?action=UPDATE&amp;creator=factset&amp;DYN_ARGS=TRUE&amp;DOC_NAME=FAT:FQL_AUDITING_CLIENT_TEMPLATE.FAT&amp;display_string=Audit&amp;VAR:KEY=LOZATYXI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0463V&amp;VAR:INDEX=0"}</definedName>
    <definedName function="false" hidden="true" name="_1885__FDSAUDITLINK__" vbProcedure="false">{"fdsup://directions/FAT Viewer?action=UPDATE&amp;creator=factset&amp;DYN_ARGS=TRUE&amp;DOC_NAME=FAT:FQL_AUDITING_CLIENT_TEMPLATE.FAT&amp;display_string=Audit&amp;VAR:KEY=LCTWFGHC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function="false" hidden="true" name="_1886__FDSAUDITLINK__" vbProcedure="false">{"fdsup://Directions/FactSet Auditing Viewer?action=AUDIT_VALUE&amp;DB=129&amp;ID1=62886E10&amp;VALUEID=02001&amp;SDATE=201003&amp;PERIODTYPE=QTR_STD&amp;window=popup_no_bar&amp;width=385&amp;height=120&amp;START_MAXIMIZED=FALSE&amp;creator=factset&amp;display_string=Audit"}</definedName>
    <definedName function="false" hidden="true" name="_1887__FDSAUDITLINK__" vbProcedure="false">{"fdsup://Directions/FactSet Auditing Viewer?action=AUDIT_VALUE&amp;DB=129&amp;ID1=78463M10&amp;VALUEID=02001&amp;SDATE=201002&amp;PERIODTYPE=QTR_STD&amp;window=popup_no_bar&amp;width=385&amp;height=120&amp;START_MAXIMIZED=FALSE&amp;creator=factset&amp;display_string=Audit"}</definedName>
    <definedName function="false" hidden="true" name="_1888__FDSAUDITLINK__" vbProcedure="false">{"fdsup://directions/FAT Viewer?action=UPDATE&amp;creator=factset&amp;DYN_ARGS=TRUE&amp;DOC_NAME=FAT:FQL_AUDITING_CLIENT_TEMPLATE.FAT&amp;display_string=Audit&amp;VAR:KEY=RMHMVAZADS&amp;VAR:QUERY=KEZTTF9ORVRfSU5DKE5PVyxOT1csRlNBLCxVU0QpQEZGX05FVF9JTkMoTFRNUywwLCwsLFVTRCkp&amp;WINDOW=F","IRST_POPUP&amp;HEIGHT=450&amp;WIDTH=450&amp;START_MAXIMIZED=FALSE&amp;VAR:CALENDAR=US&amp;VAR:SYMBOL=FDS&amp;VAR:INDEX=0"}</definedName>
    <definedName function="false" hidden="true" name="_1889__FDSAUDITLINK__" vbProcedure="false">{"fdsup://directions/FAT Viewer?action=UPDATE&amp;creator=factset&amp;DYN_ARGS=TRUE&amp;DOC_NAME=FAT:FQL_AUDITING_CLIENT_TEMPLATE.FAT&amp;display_string=Audit&amp;VAR:KEY=RADYJELYBO&amp;VAR:QUERY=KEZTTF9ORVRfSU5DKE5PVyxOT1csRlNBLCxVU0QpQEZGX05FVF9JTkMoTFRNUywwLCwsLFVTRCkp&amp;WINDOW=F","IRST_POPUP&amp;HEIGHT=450&amp;WIDTH=450&amp;START_MAXIMIZED=FALSE&amp;VAR:CALENDAR=US&amp;VAR:SYMBOL=EDGR&amp;VAR:INDEX=0"}</definedName>
    <definedName function="false" hidden="true" name="_188__FDSAUDITLINK__" vbProcedure="false">{"fdsup://directions/FAT Viewer?action=UPDATE&amp;creator=factset&amp;DYN_ARGS=TRUE&amp;DOC_NAME=FAT:FQL_AUDITING_CLIENT_TEMPLATE.FAT&amp;display_string=Audit&amp;VAR:KEY=HILGDEDODU&amp;VAR:QUERY=RkZfRUJJVERBX09QRVIoTFRNLDAsLCwsVVNEKQ==&amp;WINDOW=FIRST_POPUP&amp;HEIGHT=450&amp;WIDTH=450&amp;STAR","T_MAXIMIZED=FALSE&amp;VAR:CALENDAR=US&amp;VAR:SYMBOL=AMED&amp;VAR:INDEX=0"}</definedName>
    <definedName function="false" hidden="true" name="_1890__FDSAUDITLINK__" vbProcedure="false">{"fdsup://directions/FAT Viewer?action=UPDATE&amp;creator=factset&amp;DYN_ARGS=TRUE&amp;DOC_NAME=FAT:FQL_AUDITING_CLIENT_TEMPLATE.FAT&amp;display_string=Audit&amp;VAR:KEY=RMPMHGTGLE&amp;VAR:QUERY=KEZTTF9ORVRfSU5DKE5PVyxOT1csRlNBLCxVU0QpQEZGX05FVF9JTkMoTFRNUywwLCwsLFVTRCkp&amp;WINDOW=F","IRST_POPUP&amp;HEIGHT=450&amp;WIDTH=450&amp;START_MAXIMIZED=FALSE&amp;VAR:CALENDAR=US&amp;VAR:SYMBOL=VALU&amp;VAR:INDEX=0"}</definedName>
    <definedName function="false" hidden="true" name="_1891__FDSAUDITLINK__" vbProcedure="false">{"fdsup://directions/FAT Viewer?action=UPDATE&amp;creator=factset&amp;DYN_ARGS=TRUE&amp;DOC_NAME=FAT:FQL_AUDITING_CLIENT_TEMPLATE.FAT&amp;display_string=Audit&amp;VAR:KEY=XKNGXMBMPO&amp;VAR:QUERY=KEZTTF9ORVRfSU5DKE5PVyxOT1csRlNBLCxVU0QpQEZGX05FVF9JTkMoTFRNUywwLCwsLFVTRCkp&amp;WINDOW=F","IRST_POPUP&amp;HEIGHT=450&amp;WIDTH=450&amp;START_MAXIMIZED=FALSE&amp;VAR:CALENDAR=US&amp;VAR:SYMBOL=MORN&amp;VAR:INDEX=0"}</definedName>
    <definedName function="false" hidden="true" name="_1892__FDSAUDITLINK__" vbProcedure="false">{"fdsup://directions/FAT Viewer?action=UPDATE&amp;creator=factset&amp;DYN_ARGS=TRUE&amp;DOC_NAME=FAT:FQL_AUDITING_CLIENT_TEMPLATE.FAT&amp;display_string=Audit&amp;VAR:KEY=BWNSVAVYNC&amp;VAR:QUERY=KEZTTF9ORVRfSU5DKE5PVyxOT1csRlNBLCxVU0QpQEZGX05FVF9JTkMoTFRNUywwLCwsLFVTRCkp&amp;WINDOW=F","IRST_POPUP&amp;HEIGHT=450&amp;WIDTH=450&amp;START_MAXIMIZED=FALSE&amp;VAR:CALENDAR=US&amp;VAR:SYMBOL=DNB&amp;VAR:INDEX=0"}</definedName>
    <definedName function="false" hidden="true" name="_1893__FDSAUDITLINK__" vbProcedure="false">{"fdsup://directions/FAT Viewer?action=UPDATE&amp;creator=factset&amp;DYN_ARGS=TRUE&amp;DOC_NAME=FAT:FQL_AUDITING_CLIENT_TEMPLATE.FAT&amp;display_string=Audit&amp;VAR:KEY=FSNEVKJWHQ&amp;VAR:QUERY=KEZTTF9ORVRfSU5DKE5PVyxOT1csRlNBLCxVU0QpQEZGX05FVF9JTkMoTFRNUywwLCwsLFVTRCkp&amp;WINDOW=F","IRST_POPUP&amp;HEIGHT=450&amp;WIDTH=450&amp;START_MAXIMIZED=FALSE&amp;VAR:CALENDAR=US&amp;VAR:SYMBOL=MXB&amp;VAR:INDEX=0"}</definedName>
    <definedName function="false" hidden="true" name="_1894__FDSAUDITLINK__" vbProcedure="false">{"fdsup://directions/FAT Viewer?action=UPDATE&amp;creator=factset&amp;DYN_ARGS=TRUE&amp;DOC_NAME=FAT:FQL_AUDITING_CLIENT_TEMPLATE.FAT&amp;display_string=Audit&amp;VAR:KEY=XCNEXQPYRS&amp;VAR:QUERY=KEZTTF9ORVRfSU5DKE5PVyxOT1csRlNBLCxVU0QpQEZGX05FVF9JTkMoTFRNUywwLCwsLFVTRCkp&amp;WINDOW=F","IRST_POPUP&amp;HEIGHT=450&amp;WIDTH=450&amp;START_MAXIMIZED=FALSE&amp;VAR:CALENDAR=US&amp;VAR:SYMBOL=MHP&amp;VAR:INDEX=0"}</definedName>
    <definedName function="false" hidden="true" name="_1895__FDSAUDITLINK__" vbProcedure="false">{"fdsup://directions/FAT Viewer?action=UPDATE&amp;creator=factset&amp;DYN_ARGS=TRUE&amp;DOC_NAME=FAT:FQL_AUDITING_CLIENT_TEMPLATE.FAT&amp;display_string=Audit&amp;VAR:KEY=VKPQTGVEDU&amp;VAR:QUERY=KEZTTF9ORVRfSU5DKE5PVyxOT1csRlNBLCxVU0QpQEZGX05FVF9JTkMoTFRNUywwLCwsLFVTRCkp&amp;WINDOW=F","IRST_POPUP&amp;HEIGHT=450&amp;WIDTH=450&amp;START_MAXIMIZED=FALSE&amp;VAR:CALENDAR=US&amp;VAR:SYMBOL=TRI&amp;VAR:INDEX=0"}</definedName>
    <definedName function="false" hidden="true" name="_1896__FDSAUDITLINK__" vbProcedure="false">{"fdsup://directions/FAT Viewer?action=UPDATE&amp;creator=factset&amp;DYN_ARGS=TRUE&amp;DOC_NAME=FAT:FQL_AUDITING_CLIENT_TEMPLATE.FAT&amp;display_string=Audit&amp;VAR:KEY=LSLILKBKH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R&amp;VAR:INDEX=0"}</definedName>
    <definedName function="false" hidden="true" name="_1897__FDSAUDITLINK__" vbProcedure="false">{"fdsup://directions/FAT Viewer?action=UPDATE&amp;creator=factset&amp;DYN_ARGS=TRUE&amp;DOC_NAME=FAT:FQL_AUDITING_CLIENT_TEMPLATE.FAT&amp;display_string=Audit&amp;VAR:KEY=VGVWVMV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ALU&amp;VAR:INDEX=0"}</definedName>
    <definedName function="false" hidden="true" name="_1898__FDSAUDITLINK__" vbProcedure="false">{"fdsup://directions/FAT Viewer?action=UPDATE&amp;creator=factset&amp;DYN_ARGS=TRUE&amp;DOC_NAME=FAT:FQL_AUDITING_CLIENT_TEMPLATE.FAT&amp;display_string=Audit&amp;VAR:KEY=NYXWTCTC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ORN&amp;VAR:INDEX=0"}</definedName>
    <definedName function="false" hidden="true" name="_1899__FDSAUDITLINK__" vbProcedure="false">{"fdsup://directions/FAT Viewer?action=UPDATE&amp;creator=factset&amp;DYN_ARGS=TRUE&amp;DOC_NAME=FAT:FQL_AUDITING_CLIENT_TEMPLATE.FAT&amp;display_string=Audit&amp;VAR:KEY=JEPKXOJW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NB&amp;VAR:INDEX=0"}</definedName>
    <definedName function="false" hidden="true" name="_189__FDSAUDITLINK__" vbProcedure="false">{"fdsup://directions/FAT Viewer?action=UPDATE&amp;creator=factset&amp;DYN_ARGS=TRUE&amp;DOC_NAME=FAT:FQL_AUDITING_CLIENT_TEMPLATE.FAT&amp;display_string=Audit&amp;VAR:KEY=HYXSRUNIPO&amp;VAR:QUERY=RkZfRUJJVERBX09QRVIoTFRNLDAsLCwsVVNEKQ==&amp;WINDOW=FIRST_POPUP&amp;HEIGHT=450&amp;WIDTH=450&amp;STAR","T_MAXIMIZED=FALSE&amp;VAR:CALENDAR=US&amp;VAR:SYMBOL=GTIV&amp;VAR:INDEX=0"}</definedName>
    <definedName function="false" hidden="true" name="_18_0_S" vbProcedure="false">#REF!</definedName>
    <definedName function="false" hidden="true" name="_18__123Graph_BDIAGR_9" vbProcedure="false">#REF!</definedName>
    <definedName function="false" hidden="true" name="_18__123Graph_DCHART_1" vbProcedure="false">#REF!</definedName>
    <definedName function="false" hidden="true" name="_18__123Graph_XADV_GDPR" vbProcedure="false">#REF!</definedName>
    <definedName function="false" hidden="true" name="_18__FDSAUDITLINK__" vbProcedure="false">{"fdsup://directions/FAT Viewer?action=UPDATE&amp;creator=factset&amp;DYN_ARGS=TRUE&amp;DOC_NAME=FAT:FQL_AUDITING_CLIENT_TEMPLATE.FAT&amp;display_string=Audit&amp;VAR:KEY=HMVIJEBUR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CR&amp;VAR:INDEX=0"}</definedName>
    <definedName function="false" hidden="true" name="_1900__FDSAUDITLINK__" vbProcedure="false">{"fdsup://directions/FAT Viewer?action=UPDATE&amp;creator=factset&amp;DYN_ARGS=TRUE&amp;DOC_NAME=FAT:FQL_AUDITING_CLIENT_TEMPLATE.FAT&amp;display_string=Audit&amp;VAR:KEY=XOLSVCRC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XB&amp;VAR:INDEX=0"}</definedName>
    <definedName function="false" hidden="true" name="_1901__FDSAUDITLINK__" vbProcedure="false">{"fdsup://directions/FAT Viewer?action=UPDATE&amp;creator=factset&amp;DYN_ARGS=TRUE&amp;DOC_NAME=FAT:FQL_AUDITING_CLIENT_TEMPLATE.FAT&amp;display_string=Audit&amp;VAR:KEY=HMRSLUBO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HP&amp;VAR:INDEX=0"}</definedName>
    <definedName function="false" hidden="true" name="_1902__FDSAUDITLINK__" vbProcedure="false">{"fdsup://directions/FAT Viewer?action=UPDATE&amp;creator=factset&amp;DYN_ARGS=TRUE&amp;DOC_NAME=FAT:FQL_AUDITING_CLIENT_TEMPLATE.FAT&amp;display_string=Audit&amp;VAR:KEY=HSZMBYJS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RI&amp;VAR:INDEX=0"}</definedName>
    <definedName function="false" hidden="true" name="_1903__FDSAUDITLINK__" vbProcedure="false">{"fdsup://Directions/FactSet Auditing Viewer?action=AUDIT_VALUE&amp;DB=129&amp;ID1=27976510&amp;VALUEID=02001&amp;SDATE=201002&amp;PERIODTYPE=QTR_STD&amp;window=popup_no_bar&amp;width=385&amp;height=120&amp;START_MAXIMIZED=FALSE&amp;creator=factset&amp;display_string=Audit"}</definedName>
    <definedName function="false" hidden="true" name="_1904__FDSAUDITLINK__" vbProcedure="false">{"fdsup://Directions/FactSet Auditing Viewer?action=AUDIT_VALUE&amp;DB=129&amp;ID1=92043710&amp;VALUEID=02001&amp;SDATE=201001&amp;PERIODTYPE=QTR_STD&amp;window=popup_no_bar&amp;width=385&amp;height=120&amp;START_MAXIMIZED=FALSE&amp;creator=factset&amp;display_string=Audit"}</definedName>
    <definedName function="false" hidden="true" name="_1905__FDSAUDITLINK__" vbProcedure="false">{"fdsup://Directions/FactSet Auditing Viewer?action=AUDIT_VALUE&amp;DB=129&amp;ID1=61770010&amp;VALUEID=02001&amp;SDATE=201002&amp;PERIODTYPE=QTR_STD&amp;window=popup_no_bar&amp;width=385&amp;height=120&amp;START_MAXIMIZED=FALSE&amp;creator=factset&amp;display_string=Audit"}</definedName>
    <definedName function="false" hidden="true" name="_1906__FDSAUDITLINK__" vbProcedure="false">{"fdsup://Directions/FactSet Auditing Viewer?action=AUDIT_VALUE&amp;DB=129&amp;ID1=26483E10&amp;VALUEID=02001&amp;SDATE=201002&amp;PERIODTYPE=QTR_STD&amp;window=popup_no_bar&amp;width=385&amp;height=120&amp;START_MAXIMIZED=FALSE&amp;creator=factset&amp;display_string=Audit"}</definedName>
    <definedName function="false" hidden="true" name="_1907__FDSAUDITLINK__" vbProcedure="false">{"fdsup://Directions/FactSet Auditing Viewer?action=AUDIT_VALUE&amp;DB=129&amp;ID1=55354G10&amp;VALUEID=02001&amp;SDATE=201003&amp;PERIODTYPE=QTR_STD&amp;window=popup_no_bar&amp;width=385&amp;height=120&amp;START_MAXIMIZED=FALSE&amp;creator=factset&amp;display_string=Audit"}</definedName>
    <definedName function="false" hidden="true" name="_1908__FDSAUDITLINK__" vbProcedure="false">{"fdsup://Directions/FactSet Auditing Viewer?action=AUDIT_VALUE&amp;DB=129&amp;ID1=58064510&amp;VALUEID=02001&amp;SDATE=201002&amp;PERIODTYPE=QTR_STD&amp;window=popup_no_bar&amp;width=385&amp;height=120&amp;START_MAXIMIZED=FALSE&amp;creator=factset&amp;display_string=Audit"}</definedName>
    <definedName function="false" hidden="true" name="_1909__FDSAUDITLINK__" vbProcedure="false">{"fdsup://Directions/FactSet Auditing Viewer?action=AUDIT_VALUE&amp;DB=129&amp;ID1=88490310&amp;VALUEID=02001&amp;SDATE=201002&amp;PERIODTYPE=QTR_STD&amp;window=popup_no_bar&amp;width=385&amp;height=120&amp;START_MAXIMIZED=FALSE&amp;creator=factset&amp;display_string=Audit"}</definedName>
    <definedName function="false" hidden="true" name="_190__FDSAUDITLINK__" vbProcedure="false">{"fdsup://directions/FAT Viewer?action=UPDATE&amp;creator=factset&amp;DYN_ARGS=TRUE&amp;DOC_NAME=FAT:FQL_AUDITING_CLIENT_TEMPLATE.FAT&amp;display_string=Audit&amp;VAR:KEY=ZALSBORMBW&amp;VAR:QUERY=RkZfRUJJVERBX09QRVIoTFRNLDAsLCwsVVNEKQ==&amp;WINDOW=FIRST_POPUP&amp;HEIGHT=450&amp;WIDTH=450&amp;STAR","T_MAXIMIZED=FALSE&amp;VAR:CALENDAR=US&amp;VAR:SYMBOL=CCBG&amp;VAR:INDEX=0"}</definedName>
    <definedName function="false" hidden="true" name="_1910__FDSAUDITLINK__" vbProcedure="false">{"fdsup://directions/FAT Viewer?action=UPDATE&amp;creator=factset&amp;DYN_ARGS=TRUE&amp;DOC_NAME=FAT:FQL_AUDITING_CLIENT_TEMPLATE.FAT&amp;display_string=Audit&amp;VAR:KEY=BQTYLKZMBE&amp;VAR:QUERY=KEZTTF9ORVRfSU5DKE5PVyxOT1csRlNBLCxVU0QpQEZGX05FVF9JTkMoTFRNUywwLCwsLFVTRCkp&amp;WINDOW=F","IRST_POPUP&amp;HEIGHT=450&amp;WIDTH=450&amp;START_MAXIMIZED=FALSE&amp;VAR:CALENDAR=US&amp;VAR:SYMBOL=BNX&amp;VAR:INDEX=0"}</definedName>
    <definedName function="false" hidden="true" name="_1911__FDSAUDITLINK__" vbProcedure="false">{"fdsup://directions/FAT Viewer?action=UPDATE&amp;creator=factset&amp;DYN_ARGS=TRUE&amp;DOC_NAME=FAT:FQL_AUDITING_CLIENT_TEMPLATE.FAT&amp;display_string=Audit&amp;VAR:KEY=BINOLWBGVQ&amp;VAR:QUERY=KEZTTF9ORVRfSU5DKE5PVyxOT1csRlNBLCxVU0QpQEZGX05FVF9JTkMoTFRNUywwLCwsLFVTRCkp&amp;WINDOW=F","IRST_POPUP&amp;HEIGHT=450&amp;WIDTH=450&amp;START_MAXIMIZED=FALSE&amp;VAR:CALENDAR=US&amp;VAR:SYMBOL=PNSN&amp;VAR:INDEX=0"}</definedName>
    <definedName function="false" hidden="true" name="_1912__FDSAUDITLINK__" vbProcedure="false">{"fdsup://directions/FAT Viewer?action=UPDATE&amp;creator=factset&amp;DYN_ARGS=TRUE&amp;DOC_NAME=FAT:FQL_AUDITING_CLIENT_TEMPLATE.FAT&amp;display_string=Audit&amp;VAR:KEY=VYHGZSPEHS&amp;VAR:QUERY=KEZTTF9ORVRfSU5DKE5PVyxOT1csRlNBLCxVU0QpQEZGX05FVF9JTkMoTFRNUywwLCwsLFVTRCkp&amp;WINDOW=F","IRST_POPUP&amp;HEIGHT=450&amp;WIDTH=450&amp;START_MAXIMIZED=FALSE&amp;VAR:CALENDAR=US&amp;VAR:SYMBOL=TRAD&amp;VAR:INDEX=0"}</definedName>
    <definedName function="false" hidden="true" name="_1913__FDSAUDITLINK__" vbProcedure="false">{"fdsup://directions/FAT Viewer?action=UPDATE&amp;creator=factset&amp;DYN_ARGS=TRUE&amp;DOC_NAME=FAT:FQL_AUDITING_CLIENT_TEMPLATE.FAT&amp;display_string=Audit&amp;VAR:KEY=BKNYZGBCLI&amp;VAR:QUERY=KEZTTF9ORVRfSU5DKE5PVyxOT1csRlNBLCxVU0QpQEZGX05FVF9JTkMoTFRNUywwLCwsLFVTRCkp&amp;WINDOW=F","IRST_POPUP&amp;HEIGHT=450&amp;WIDTH=450&amp;START_MAXIMIZED=FALSE&amp;VAR:CALENDAR=US&amp;VAR:SYMBOL=IBKR&amp;VAR:INDEX=0"}</definedName>
    <definedName function="false" hidden="true" name="_1914__FDSAUDITLINK__" vbProcedure="false">{"fdsup://directions/FAT Viewer?action=UPDATE&amp;creator=factset&amp;DYN_ARGS=TRUE&amp;DOC_NAME=FAT:FQL_AUDITING_CLIENT_TEMPLATE.FAT&amp;display_string=Audit&amp;VAR:KEY=DOHSFOLQPG&amp;VAR:QUERY=KEZTTF9ORVRfSU5DKE5PVyxOT1csRlNBLCxVU0QpQEZGX05FVF9JTkMoTFRNUywwLCwsLFVTRCkp&amp;WINDOW=F","IRST_POPUP&amp;HEIGHT=450&amp;WIDTH=450&amp;START_MAXIMIZED=FALSE&amp;VAR:CALENDAR=US&amp;VAR:SYMBOL=OXPS&amp;VAR:INDEX=0"}</definedName>
    <definedName function="false" hidden="true" name="_1915__FDSAUDITLINK__" vbProcedure="false">{"fdsup://directions/FAT Viewer?action=UPDATE&amp;creator=factset&amp;DYN_ARGS=TRUE&amp;DOC_NAME=FAT:FQL_AUDITING_CLIENT_TEMPLATE.FAT&amp;display_string=Audit&amp;VAR:KEY=FIBIRUVSTG&amp;VAR:QUERY=KEZTTF9ORVRfSU5DKE5PVyxOT1csRlNBLCxVU0QpQEZGX05FVF9JTkMoTFRNUywwLCwsLFVTRCkp&amp;WINDOW=F","IRST_POPUP&amp;HEIGHT=450&amp;WIDTH=450&amp;START_MAXIMIZED=FALSE&amp;VAR:CALENDAR=US&amp;VAR:SYMBOL=ETFC&amp;VAR:INDEX=0"}</definedName>
    <definedName function="false" hidden="true" name="_1916__FDSAUDITLINK__" vbProcedure="false">{"fdsup://directions/FAT Viewer?action=UPDATE&amp;creator=factset&amp;DYN_ARGS=TRUE&amp;DOC_NAME=FAT:FQL_AUDITING_CLIENT_TEMPLATE.FAT&amp;display_string=Audit&amp;VAR:KEY=HKFEDSLCPE&amp;VAR:QUERY=KEZTTF9ORVRfSU5DKE5PVyxOT1csRlNBLCxVU0QpQEZGX05FVF9JTkMoTFRNUywwLCwsLFVTRCkp&amp;WINDOW=F","IRST_POPUP&amp;HEIGHT=450&amp;WIDTH=450&amp;START_MAXIMIZED=FALSE&amp;VAR:CALENDAR=US&amp;VAR:SYMBOL=AMTD&amp;VAR:INDEX=0"}</definedName>
    <definedName function="false" hidden="true" name="_1917__FDSAUDITLINK__" vbProcedure="false">{"fdsup://directions/FAT Viewer?action=UPDATE&amp;creator=factset&amp;DYN_ARGS=TRUE&amp;DOC_NAME=FAT:FQL_AUDITING_CLIENT_TEMPLATE.FAT&amp;display_string=Audit&amp;VAR:KEY=FMHCZUHALU&amp;VAR:QUERY=KEZTTF9ORVRfSU5DKE5PVyxOT1csRlNBLCxVU0QpQEZGX05FVF9JTkMoTFRNUywwLCwsLFVTRCkp&amp;WINDOW=F","IRST_POPUP&amp;HEIGHT=450&amp;WIDTH=450&amp;START_MAXIMIZED=FALSE&amp;VAR:CALENDAR=US&amp;VAR:SYMBOL=SCHW&amp;VAR:INDEX=0"}</definedName>
    <definedName function="false" hidden="true" name="_1918__FDSAUDITLINK__" vbProcedure="false">{"fdsup://directions/FAT Viewer?action=UPDATE&amp;creator=factset&amp;DYN_ARGS=TRUE&amp;DOC_NAME=FAT:FQL_AUDITING_CLIENT_TEMPLATE.FAT&amp;display_string=Audit&amp;VAR:KEY=VQRMVAPOJ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NX&amp;VAR:INDEX=0"}</definedName>
    <definedName function="false" hidden="true" name="_1919__FDSAUDITLINK__" vbProcedure="false">{"fdsup://Directions/FactSet Auditing Viewer?action=AUDIT_VALUE&amp;DB=129&amp;ID1=06647010&amp;VALUEID=02001&amp;SDATE=201002&amp;PERIODTYPE=QTR_STD&amp;window=popup_no_bar&amp;width=385&amp;height=120&amp;START_MAXIMIZED=FALSE&amp;creator=factset&amp;display_string=Audit"}</definedName>
    <definedName function="false" hidden="true" name="_191__FDSAUDITLINK__" vbProcedure="false">{"fdsup://directions/FAT Viewer?action=UPDATE&amp;creator=factset&amp;DYN_ARGS=TRUE&amp;DOC_NAME=FAT:FQL_AUDITING_CLIENT_TEMPLATE.FAT&amp;display_string=Audit&amp;VAR:KEY=FQHOPUHABE&amp;VAR:QUERY=RkZfRUJJVERBX09QRVIoTFRNLDAsLCwsVVNEKQ==&amp;WINDOW=FIRST_POPUP&amp;HEIGHT=450&amp;WIDTH=450&amp;STAR","T_MAXIMIZED=FALSE&amp;VAR:CALENDAR=US&amp;VAR:SYMBOL=CSFS&amp;VAR:INDEX=0"}</definedName>
    <definedName function="false" hidden="true" name="_1920__FDSAUDITLINK__" vbProcedure="false">{"fdsup://directions/FAT Viewer?action=UPDATE&amp;creator=factset&amp;DYN_ARGS=TRUE&amp;DOC_NAME=FAT:FQL_AUDITING_CLIENT_TEMPLATE.FAT&amp;display_string=Audit&amp;VAR:KEY=PKZENWLOTO&amp;VAR:QUERY=KEZTTF9ORVRfSU5DKE5PVyxOT1csRlNBLCxVU0QpQEZGX05FVF9JTkMoTFRNUywwLCwsLFVTRCkp&amp;WINDOW=F","IRST_POPUP&amp;HEIGHT=450&amp;WIDTH=450&amp;START_MAXIMIZED=FALSE&amp;VAR:CALENDAR=US&amp;VAR:SYMBOL=ARGL&amp;VAR:INDEX=0"}</definedName>
    <definedName function="false" hidden="true" name="_1921__FDSAUDITLINK__" vbProcedure="false">{"fdsup://directions/FAT Viewer?action=UPDATE&amp;creator=factset&amp;DYN_ARGS=TRUE&amp;DOC_NAME=FAT:FQL_AUDITING_CLIENT_TEMPLATE.FAT&amp;display_string=Audit&amp;VAR:KEY=LWZWZMRGXS&amp;VAR:QUERY=KEZTTF9ORVRfSU5DKE5PVyxOT1csRlNBLCxVU0QpQEZGX05FVF9JTkMoTFRNUywwLCwsLFVTRCkp&amp;WINDOW=F","IRST_POPUP&amp;HEIGHT=450&amp;WIDTH=450&amp;START_MAXIMIZED=FALSE&amp;VAR:CALENDAR=US&amp;VAR:SYMBOL=HDHL&amp;VAR:INDEX=0"}</definedName>
    <definedName function="false" hidden="true" name="_1922__FDSAUDITLINK__" vbProcedure="false">{"fdsup://directions/FAT Viewer?action=UPDATE&amp;creator=factset&amp;DYN_ARGS=TRUE&amp;DOC_NAME=FAT:FQL_AUDITING_CLIENT_TEMPLATE.FAT&amp;display_string=Audit&amp;VAR:KEY=FWNGTSHCRM&amp;VAR:QUERY=KEZTTF9ORVRfSU5DKE5PVyxOT1csRlNBLCxVU0QpQEZGX05FVF9JTkMoTFRNUywwLCwsLFVTRCkp&amp;WINDOW=F","IRST_POPUP&amp;HEIGHT=450&amp;WIDTH=450&amp;START_MAXIMIZED=FALSE&amp;VAR:CALENDAR=US&amp;VAR:SYMBOL=B1H0K1&amp;VAR:INDEX=0"}</definedName>
    <definedName function="false" hidden="true" name="_1923__FDSAUDITLINK__" vbProcedure="false">{"fdsup://directions/FAT Viewer?action=UPDATE&amp;creator=factset&amp;DYN_ARGS=TRUE&amp;DOC_NAME=FAT:FQL_AUDITING_CLIENT_TEMPLATE.FAT&amp;display_string=Audit&amp;VAR:KEY=ZQJCHEDMHM&amp;VAR:QUERY=KEZTTF9ORVRfSU5DKE5PVyxOT1csRlNBLCxVU0QpQEZGX05FVF9JTkMoTFRNUywwLCwsLFVTRCkp&amp;WINDOW=F","IRST_POPUP&amp;HEIGHT=450&amp;WIDTH=450&amp;START_MAXIMIZED=FALSE&amp;VAR:CALENDAR=US&amp;VAR:SYMBOL=BGCP&amp;VAR:INDEX=0"}</definedName>
    <definedName function="false" hidden="true" name="_1924__FDSAUDITLINK__" vbProcedure="false">{"fdsup://directions/FAT Viewer?action=UPDATE&amp;creator=factset&amp;DYN_ARGS=TRUE&amp;DOC_NAME=FAT:FQL_AUDITING_CLIENT_TEMPLATE.FAT&amp;display_string=Audit&amp;VAR:KEY=NSRKZODUJE&amp;VAR:QUERY=KEZTTF9ORVRfSU5DKE5PVyxOT1csRlNBLCxVU0QpQEZGX05FVF9JTkMoTFRNUywwLCwsLFVTRCkp&amp;WINDOW=F","IRST_POPUP&amp;HEIGHT=450&amp;WIDTH=450&amp;START_MAXIMIZED=FALSE&amp;VAR:CALENDAR=US&amp;VAR:SYMBOL=GFIG&amp;VAR:INDEX=0"}</definedName>
    <definedName function="false" hidden="true" name="_1925__FDSAUDITLINK__" vbProcedure="false">{"fdsup://directions/FAT Viewer?action=UPDATE&amp;creator=factset&amp;DYN_ARGS=TRUE&amp;DOC_NAME=FAT:FQL_AUDITING_CLIENT_TEMPLATE.FAT&amp;display_string=Audit&amp;VAR:KEY=PSXALSJMVY&amp;VAR:QUERY=KEZTTF9ORVRfSU5DKE5PVyxOT1csRlNBLCxVU0QpQEZGX05FVF9JTkMoTFRNUywwLCwsLFVTRCkp&amp;WINDOW=F","IRST_POPUP&amp;HEIGHT=450&amp;WIDTH=450&amp;START_MAXIMIZED=FALSE&amp;VAR:CALENDAR=US&amp;VAR:SYMBOL=739162&amp;VAR:INDEX=0"}</definedName>
    <definedName function="false" hidden="true" name="_1926__FDSAUDITLINK__" vbProcedure="false">{"fdsup://directions/FAT Viewer?action=UPDATE&amp;creator=factset&amp;DYN_ARGS=TRUE&amp;DOC_NAME=FAT:FQL_AUDITING_CLIENT_TEMPLATE.FAT&amp;display_string=Audit&amp;VAR:KEY=HSBKFULGXU&amp;VAR:QUERY=KEZTTF9ORVRfSU5DKE5PVyxOT1csRlNBLCxVU0QpQEZGX05FVF9JTkMoTFRNUywwLCwsLFVTRCkp&amp;WINDOW=F","IRST_POPUP&amp;HEIGHT=450&amp;WIDTH=450&amp;START_MAXIMIZED=FALSE&amp;VAR:CALENDAR=US&amp;VAR:SYMBOL=NITE&amp;VAR:INDEX=0"}</definedName>
    <definedName function="false" hidden="true" name="_1927__FDSAUDITLINK__" vbProcedure="false">{"fdsup://directions/FAT Viewer?action=UPDATE&amp;creator=factset&amp;DYN_ARGS=TRUE&amp;DOC_NAME=FAT:FQL_AUDITING_CLIENT_TEMPLATE.FAT&amp;display_string=Audit&amp;VAR:KEY=XCHCVKJWRM&amp;VAR:QUERY=KEZTTF9ORVRfSU5DKE5PVyxOT1csRlNBLCxVU0QpQEZGX05FVF9JTkMoTFRNUywwLCwsLFVTRCkp&amp;WINDOW=F","IRST_POPUP&amp;HEIGHT=450&amp;WIDTH=450&amp;START_MAXIMIZED=FALSE&amp;VAR:CALENDAR=US&amp;VAR:SYMBOL=B1H0DZ&amp;VAR:INDEX=0"}</definedName>
    <definedName function="false" hidden="true" name="_1928__FDSAUDITLINK__" vbProcedure="false">{"fdsup://directions/FAT Viewer?action=UPDATE&amp;creator=factset&amp;DYN_ARGS=TRUE&amp;DOC_NAME=FAT:FQL_AUDITING_CLIENT_TEMPLATE.FAT&amp;display_string=Audit&amp;VAR:KEY=BMFIBCJITQ&amp;VAR:QUERY=KEZTTF9ORVRfSU5DKE5PVyxOT1csRlNBLCxVU0QpQEZGX05FVF9JTkMoTFRNUywwLCwsLFVTRCkp&amp;WINDOW=F","IRST_POPUP&amp;HEIGHT=450&amp;WIDTH=450&amp;START_MAXIMIZED=FALSE&amp;VAR:CALENDAR=US&amp;VAR:SYMBOL=338721&amp;VAR:INDEX=0"}</definedName>
    <definedName function="false" hidden="true" name="_1929__FDSAUDITLINK__" vbProcedure="false">{"fdsup://Directions/FactSet Auditing Viewer?action=AUDIT_VALUE&amp;DB=129&amp;ID1=B1H0K1&amp;VALUEID=02001&amp;SDATE=201001&amp;PERIODTYPE=SEMI_STD&amp;window=popup_no_bar&amp;width=385&amp;height=120&amp;START_MAXIMIZED=FALSE&amp;creator=factset&amp;display_string=Audit"}</definedName>
    <definedName function="false" hidden="true" name="_192__FDSAUDITLINK__" vbProcedure="false">{"fdsup://directions/FAT Viewer?action=UPDATE&amp;creator=factset&amp;DYN_ARGS=TRUE&amp;DOC_NAME=FAT:FQL_AUDITING_CLIENT_TEMPLATE.FAT&amp;display_string=Audit&amp;VAR:KEY=XUPUPMRENM&amp;VAR:QUERY=RkZfRUJJVERBX09QRVIoTFRNLDAsLCwsVVNEKQ==&amp;WINDOW=FIRST_POPUP&amp;HEIGHT=450&amp;WIDTH=450&amp;STAR","T_MAXIMIZED=FALSE&amp;VAR:CALENDAR=US&amp;VAR:SYMBOL=TPLM&amp;VAR:INDEX=0"}</definedName>
    <definedName function="false" hidden="true" name="_1930__FDSAUDITLINK__" vbProcedure="false">{"fdsup://Directions/FactSet Auditing Viewer?action=AUDIT_VALUE&amp;DB=129&amp;ID1=05541T10&amp;VALUEID=02001&amp;SDATE=201002&amp;PERIODTYPE=QTR_STD&amp;window=popup_no_bar&amp;width=385&amp;height=120&amp;START_MAXIMIZED=FALSE&amp;creator=factset&amp;display_string=Audit"}</definedName>
    <definedName function="false" hidden="true" name="_1931__FDSAUDITLINK__" vbProcedure="false">{"fdsup://Directions/FactSet Auditing Viewer?action=AUDIT_VALUE&amp;DB=129&amp;ID1=36165220&amp;VALUEID=02001&amp;SDATE=201002&amp;PERIODTYPE=QTR_STD&amp;window=popup_no_bar&amp;width=385&amp;height=120&amp;START_MAXIMIZED=FALSE&amp;creator=factset&amp;display_string=Audit"}</definedName>
    <definedName function="false" hidden="true" name="_1932__FDSAUDITLINK__" vbProcedure="false">{"fdsup://Directions/FactSet Auditing Viewer?action=AUDIT_VALUE&amp;DB=129&amp;ID1=739162&amp;VALUEID=02001&amp;SDATE=201001&amp;PERIODTYPE=SEMI_STD&amp;window=popup_no_bar&amp;width=385&amp;height=120&amp;START_MAXIMIZED=FALSE&amp;creator=factset&amp;display_string=Audit"}</definedName>
    <definedName function="false" hidden="true" name="_1933__FDSAUDITLINK__" vbProcedure="false">{"fdsup://Directions/FactSet Auditing Viewer?action=AUDIT_VALUE&amp;DB=129&amp;ID1=49900510&amp;VALUEID=02001&amp;SDATE=201003&amp;PERIODTYPE=QTR_STD&amp;window=popup_no_bar&amp;width=385&amp;height=120&amp;START_MAXIMIZED=FALSE&amp;creator=factset&amp;display_string=Audit"}</definedName>
    <definedName function="false" hidden="true" name="_1934__FDSAUDITLINK__" vbProcedure="false">{"fdsup://Directions/FactSet Auditing Viewer?action=AUDIT_VALUE&amp;DB=129&amp;ID1=B1H0DZ&amp;VALUEID=02001&amp;SDATE=201001&amp;PERIODTYPE=SEMI_STD&amp;window=popup_no_bar&amp;width=385&amp;height=120&amp;START_MAXIMIZED=FALSE&amp;creator=factset&amp;display_string=Audit"}</definedName>
    <definedName function="false" hidden="true" name="_1935__FDSAUDITLINK__" vbProcedure="false">{"fdsup://directions/FAT Viewer?action=UPDATE&amp;creator=factset&amp;DYN_ARGS=TRUE&amp;DOC_NAME=FAT:FQL_AUDITING_CLIENT_TEMPLATE.FAT&amp;display_string=Audit&amp;VAR:KEY=NYHMVUXSNO&amp;VAR:QUERY=KEZTTF9ORVRfSU5DKE5PVyxOT1csRlNBLCxVU0QpQEZGX05FVF9JTkMoTFRNUywwLCwsLFVTRCkp&amp;WINDOW=F","IRST_POPUP&amp;HEIGHT=450&amp;WIDTH=450&amp;START_MAXIMIZED=FALSE&amp;VAR:CALENDAR=US&amp;VAR:SYMBOL=NDAQ&amp;VAR:INDEX=0"}</definedName>
    <definedName function="false" hidden="true" name="_1936__FDSAUDITLINK__" vbProcedure="false">{"fdsup://directions/FAT Viewer?action=UPDATE&amp;creator=factset&amp;DYN_ARGS=TRUE&amp;DOC_NAME=FAT:FQL_AUDITING_CLIENT_TEMPLATE.FAT&amp;display_string=Audit&amp;VAR:KEY=DYLYXOFEJI&amp;VAR:QUERY=KEZTTF9ORVRfSU5DKE5PVyxOT1csRlNBLCxVU0QpQEZGX05FVF9JTkMoTFRNUywwLCwsLFVTRCkp&amp;WINDOW=F","IRST_POPUP&amp;HEIGHT=450&amp;WIDTH=450&amp;START_MAXIMIZED=FALSE&amp;VAR:CALENDAR=US&amp;VAR:SYMBOL=NYX&amp;VAR:INDEX=0"}</definedName>
    <definedName function="false" hidden="true" name="_1937__FDSAUDITLINK__" vbProcedure="false">{"fdsup://directions/FAT Viewer?action=UPDATE&amp;creator=factset&amp;DYN_ARGS=TRUE&amp;DOC_NAME=FAT:FQL_AUDITING_CLIENT_TEMPLATE.FAT&amp;display_string=Audit&amp;VAR:KEY=BYDYDWHMRU&amp;VAR:QUERY=KEZTTF9ORVRfSU5DKE5PVyxOT1csRlNBLCxVU0QpQEZGX05FVF9JTkMoTFRNUywwLCwsLFVTRCkp&amp;WINDOW=F","IRST_POPUP&amp;HEIGHT=450&amp;WIDTH=450&amp;START_MAXIMIZED=FALSE&amp;VAR:CALENDAR=US&amp;VAR:SYMBOL=323868&amp;VAR:INDEX=0"}</definedName>
    <definedName function="false" hidden="true" name="_1938__FDSAUDITLINK__" vbProcedure="false">{"fdsup://directions/FAT Viewer?action=UPDATE&amp;creator=factset&amp;DYN_ARGS=TRUE&amp;DOC_NAME=FAT:FQL_AUDITING_CLIENT_TEMPLATE.FAT&amp;display_string=Audit&amp;VAR:KEY=TWZCNGVEDQ&amp;VAR:QUERY=KEZTTF9ORVRfSU5DKE5PVyxOT1csRlNBLCxVU0QpQEZGX05FVF9JTkMoTFRNUywwLCwsLFVTRCkp&amp;WINDOW=F","IRST_POPUP&amp;HEIGHT=450&amp;WIDTH=450&amp;START_MAXIMIZED=FALSE&amp;VAR:CALENDAR=US&amp;VAR:SYMBOL=ICE&amp;VAR:INDEX=0"}</definedName>
    <definedName function="false" hidden="true" name="_1939__FDSAUDITLINK__" vbProcedure="false">{"fdsup://directions/FAT Viewer?action=UPDATE&amp;creator=factset&amp;DYN_ARGS=TRUE&amp;DOC_NAME=FAT:FQL_AUDITING_CLIENT_TEMPLATE.FAT&amp;display_string=Audit&amp;VAR:KEY=LOZSTIXWTW&amp;VAR:QUERY=KEZTTF9ORVRfSU5DKE5PVyxOT1csRlNBLCxVU0QpQEZGX05FVF9JTkMoTFRNUywwLCwsLFVTRCkp&amp;WINDOW=F","IRST_POPUP&amp;HEIGHT=450&amp;WIDTH=450&amp;START_MAXIMIZED=FALSE&amp;VAR:CALENDAR=US&amp;VAR:SYMBOL=206192&amp;VAR:INDEX=0"}</definedName>
    <definedName function="false" hidden="true" name="_193__FDSAUDITLINK__" vbProcedure="false">{"fdsup://directions/FAT Viewer?action=UPDATE&amp;creator=factset&amp;DYN_ARGS=TRUE&amp;DOC_NAME=FAT:FQL_AUDITING_CLIENT_TEMPLATE.FAT&amp;display_string=Audit&amp;VAR:KEY=DOPAPMBODU&amp;VAR:QUERY=RkZfRUJJVERBX09QRVIoTFRNLDAsLCwsVVNEKQ==&amp;WINDOW=FIRST_POPUP&amp;HEIGHT=450&amp;WIDTH=450&amp;STAR","T_MAXIMIZED=FALSE&amp;VAR:CALENDAR=US&amp;VAR:SYMBOL=RIG&amp;VAR:INDEX=0"}</definedName>
    <definedName function="false" hidden="true" name="_1940__FDSAUDITLINK__" vbProcedure="false">{"fdsup://directions/FAT Viewer?action=UPDATE&amp;creator=factset&amp;DYN_ARGS=TRUE&amp;DOC_NAME=FAT:FQL_AUDITING_CLIENT_TEMPLATE.FAT&amp;display_string=Audit&amp;VAR:KEY=VYDQTWRYPI&amp;VAR:QUERY=KEZTTF9ORVRfSU5DKE5PVyxOT1csRlNBLCxVU0QpQEZGX05FVF9JTkMoTFRNUywwLCwsLFVTRCkp&amp;WINDOW=F","IRST_POPUP&amp;HEIGHT=450&amp;WIDTH=450&amp;START_MAXIMIZED=FALSE&amp;VAR:CALENDAR=US&amp;VAR:SYMBOL=630386&amp;VAR:INDEX=0"}</definedName>
    <definedName function="false" hidden="true" name="_1941__FDSAUDITLINK__" vbProcedure="false">{"fdsup://directions/FAT Viewer?action=UPDATE&amp;creator=factset&amp;DYN_ARGS=TRUE&amp;DOC_NAME=FAT:FQL_AUDITING_CLIENT_TEMPLATE.FAT&amp;display_string=Audit&amp;VAR:KEY=TMRIFUPY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206192&amp;VAR:INDEX=0"}</definedName>
    <definedName function="false" hidden="true" name="_1942__FDSAUDITLINK__" vbProcedure="false">{"fdsup://directions/FAT Viewer?action=UPDATE&amp;creator=factset&amp;DYN_ARGS=TRUE&amp;DOC_NAME=FAT:FQL_AUDITING_CLIENT_TEMPLATE.FAT&amp;display_string=Audit&amp;VAR:KEY=PCDAFOJYZC&amp;VAR:QUERY=KEZTTF9ORVRfSU5DKE5PVyxOT1csRlNBLCxVU0QpQEZGX05FVF9JTkMoTFRNUywwLCwsLFVTRCkp&amp;WINDOW=F","IRST_POPUP&amp;HEIGHT=450&amp;WIDTH=450&amp;START_MAXIMIZED=FALSE&amp;VAR:CALENDAR=US&amp;VAR:SYMBOL=TSS&amp;VAR:INDEX=0"}</definedName>
    <definedName function="false" hidden="true" name="_1943__FDSAUDITLINK__" vbProcedure="false">{"fdsup://directions/FAT Viewer?action=UPDATE&amp;creator=factset&amp;DYN_ARGS=TRUE&amp;DOC_NAME=FAT:FQL_AUDITING_CLIENT_TEMPLATE.FAT&amp;display_string=Audit&amp;VAR:KEY=RAPONKHWNW&amp;VAR:QUERY=KEZTTF9ORVRfSU5DKE5PVyxOT1csRlNBLCxVU0QpQEZGX05FVF9JTkMoTFRNUywwLCwsLFVTRCkp&amp;WINDOW=F","IRST_POPUP&amp;HEIGHT=450&amp;WIDTH=450&amp;START_MAXIMIZED=FALSE&amp;VAR:CALENDAR=US&amp;VAR:SYMBOL=CME&amp;VAR:INDEX=0"}</definedName>
    <definedName function="false" hidden="true" name="_1944__FDSAUDITLINK__" vbProcedure="false">{"fdsup://directions/FAT Viewer?action=UPDATE&amp;creator=factset&amp;DYN_ARGS=TRUE&amp;DOC_NAME=FAT:FQL_AUDITING_CLIENT_TEMPLATE.FAT&amp;display_string=Audit&amp;VAR:KEY=JULEXWRSRA&amp;VAR:QUERY=KEZTTF9ORVRfSU5DKE5PVyxOT1csRlNBLCxVU0QpQEZGX05FVF9JTkMoTFRNUywwLCwsLFVTRCkp&amp;WINDOW=F","IRST_POPUP&amp;HEIGHT=450&amp;WIDTH=450&amp;START_MAXIMIZED=FALSE&amp;VAR:CALENDAR=US&amp;VAR:SYMBOL=626735&amp;VAR:INDEX=0"}</definedName>
    <definedName function="false" hidden="true" name="_1945__FDSAUDITLINK__" vbProcedure="false">{"fdsup://directions/FAT Viewer?action=UPDATE&amp;creator=factset&amp;DYN_ARGS=TRUE&amp;DOC_NAME=FAT:FQL_AUDITING_CLIENT_TEMPLATE.FAT&amp;display_string=Audit&amp;VAR:KEY=ZWTUPABW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323868&amp;VAR:INDEX=0"}</definedName>
    <definedName function="false" hidden="true" name="_1946__FDSAUDITLINK__" vbProcedure="false">{"fdsup://directions/FAT Viewer?action=UPDATE&amp;creator=factset&amp;DYN_ARGS=TRUE&amp;DOC_NAME=FAT:FQL_AUDITING_CLIENT_TEMPLATE.FAT&amp;display_string=Audit&amp;VAR:KEY=BGJAFGLE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YX&amp;VAR:INDEX=0"}</definedName>
    <definedName function="false" hidden="true" name="_1947__FDSAUDITLINK__" vbProcedure="false">{"fdsup://directions/FAT Viewer?action=UPDATE&amp;creator=factset&amp;DYN_ARGS=TRUE&amp;DOC_NAME=FAT:FQL_AUDITING_CLIENT_TEMPLATE.FAT&amp;display_string=Audit&amp;VAR:KEY=VYBITWFE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SWJX&amp;VAR:INDEX=0"}</definedName>
    <definedName function="false" hidden="true" name="_1948__FDSAUDITLINK__" vbProcedure="false">{"fdsup://Directions/FactSet Auditing Viewer?action=AUDIT_VALUE&amp;DB=129&amp;ID1=206192&amp;VALUEID=02001&amp;SDATE=201002&amp;PERIODTYPE=QTR_STD&amp;window=popup_no_bar&amp;width=385&amp;height=120&amp;START_MAXIMIZED=FALSE&amp;creator=factset&amp;display_string=Audit"}</definedName>
    <definedName function="false" hidden="true" name="_1949__FDSAUDITLINK__" vbProcedure="false">{"fdsup://directions/FAT Viewer?action=UPDATE&amp;creator=factset&amp;DYN_ARGS=TRUE&amp;DOC_NAME=FAT:FQL_AUDITING_CLIENT_TEMPLATE.FAT&amp;display_string=Audit&amp;VAR:KEY=JGVUXOZM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612922&amp;VAR:INDEX=0"}</definedName>
    <definedName function="false" hidden="true" name="_194__FDSAUDITLINK__" vbProcedure="false">{"fdsup://directions/FAT Viewer?action=UPDATE&amp;creator=factset&amp;DYN_ARGS=TRUE&amp;DOC_NAME=FAT:FQL_AUDITING_CLIENT_TEMPLATE.FAT&amp;display_string=Audit&amp;VAR:KEY=DQBWTUHWRG&amp;VAR:QUERY=KEZTTF9ORVRfSU5DKE5PVyxOT1csRlNBLCxVU0QpQEZGX05FVF9JTkMoTFRNUywwLCwsLFVTRCkp&amp;WINDOW=F","IRST_POPUP&amp;HEIGHT=450&amp;WIDTH=450&amp;START_MAXIMIZED=FALSE&amp;VAR:CALENDAR=US&amp;VAR:SYMBOL=SPSC&amp;VAR:INDEX=0"}</definedName>
    <definedName function="false" hidden="true" name="_1950__FDSAUDITLINK__" vbProcedure="false">{"fdsup://directions/FAT Viewer?action=UPDATE&amp;creator=factset&amp;DYN_ARGS=TRUE&amp;DOC_NAME=FAT:FQL_AUDITING_CLIENT_TEMPLATE.FAT&amp;display_string=Audit&amp;VAR:KEY=ZWDGBENUBO&amp;VAR:QUERY=KEZTTF9ORVRfSU5DKE5PVyxOT1csRlNBLCxVU0QpQEZGX05FVF9JTkMoTFRNUywwLCwsLFVTRCkp&amp;WINDOW=F","IRST_POPUP&amp;HEIGHT=450&amp;WIDTH=450&amp;START_MAXIMIZED=FALSE&amp;VAR:CALENDAR=US&amp;VAR:SYMBOL=612922&amp;VAR:INDEX=0"}</definedName>
    <definedName function="false" hidden="true" name="_1951__FDSAUDITLINK__" vbProcedure="false">{"fdsup://directions/FAT Viewer?action=UPDATE&amp;creator=factset&amp;DYN_ARGS=TRUE&amp;DOC_NAME=FAT:FQL_AUDITING_CLIENT_TEMPLATE.FAT&amp;display_string=Audit&amp;VAR:KEY=PMTEREJGNE&amp;VAR:QUERY=KEZTTF9ORVRfSU5DKE5PVyxOT1csRlNBLCxVU0QpQEZGX05FVF9JTkMoTFRNUywwLCwsLFVTRCkp&amp;WINDOW=F","IRST_POPUP&amp;HEIGHT=450&amp;WIDTH=450&amp;START_MAXIMIZED=FALSE&amp;VAR:CALENDAR=US&amp;VAR:SYMBOL=B0SWJX&amp;VAR:INDEX=0"}</definedName>
    <definedName function="false" hidden="true" name="_1952__FDSAUDITLINK__" vbProcedure="false">{"fdsup://Directions/FactSet Auditing Viewer?action=AUDIT_VALUE&amp;DB=129&amp;ID1=62949110&amp;VALUEID=02001&amp;SDATE=201002&amp;PERIODTYPE=QTR_STD&amp;window=popup_no_bar&amp;width=385&amp;height=120&amp;START_MAXIMIZED=FALSE&amp;creator=factset&amp;display_string=Audit"}</definedName>
    <definedName function="false" hidden="true" name="_1953__FDSAUDITLINK__" vbProcedure="false">{"fdsup://Directions/FactSet Auditing Viewer?action=AUDIT_VALUE&amp;DB=129&amp;ID1=630386&amp;VALUEID=02001&amp;SDATE=201004&amp;PERIODTYPE=QTR_STD&amp;window=popup_no_bar&amp;width=385&amp;height=120&amp;START_MAXIMIZED=FALSE&amp;creator=factset&amp;display_string=Audit"}</definedName>
    <definedName function="false" hidden="true" name="_1954__FDSAUDITLINK__" vbProcedure="false">{"fdsup://Directions/FactSet Auditing Viewer?action=AUDIT_VALUE&amp;DB=129&amp;ID1=62949110&amp;VALUEID=02001&amp;SDATE=201002&amp;PERIODTYPE=QTR_STD&amp;window=popup_no_bar&amp;width=385&amp;height=120&amp;START_MAXIMIZED=FALSE&amp;creator=factset&amp;display_string=Audit"}</definedName>
    <definedName function="false" hidden="true" name="_1955__FDSAUDITLINK__" vbProcedure="false">{"fdsup://directions/FAT Viewer?action=UPDATE&amp;creator=factset&amp;DYN_ARGS=TRUE&amp;DOC_NAME=FAT:FQL_AUDITING_CLIENT_TEMPLATE.FAT&amp;display_string=Audit&amp;VAR:KEY=PGVAVKFK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702196&amp;VAR:INDEX=0"}</definedName>
    <definedName function="false" hidden="true" name="_1956__FDSAUDITLINK__" vbProcedure="false">{"fdsup://Directions/FactSet Auditing Viewer?action=AUDIT_VALUE&amp;DB=129&amp;ID1=12572Q10&amp;VALUEID=02001&amp;SDATE=201002&amp;PERIODTYPE=QTR_STD&amp;window=popup_no_bar&amp;width=385&amp;height=120&amp;START_MAXIMIZED=FALSE&amp;creator=factset&amp;display_string=Audit"}</definedName>
    <definedName function="false" hidden="true" name="_1957__FDSAUDITLINK__" vbProcedure="false">{"fdsup://Directions/FactSet Auditing Viewer?action=AUDIT_VALUE&amp;DB=129&amp;ID1=626735&amp;VALUEID=02001&amp;SDATE=201002&amp;PERIODTYPE=QTR_STD&amp;window=popup_no_bar&amp;width=385&amp;height=120&amp;START_MAXIMIZED=FALSE&amp;creator=factset&amp;display_string=Audit"}</definedName>
    <definedName function="false" hidden="true" name="_1958__FDSAUDITLINK__" vbProcedure="false">{"fdsup://Directions/FactSet Auditing Viewer?action=AUDIT_VALUE&amp;DB=129&amp;ID1=63110310&amp;VALUEID=02001&amp;SDATE=201002&amp;PERIODTYPE=QTR_STD&amp;window=popup_no_bar&amp;width=385&amp;height=120&amp;START_MAXIMIZED=FALSE&amp;creator=factset&amp;display_string=Audit"}</definedName>
    <definedName function="false" hidden="true" name="_1959__FDSAUDITLINK__" vbProcedure="false">{"fdsup://directions/FAT Viewer?action=UPDATE&amp;creator=factset&amp;DYN_ARGS=TRUE&amp;DOC_NAME=FAT:FQL_AUDITING_CLIENT_TEMPLATE.FAT&amp;display_string=Audit&amp;VAR:KEY=PYNQXOHGNO&amp;VAR:QUERY=KEZTTF9ORVRfSU5DKE5PVyxOT1csRlNBLCxVU0QpQEZGX05FVF9JTkMoTFRNUywwLCwsLFVTRCkp&amp;WINDOW=F","IRST_POPUP&amp;HEIGHT=450&amp;WIDTH=450&amp;START_MAXIMIZED=FALSE&amp;VAR:CALENDAR=US&amp;VAR:SYMBOL=FNDT&amp;VAR:INDEX=0"}</definedName>
    <definedName function="false" hidden="true" name="_195__FDSAUDITLINK__" vbProcedure="false">{"fdsup://directions/FAT Viewer?action=UPDATE&amp;creator=factset&amp;DYN_ARGS=TRUE&amp;DOC_NAME=FAT:FQL_AUDITING_CLIENT_TEMPLATE.FAT&amp;display_string=Audit&amp;VAR:KEY=BGPQTUVGVY&amp;VAR:QUERY=KEZTTF9ORVRfSU5DKE5PVyxOT1csRlNBLCxVU0QpQEZGX05FVF9JTkMoTFRNUywwLCwsLFVTRCkp&amp;WINDOW=F","IRST_POPUP&amp;HEIGHT=450&amp;WIDTH=450&amp;START_MAXIMIZED=FALSE&amp;VAR:CALENDAR=US&amp;VAR:SYMBOL=CTGX&amp;VAR:INDEX=0"}</definedName>
    <definedName function="false" hidden="true" name="_1960__FDSAUDITLINK__" vbProcedure="false">{"fdsup://directions/FAT Viewer?action=UPDATE&amp;creator=factset&amp;DYN_ARGS=TRUE&amp;DOC_NAME=FAT:FQL_AUDITING_CLIENT_TEMPLATE.FAT&amp;display_string=Audit&amp;VAR:KEY=ZUHAPUFW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ME&amp;VAR:INDEX=0"}</definedName>
    <definedName function="false" hidden="true" name="_1961__FDSAUDITLINK__" vbProcedure="false">{"fdsup://directions/FAT Viewer?action=UPDATE&amp;creator=factset&amp;DYN_ARGS=TRUE&amp;DOC_NAME=FAT:FQL_AUDITING_CLIENT_TEMPLATE.FAT&amp;display_string=Audit&amp;VAR:KEY=XYZWVSPM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626735&amp;VAR:INDEX=0"}</definedName>
    <definedName function="false" hidden="true" name="_1962__FDSAUDITLINK__" vbProcedure="false">{"fdsup://directions/FAT Viewer?action=UPDATE&amp;creator=factset&amp;DYN_ARGS=TRUE&amp;DOC_NAME=FAT:FQL_AUDITING_CLIENT_TEMPLATE.FAT&amp;display_string=Audit&amp;VAR:KEY=TULEDMHIXW&amp;VAR:QUERY=KEZTTF9ORVRfSU5DKE5PVyxOT1csRlNBLCxVU0QpQEZGX05FVF9JTkMoTFRNUywwLCwsLFVTRCkp&amp;WINDOW=F","IRST_POPUP&amp;HEIGHT=450&amp;WIDTH=450&amp;START_MAXIMIZED=FALSE&amp;VAR:CALENDAR=US&amp;VAR:SYMBOL=NMRX&amp;VAR:INDEX=0"}</definedName>
    <definedName function="false" hidden="true" name="_1963__FDSAUDITLINK__" vbProcedure="false">{"fdsup://directions/FAT Viewer?action=UPDATE&amp;creator=factset&amp;DYN_ARGS=TRUE&amp;DOC_NAME=FAT:FQL_AUDITING_CLIENT_TEMPLATE.FAT&amp;display_string=Audit&amp;VAR:KEY=TODCLWFSDC&amp;VAR:QUERY=KEZTTF9ORVRfSU5DKE5PVyxOT1csRlNBLCxVU0QpQEZGX05FVF9JTkMoTFRNUywwLCwsLFVTRCkp&amp;WINDOW=F","IRST_POPUP&amp;HEIGHT=450&amp;WIDTH=450&amp;START_MAXIMIZED=FALSE&amp;VAR:CALENDAR=US&amp;VAR:SYMBOL=PCTI&amp;VAR:INDEX=0"}</definedName>
    <definedName function="false" hidden="true" name="_1964__FDSAUDITLINK__" vbProcedure="false">{"fdsup://directions/FAT Viewer?action=UPDATE&amp;creator=factset&amp;DYN_ARGS=TRUE&amp;DOC_NAME=FAT:FQL_AUDITING_CLIENT_TEMPLATE.FAT&amp;display_string=Audit&amp;VAR:KEY=BMJMPAVSJK&amp;VAR:QUERY=KEZTTF9ORVRfSU5DKE5PVyxOT1csRlNBLCxVU0QpQEZGX05FVF9JTkMoTFRNUywwLCwsLFVTRCkp&amp;WINDOW=F","IRST_POPUP&amp;HEIGHT=450&amp;WIDTH=450&amp;START_MAXIMIZED=FALSE&amp;VAR:CALENDAR=US&amp;VAR:SYMBOL=WSTL&amp;VAR:INDEX=0"}</definedName>
    <definedName function="false" hidden="true" name="_1965__FDSAUDITLINK__" vbProcedure="false">{"fdsup://directions/FAT Viewer?action=UPDATE&amp;creator=factset&amp;DYN_ARGS=TRUE&amp;DOC_NAME=FAT:FQL_AUDITING_CLIENT_TEMPLATE.FAT&amp;display_string=Audit&amp;VAR:KEY=HALYPQRQPE&amp;VAR:QUERY=KEZTTF9ORVRfSU5DKE5PVyxOT1csRlNBLCxVU0QpQEZGX05FVF9JTkMoTFRNUywwLCwsLFVTRCkp&amp;WINDOW=F","IRST_POPUP&amp;HEIGHT=450&amp;WIDTH=450&amp;START_MAXIMIZED=FALSE&amp;VAR:CALENDAR=US&amp;VAR:SYMBOL=TSTC&amp;VAR:INDEX=0"}</definedName>
    <definedName function="false" hidden="true" name="_1966__FDSAUDITLINK__" vbProcedure="false">{"fdsup://directions/FAT Viewer?action=UPDATE&amp;creator=factset&amp;DYN_ARGS=TRUE&amp;DOC_NAME=FAT:FQL_AUDITING_CLIENT_TEMPLATE.FAT&amp;display_string=Audit&amp;VAR:KEY=FOVQTCFCPY&amp;VAR:QUERY=KEZTTF9ORVRfSU5DKE5PVyxOT1csRlNBLCxVU0QpQEZGX05FVF9JTkMoTFRNUywwLCwsLFVTRCkp&amp;WINDOW=F","IRST_POPUP&amp;HEIGHT=450&amp;WIDTH=450&amp;START_MAXIMIZED=FALSE&amp;VAR:CALENDAR=US&amp;VAR:SYMBOL=TUNE&amp;VAR:INDEX=0"}</definedName>
    <definedName function="false" hidden="true" name="_1967__FDSAUDITLINK__" vbProcedure="false">{"fdsup://directions/FAT Viewer?action=UPDATE&amp;creator=factset&amp;DYN_ARGS=TRUE&amp;DOC_NAME=FAT:FQL_AUDITING_CLIENT_TEMPLATE.FAT&amp;display_string=Audit&amp;VAR:KEY=NGLCVIXOFW&amp;VAR:QUERY=KEZTTF9ORVRfSU5DKE5PVyxOT1csRlNBLCxVU0QpQEZGX05FVF9JTkMoTFRNUywwLCwsLFVTRCkp&amp;WINDOW=F","IRST_POPUP&amp;HEIGHT=450&amp;WIDTH=450&amp;START_MAXIMIZED=FALSE&amp;VAR:CALENDAR=US&amp;VAR:SYMBOL=OCNW&amp;VAR:INDEX=0"}</definedName>
    <definedName function="false" hidden="true" name="_1968__FDSAUDITLINK__" vbProcedure="false">{"fdsup://directions/FAT Viewer?action=UPDATE&amp;creator=factset&amp;DYN_ARGS=TRUE&amp;DOC_NAME=FAT:FQL_AUDITING_CLIENT_TEMPLATE.FAT&amp;display_string=Audit&amp;VAR:KEY=RSPUBUZIPE&amp;VAR:QUERY=KEZTTF9ORVRfSU5DKE5PVyxOT1csRlNBLCxVU0QpQEZGX05FVF9JTkMoTFRNUywwLCwsLFVTRCkp&amp;WINDOW=F","IRST_POPUP&amp;HEIGHT=450&amp;WIDTH=450&amp;START_MAXIMIZED=FALSE&amp;VAR:CALENDAR=US&amp;VAR:SYMBOL=VRAZ&amp;VAR:INDEX=0"}</definedName>
    <definedName function="false" hidden="true" name="_1969__FDSAUDITLINK__" vbProcedure="false">{"fdsup://directions/FAT Viewer?action=UPDATE&amp;creator=factset&amp;DYN_ARGS=TRUE&amp;DOC_NAME=FAT:FQL_AUDITING_CLIENT_TEMPLATE.FAT&amp;display_string=Audit&amp;VAR:KEY=LYNILKFCVG&amp;VAR:QUERY=KEZTTF9ORVRfSU5DKE5PVyxOT1csRlNBLCxVU0QpQEZGX05FVF9JTkMoTFRNUywwLCwsLFVTRCkp&amp;WINDOW=F","IRST_POPUP&amp;HEIGHT=450&amp;WIDTH=450&amp;START_MAXIMIZED=FALSE&amp;VAR:CALENDAR=US&amp;VAR:SYMBOL=MSPD&amp;VAR:INDEX=0"}</definedName>
    <definedName function="false" hidden="true" name="_196__FDSAUDITLINK__" vbProcedure="false">{"fdsup://Directions/FactSet Auditing Viewer?action=AUDIT_VALUE&amp;DB=129&amp;ID1=90921430&amp;VALUEID=02001&amp;SDATE=201002&amp;PERIODTYPE=QTR_STD&amp;window=popup_no_bar&amp;width=385&amp;height=120&amp;START_MAXIMIZED=FALSE&amp;creator=factset&amp;display_string=Audit"}</definedName>
    <definedName function="false" hidden="true" name="_1970__FDSAUDITLINK__" vbProcedure="false">{"fdsup://directions/FAT Viewer?action=UPDATE&amp;creator=factset&amp;DYN_ARGS=TRUE&amp;DOC_NAME=FAT:FQL_AUDITING_CLIENT_TEMPLATE.FAT&amp;display_string=Audit&amp;VAR:KEY=VYRUFMLSDA&amp;VAR:QUERY=KEZTTF9ORVRfSU5DKE5PVyxOT1csRlNBLCxVU0QpQEZGX05FVF9JTkMoTFRNUywwLCwsLFVTRCkp&amp;WINDOW=F","IRST_POPUP&amp;HEIGHT=450&amp;WIDTH=450&amp;START_MAXIMIZED=FALSE&amp;VAR:CALENDAR=US&amp;VAR:SYMBOL=AVNW&amp;VAR:INDEX=0"}</definedName>
    <definedName function="false" hidden="true" name="_1971__FDSAUDITLINK__" vbProcedure="false">{"fdsup://directions/FAT Viewer?action=UPDATE&amp;creator=factset&amp;DYN_ARGS=TRUE&amp;DOC_NAME=FAT:FQL_AUDITING_CLIENT_TEMPLATE.FAT&amp;display_string=Audit&amp;VAR:KEY=VWBAFSNKDC&amp;VAR:QUERY=KEZTTF9ORVRfSU5DKE5PVyxOT1csRlNBLCxVU0QpQEZGX05FVF9JTkMoTFRNUywwLCwsLFVTRCkp&amp;WINDOW=F","IRST_POPUP&amp;HEIGHT=450&amp;WIDTH=450&amp;START_MAXIMIZED=FALSE&amp;VAR:CALENDAR=US&amp;VAR:SYMBOL=CRNT&amp;VAR:INDEX=0"}</definedName>
    <definedName function="false" hidden="true" name="_1972__FDSAUDITLINK__" vbProcedure="false">{"fdsup://directions/FAT Viewer?action=UPDATE&amp;creator=factset&amp;DYN_ARGS=TRUE&amp;DOC_NAME=FAT:FQL_AUDITING_CLIENT_TEMPLATE.FAT&amp;display_string=Audit&amp;VAR:KEY=DGFOJQNAVU&amp;VAR:QUERY=KEZTTF9ORVRfSU5DKE5PVyxOT1csRlNBLCxVU0QpQEZGX05FVF9JTkMoTFRNUywwLCwsLFVTRCkp&amp;WINDOW=F","IRST_POPUP&amp;HEIGHT=450&amp;WIDTH=450&amp;START_MAXIMIZED=FALSE&amp;VAR:CALENDAR=US&amp;VAR:SYMBOL=BBOX&amp;VAR:INDEX=0"}</definedName>
    <definedName function="false" hidden="true" name="_1973__FDSAUDITLINK__" vbProcedure="false">{"fdsup://directions/FAT Viewer?action=UPDATE&amp;creator=factset&amp;DYN_ARGS=TRUE&amp;DOC_NAME=FAT:FQL_AUDITING_CLIENT_TEMPLATE.FAT&amp;display_string=Audit&amp;VAR:KEY=VEFYHMTSJI&amp;VAR:QUERY=KEZTTF9ORVRfSU5DKE5PVyxOT1csRlNBLCxVU0QpQEZGX05FVF9JTkMoTFRNUywwLCwsLFVTRCkp&amp;WINDOW=F","IRST_POPUP&amp;HEIGHT=450&amp;WIDTH=450&amp;START_MAXIMIZED=FALSE&amp;VAR:CALENDAR=US&amp;VAR:SYMBOL=HLIT&amp;VAR:INDEX=0"}</definedName>
    <definedName function="false" hidden="true" name="_1974__FDSAUDITLINK__" vbProcedure="false">{"fdsup://directions/FAT Viewer?action=UPDATE&amp;creator=factset&amp;DYN_ARGS=TRUE&amp;DOC_NAME=FAT:FQL_AUDITING_CLIENT_TEMPLATE.FAT&amp;display_string=Audit&amp;VAR:KEY=XIPCRUZCVK&amp;VAR:QUERY=KEZTTF9ORVRfSU5DKE5PVyxOT1csRlNBLCxVU0QpQEZGX05FVF9JTkMoTFRNUywwLCwsLFVTRCkp&amp;WINDOW=F","IRST_POPUP&amp;HEIGHT=450&amp;WIDTH=450&amp;START_MAXIMIZED=FALSE&amp;VAR:CALENDAR=US&amp;VAR:SYMBOL=OCLR&amp;VAR:INDEX=0"}</definedName>
    <definedName function="false" hidden="true" name="_1975__FDSAUDITLINK__" vbProcedure="false">{"fdsup://directions/FAT Viewer?action=UPDATE&amp;creator=factset&amp;DYN_ARGS=TRUE&amp;DOC_NAME=FAT:FQL_AUDITING_CLIENT_TEMPLATE.FAT&amp;display_string=Audit&amp;VAR:KEY=VSVQNWVYHE&amp;VAR:QUERY=KEZTTF9ORVRfSU5DKE5PVyxOT1csRlNBLCxVU0QpQEZGX05FVF9JTkMoTFRNUywwLCwsLFVTRCkp&amp;WINDOW=F","IRST_POPUP&amp;HEIGHT=450&amp;WIDTH=450&amp;START_MAXIMIZED=FALSE&amp;VAR:CALENDAR=US&amp;VAR:SYMBOL=CMTL&amp;VAR:INDEX=0"}</definedName>
    <definedName function="false" hidden="true" name="_1976__FDSAUDITLINK__" vbProcedure="false">{"fdsup://directions/FAT Viewer?action=UPDATE&amp;creator=factset&amp;DYN_ARGS=TRUE&amp;DOC_NAME=FAT:FQL_AUDITING_CLIENT_TEMPLATE.FAT&amp;display_string=Audit&amp;VAR:KEY=LWPUTGBCJM&amp;VAR:QUERY=KEZTTF9ORVRfSU5DKE5PVyxOT1csRlNBLCxVU0QpQEZGX05FVF9JTkMoTFRNUywwLCwsLFVTRCkp&amp;WINDOW=F","IRST_POPUP&amp;HEIGHT=450&amp;WIDTH=450&amp;START_MAXIMIZED=FALSE&amp;VAR:CALENDAR=US&amp;VAR:SYMBOL=ARRS&amp;VAR:INDEX=0"}</definedName>
    <definedName function="false" hidden="true" name="_1977__FDSAUDITLINK__" vbProcedure="false">{"fdsup://directions/FAT Viewer?action=UPDATE&amp;creator=factset&amp;DYN_ARGS=TRUE&amp;DOC_NAME=FAT:FQL_AUDITING_CLIENT_TEMPLATE.FAT&amp;display_string=Audit&amp;VAR:KEY=VQLWPULYZE&amp;VAR:QUERY=KEZTTF9ORVRfSU5DKE5PVyxOT1csRlNBLCxVU0QpQEZGX05FVF9JTkMoTFRNUywwLCwsLFVTRCkp&amp;WINDOW=F","IRST_POPUP&amp;HEIGHT=450&amp;WIDTH=450&amp;START_MAXIMIZED=FALSE&amp;VAR:CALENDAR=US&amp;VAR:SYMBOL=ABVT&amp;VAR:INDEX=0"}</definedName>
    <definedName function="false" hidden="true" name="_1978__FDSAUDITLINK__" vbProcedure="false">{"fdsup://directions/FAT Viewer?action=UPDATE&amp;creator=factset&amp;DYN_ARGS=TRUE&amp;DOC_NAME=FAT:FQL_AUDITING_CLIENT_TEMPLATE.FAT&amp;display_string=Audit&amp;VAR:KEY=FSPUHKXAVW&amp;VAR:QUERY=KEZTTF9ORVRfSU5DKE5PVyxOT1csRlNBLCxVU0QpQEZGX05FVF9JTkMoTFRNUywwLCwsLFVTRCkp&amp;WINDOW=F","IRST_POPUP&amp;HEIGHT=450&amp;WIDTH=450&amp;START_MAXIMIZED=FALSE&amp;VAR:CALENDAR=US&amp;VAR:SYMBOL=PMCS&amp;VAR:INDEX=0"}</definedName>
    <definedName function="false" hidden="true" name="_1979__FDSAUDITLINK__" vbProcedure="false">{"fdsup://directions/FAT Viewer?action=UPDATE&amp;creator=factset&amp;DYN_ARGS=TRUE&amp;DOC_NAME=FAT:FQL_AUDITING_CLIENT_TEMPLATE.FAT&amp;display_string=Audit&amp;VAR:KEY=TUFYFSDYLG&amp;VAR:QUERY=KEZTTF9ORVRfSU5DKE5PVyxOT1csRlNBLCxVU0QpQEZGX05FVF9JTkMoTFRNUywwLCwsLFVTRCkp&amp;WINDOW=F","IRST_POPUP&amp;HEIGHT=450&amp;WIDTH=450&amp;START_MAXIMIZED=FALSE&amp;VAR:CALENDAR=US&amp;VAR:SYMBOL=ATHR&amp;VAR:INDEX=0"}</definedName>
    <definedName function="false" hidden="true" name="_197__FDSAUDITLINK__" vbProcedure="false">{"fdsup://directions/FAT Viewer?action=UPDATE&amp;creator=factset&amp;DYN_ARGS=TRUE&amp;DOC_NAME=FAT:FQL_AUDITING_CLIENT_TEMPLATE.FAT&amp;display_string=Audit&amp;VAR:KEY=NCZQBYVIFG&amp;VAR:QUERY=RkZfRUJJVERBX09QRVIoTFRNLDAsLCwsVVNEKQ==&amp;WINDOW=FIRST_POPUP&amp;HEIGHT=450&amp;WIDTH=450&amp;STAR","T_MAXIMIZED=FALSE&amp;VAR:CALENDAR=US&amp;VAR:SYMBOL=PQ&amp;VAR:INDEX=0"}</definedName>
    <definedName function="false" hidden="true" name="_1980__FDSAUDITLINK__" vbProcedure="false">{"fdsup://directions/FAT Viewer?action=UPDATE&amp;creator=factset&amp;DYN_ARGS=TRUE&amp;DOC_NAME=FAT:FQL_AUDITING_CLIENT_TEMPLATE.FAT&amp;display_string=Audit&amp;VAR:KEY=LITOVERGNA&amp;VAR:QUERY=KEZTTF9ORVRfSU5DKE5PVyxOT1csRlNBLCxVU0QpQEZGX05FVF9JTkMoTFRNUywwLCwsLFVTRCkp&amp;WINDOW=F","IRST_POPUP&amp;HEIGHT=450&amp;WIDTH=450&amp;START_MAXIMIZED=FALSE&amp;VAR:CALENDAR=US&amp;VAR:SYMBOL=CTV&amp;VAR:INDEX=0"}</definedName>
    <definedName function="false" hidden="true" name="_1981__FDSAUDITLINK__" vbProcedure="false">{"fdsup://directions/FAT Viewer?action=UPDATE&amp;creator=factset&amp;DYN_ARGS=TRUE&amp;DOC_NAME=FAT:FQL_AUDITING_CLIENT_TEMPLATE.FAT&amp;display_string=Audit&amp;VAR:KEY=DKLILKVAHC&amp;VAR:QUERY=KEZTTF9ORVRfSU5DKE5PVyxOT1csRlNBLCxVU0QpQEZGX05FVF9JTkMoTFRNUywwLCwsLFVTRCkp&amp;WINDOW=F","IRST_POPUP&amp;HEIGHT=450&amp;WIDTH=450&amp;START_MAXIMIZED=FALSE&amp;VAR:CALENDAR=US&amp;VAR:SYMBOL=HRS&amp;VAR:INDEX=0"}</definedName>
    <definedName function="false" hidden="true" name="_1982__FDSAUDITLINK__" vbProcedure="false">{"fdsup://directions/FAT Viewer?action=UPDATE&amp;creator=factset&amp;DYN_ARGS=TRUE&amp;DOC_NAME=FAT:FQL_AUDITING_CLIENT_TEMPLATE.FAT&amp;display_string=Audit&amp;VAR:KEY=XWHIBUVQ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TLK&amp;VAR:INDEX=0"}</definedName>
    <definedName function="false" hidden="true" name="_1983__FDSAUDITLINK__" vbProcedure="false">{"fdsup://directions/FAT Viewer?action=UPDATE&amp;creator=factset&amp;DYN_ARGS=TRUE&amp;DOC_NAME=FAT:FQL_AUDITING_CLIENT_TEMPLATE.FAT&amp;display_string=Audit&amp;VAR:KEY=TCTYXKBS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CW&amp;VAR:INDEX=0"}</definedName>
    <definedName function="false" hidden="true" name="_1984__FDSAUDITLINK__" vbProcedure="false">{"fdsup://directions/FAT Viewer?action=UPDATE&amp;creator=factset&amp;DYN_ARGS=TRUE&amp;DOC_NAME=FAT:FQL_AUDITING_CLIENT_TEMPLATE.FAT&amp;display_string=Audit&amp;VAR:KEY=JGXALCHU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R&amp;VAR:INDEX=0"}</definedName>
    <definedName function="false" hidden="true" name="_1985__FDSAUDITLINK__" vbProcedure="false">{"fdsup://directions/FAT Viewer?action=UPDATE&amp;creator=factset&amp;DYN_ARGS=TRUE&amp;DOC_NAME=FAT:FQL_AUDITING_CLIENT_TEMPLATE.FAT&amp;display_string=Audit&amp;VAR:KEY=LSTWFMJU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FD&amp;VAR:INDEX=0"}</definedName>
    <definedName function="false" hidden="true" name="_1986__FDSAUDITLINK__" vbProcedure="false">{"fdsup://directions/FAT Viewer?action=UPDATE&amp;creator=factset&amp;DYN_ARGS=TRUE&amp;DOC_NAME=FAT:FQL_AUDITING_CLIENT_TEMPLATE.FAT&amp;display_string=Audit&amp;VAR:KEY=VGREHSFYF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MP&amp;VAR:INDEX=0"}</definedName>
    <definedName function="false" hidden="true" name="_1987__FDSAUDITLINK__" vbProcedure="false">{"fdsup://directions/FAT Viewer?action=UPDATE&amp;creator=factset&amp;DYN_ARGS=TRUE&amp;DOC_NAME=FAT:FQL_AUDITING_CLIENT_TEMPLATE.FAT&amp;display_string=Audit&amp;VAR:KEY=LIBQXALQ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MRX&amp;VAR:INDEX=0"}</definedName>
    <definedName function="false" hidden="true" name="_1988__FDSAUDITLINK__" vbProcedure="false">{"fdsup://directions/FAT Viewer?action=UPDATE&amp;creator=factset&amp;DYN_ARGS=TRUE&amp;DOC_NAME=FAT:FQL_AUDITING_CLIENT_TEMPLATE.FAT&amp;display_string=Audit&amp;VAR:KEY=NWLYPOZA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CTI&amp;VAR:INDEX=0"}</definedName>
    <definedName function="false" hidden="true" name="_1989__FDSAUDITLINK__" vbProcedure="false">{"fdsup://directions/FAT Viewer?action=UPDATE&amp;creator=factset&amp;DYN_ARGS=TRUE&amp;DOC_NAME=FAT:FQL_AUDITING_CLIENT_TEMPLATE.FAT&amp;display_string=Audit&amp;VAR:KEY=BCJKPWBQ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STL&amp;VAR:INDEX=0"}</definedName>
    <definedName function="false" hidden="true" name="_198__FDSAUDITLINK__" vbProcedure="false">{"fdsup://directions/FAT Viewer?action=UPDATE&amp;creator=factset&amp;DYN_ARGS=TRUE&amp;DOC_NAME=FAT:FQL_AUDITING_CLIENT_TEMPLATE.FAT&amp;display_string=Audit&amp;VAR:KEY=FWFGTGDEPS&amp;VAR:QUERY=RkZfRUJJVERBX09QRVIoTFRNLDAsLCwsVVNEKQ==&amp;WINDOW=FIRST_POPUP&amp;HEIGHT=450&amp;WIDTH=450&amp;STAR","T_MAXIMIZED=FALSE&amp;VAR:CALENDAR=US&amp;VAR:SYMBOL=HAL&amp;VAR:INDEX=0"}</definedName>
    <definedName function="false" hidden="true" name="_1990__FDSAUDITLINK__" vbProcedure="false">{"fdsup://directions/FAT Viewer?action=UPDATE&amp;creator=factset&amp;DYN_ARGS=TRUE&amp;DOC_NAME=FAT:FQL_AUDITING_CLIENT_TEMPLATE.FAT&amp;display_string=Audit&amp;VAR:KEY=FKNKBIBE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C&amp;VAR:INDEX=0"}</definedName>
    <definedName function="false" hidden="true" name="_1991__FDSAUDITLINK__" vbProcedure="false">{"fdsup://directions/FAT Viewer?action=UPDATE&amp;creator=factset&amp;DYN_ARGS=TRUE&amp;DOC_NAME=FAT:FQL_AUDITING_CLIENT_TEMPLATE.FAT&amp;display_string=Audit&amp;VAR:KEY=RMBIDGDE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UNE&amp;VAR:INDEX=0"}</definedName>
    <definedName function="false" hidden="true" name="_1992__FDSAUDITLINK__" vbProcedure="false">{"fdsup://directions/FAT Viewer?action=UPDATE&amp;creator=factset&amp;DYN_ARGS=TRUE&amp;DOC_NAME=FAT:FQL_AUDITING_CLIENT_TEMPLATE.FAT&amp;display_string=Audit&amp;VAR:KEY=JSJIFANG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CNW&amp;VAR:INDEX=0"}</definedName>
    <definedName function="false" hidden="true" name="_1993__FDSAUDITLINK__" vbProcedure="false">{"fdsup://directions/FAT Viewer?action=UPDATE&amp;creator=factset&amp;DYN_ARGS=TRUE&amp;DOC_NAME=FAT:FQL_AUDITING_CLIENT_TEMPLATE.FAT&amp;display_string=Audit&amp;VAR:KEY=ZKBYHGBA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AZ&amp;VAR:INDEX=0"}</definedName>
    <definedName function="false" hidden="true" name="_1994__FDSAUDITLINK__" vbProcedure="false">{"fdsup://directions/FAT Viewer?action=UPDATE&amp;creator=factset&amp;DYN_ARGS=TRUE&amp;DOC_NAME=FAT:FQL_AUDITING_CLIENT_TEMPLATE.FAT&amp;display_string=Audit&amp;VAR:KEY=ZWJMVSJKV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SPD&amp;VAR:INDEX=0"}</definedName>
    <definedName function="false" hidden="true" name="_1995__FDSAUDITLINK__" vbProcedure="false">{"fdsup://directions/FAT Viewer?action=UPDATE&amp;creator=factset&amp;DYN_ARGS=TRUE&amp;DOC_NAME=FAT:FQL_AUDITING_CLIENT_TEMPLATE.FAT&amp;display_string=Audit&amp;VAR:KEY=ZWZIRAXQ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NW&amp;VAR:INDEX=0"}</definedName>
    <definedName function="false" hidden="true" name="_1996__FDSAUDITLINK__" vbProcedure="false">{"fdsup://directions/FAT Viewer?action=UPDATE&amp;creator=factset&amp;DYN_ARGS=TRUE&amp;DOC_NAME=FAT:FQL_AUDITING_CLIENT_TEMPLATE.FAT&amp;display_string=Audit&amp;VAR:KEY=JIJCZGPU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NT&amp;VAR:INDEX=0"}</definedName>
    <definedName function="false" hidden="true" name="_1997__FDSAUDITLINK__" vbProcedure="false">{"fdsup://directions/FAT Viewer?action=UPDATE&amp;creator=factset&amp;DYN_ARGS=TRUE&amp;DOC_NAME=FAT:FQL_AUDITING_CLIENT_TEMPLATE.FAT&amp;display_string=Audit&amp;VAR:KEY=RGVIDWDK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OX&amp;VAR:INDEX=0"}</definedName>
    <definedName function="false" hidden="true" name="_1998__FDSAUDITLINK__" vbProcedure="false">{"fdsup://directions/FAT Viewer?action=UPDATE&amp;creator=factset&amp;DYN_ARGS=TRUE&amp;DOC_NAME=FAT:FQL_AUDITING_CLIENT_TEMPLATE.FAT&amp;display_string=Audit&amp;VAR:KEY=NKNQBGZS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LIT&amp;VAR:INDEX=0"}</definedName>
    <definedName function="false" hidden="true" name="_1999__FDSAUDITLINK__" vbProcedure="false">{"fdsup://directions/FAT Viewer?action=UPDATE&amp;creator=factset&amp;DYN_ARGS=TRUE&amp;DOC_NAME=FAT:FQL_AUDITING_CLIENT_TEMPLATE.FAT&amp;display_string=Audit&amp;VAR:KEY=RGBYPUJER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CLR&amp;VAR:INDEX=0"}</definedName>
    <definedName function="false" hidden="true" name="_199__FDSAUDITLINK__" vbProcedure="false">{"fdsup://directions/FAT Viewer?action=UPDATE&amp;creator=factset&amp;DYN_ARGS=TRUE&amp;DOC_NAME=FAT:FQL_AUDITING_CLIENT_TEMPLATE.FAT&amp;display_string=Audit&amp;VAR:KEY=PYRWBEFEPC&amp;VAR:QUERY=KEZTTF9ORVRfSU5DKE5PVyxOT1csRlNBLCxVU0QpQEZGX05FVF9JTkMoTFRNUywwLCwsLFVTRCkp&amp;WINDOW=F","IRST_POPUP&amp;HEIGHT=450&amp;WIDTH=450&amp;START_MAXIMIZED=FALSE&amp;VAR:CALENDAR=US&amp;VAR:SYMBOL=DTPI&amp;VAR:INDEX=0"}</definedName>
    <definedName function="false" hidden="true" name="_19_0_Table2_" vbProcedure="false">#REF!</definedName>
    <definedName function="false" hidden="true" name="_19__123Graph_CDIAGR_10" vbProcedure="false">#REF!</definedName>
    <definedName function="false" hidden="true" name="_19__123Graph_XADV_PCE" vbProcedure="false">#REF!</definedName>
    <definedName function="false" hidden="true" name="_19__FDSAUDITLINK__" vbProcedure="false">{"fdsup://directions/FAT Viewer?action=UPDATE&amp;creator=factset&amp;DYN_ARGS=TRUE&amp;DOC_NAME=FAT:FQL_AUDITING_CLIENT_TEMPLATE.FAT&amp;display_string=Audit&amp;VAR:KEY=QJSBSTENUT&amp;VAR:QUERY=RkZfRUJJVERBX09QRVIoTFRNLDAsLCwsVVNEKQ==&amp;WINDOW=FIRST_POPUP&amp;HEIGHT=450&amp;WIDTH=450&amp;STAR","T_MAXIMIZED=FALSE&amp;VAR:CALENDAR=US&amp;VAR:SYMBOL=RIG&amp;VAR:INDEX=0"}</definedName>
    <definedName function="false" hidden="true" name="_1_0_Table2_" vbProcedure="false">#REF!</definedName>
    <definedName function="false" hidden="true" name="_1_9862.67" vbProcedure="false">#NAME?</definedName>
    <definedName function="false" hidden="true" name="_1__123Graph_AADV_GDP" vbProcedure="false">#REF!</definedName>
    <definedName function="false" hidden="true" name="_1__123Graph_ACHART_1" vbProcedure="false">#REF!</definedName>
    <definedName function="false" hidden="true" name="_1__123Graph_AChart_1A" vbProcedure="false">#REF!</definedName>
    <definedName function="false" hidden="true" name="_1__123Graph_BCHART_1" vbProcedure="false">#REF!</definedName>
    <definedName function="false" hidden="true" name="_1__123Graph_CCHART_1" vbProcedure="false">#REF!</definedName>
    <definedName function="false" hidden="true" name="_1__FDSAUDITLINK__" vbProcedure="false">{"fdsup://directions/FAT Viewer?action=UPDATE&amp;creator=factset&amp;DYN_ARGS=TRUE&amp;DOC_NAME=FAT:FQL_AUDITING_CLIENT_TEMPLATE.FAT&amp;display_string=Audit&amp;VAR:KEY=QDEDIRKRYZ&amp;VAR:QUERY=RkZfRUJJVERBX09QRVIoTFRNLDAsLCwsVVNEKQ==&amp;WINDOW=FIRST_POPUP&amp;HEIGHT=450&amp;WIDTH=450&amp;STAR","T_MAXIMIZED=FALSE&amp;VAR:CALENDAR=US&amp;VAR:SYMBOL=DVR&amp;VAR:INDEX=0"}</definedName>
    <definedName function="false" hidden="true" name="_1___123Graph_AChart_1A" vbProcedure="false">#REF!</definedName>
    <definedName function="false" hidden="true" name="_1___123Graph_CCHART_1" vbProcedure="false">#REF!</definedName>
    <definedName function="false" hidden="true" name="_1____123Graph_ACHART_1A" vbProcedure="false">#REF!</definedName>
    <definedName function="false" hidden="true" name="_2000__FDSAUDITLINK__" vbProcedure="false">{"fdsup://directions/FAT Viewer?action=UPDATE&amp;creator=factset&amp;DYN_ARGS=TRUE&amp;DOC_NAME=FAT:FQL_AUDITING_CLIENT_TEMPLATE.FAT&amp;display_string=Audit&amp;VAR:KEY=JIHSHYHY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MTL&amp;VAR:INDEX=0"}</definedName>
    <definedName function="false" hidden="true" name="_2001__FDSAUDITLINK__" vbProcedure="false">{"fdsup://directions/FAT Viewer?action=UPDATE&amp;creator=factset&amp;DYN_ARGS=TRUE&amp;DOC_NAME=FAT:FQL_AUDITING_CLIENT_TEMPLATE.FAT&amp;display_string=Audit&amp;VAR:KEY=TKFONYFO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RS&amp;VAR:INDEX=0"}</definedName>
    <definedName function="false" hidden="true" name="_2002__FDSAUDITLINK__" vbProcedure="false">{"fdsup://directions/FAT Viewer?action=UPDATE&amp;creator=factset&amp;DYN_ARGS=TRUE&amp;DOC_NAME=FAT:FQL_AUDITING_CLIENT_TEMPLATE.FAT&amp;display_string=Audit&amp;VAR:KEY=DWJEZAZU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BVT&amp;VAR:INDEX=0"}</definedName>
    <definedName function="false" hidden="true" name="_2003__FDSAUDITLINK__" vbProcedure="false">{"fdsup://directions/FAT Viewer?action=UPDATE&amp;creator=factset&amp;DYN_ARGS=TRUE&amp;DOC_NAME=FAT:FQL_AUDITING_CLIENT_TEMPLATE.FAT&amp;display_string=Audit&amp;VAR:KEY=PGFKXADW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MCS&amp;VAR:INDEX=0"}</definedName>
    <definedName function="false" hidden="true" name="_2004__FDSAUDITLINK__" vbProcedure="false">{"fdsup://directions/FAT Viewer?action=UPDATE&amp;creator=factset&amp;DYN_ARGS=TRUE&amp;DOC_NAME=FAT:FQL_AUDITING_CLIENT_TEMPLATE.FAT&amp;display_string=Audit&amp;VAR:KEY=POZUHQTM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HR&amp;VAR:INDEX=0"}</definedName>
    <definedName function="false" hidden="true" name="_2005__FDSAUDITLINK__" vbProcedure="false">{"fdsup://directions/FAT Viewer?action=UPDATE&amp;creator=factset&amp;DYN_ARGS=TRUE&amp;DOC_NAME=FAT:FQL_AUDITING_CLIENT_TEMPLATE.FAT&amp;display_string=Audit&amp;VAR:KEY=NQFQRKHU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V&amp;VAR:INDEX=0"}</definedName>
    <definedName function="false" hidden="true" name="_2006__FDSAUDITLINK__" vbProcedure="false">{"fdsup://directions/FAT Viewer?action=UPDATE&amp;creator=factset&amp;DYN_ARGS=TRUE&amp;DOC_NAME=FAT:FQL_AUDITING_CLIENT_TEMPLATE.FAT&amp;display_string=Audit&amp;VAR:KEY=XSPCTURG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RS&amp;VAR:INDEX=0"}</definedName>
    <definedName function="false" hidden="true" name="_2007__FDSAUDITLINK__" vbProcedure="false">{"fdsup://Directions/FactSet Auditing Viewer?action=AUDIT_VALUE&amp;DB=129&amp;ID1=87953J10&amp;VALUEID=02001&amp;SDATE=201002&amp;PERIODTYPE=QTR_STD&amp;window=popup_no_bar&amp;width=385&amp;height=120&amp;START_MAXIMIZED=FALSE&amp;creator=factset&amp;display_string=Audit"}</definedName>
    <definedName function="false" hidden="true" name="_2008__FDSAUDITLINK__" vbProcedure="false">{"fdsup://Directions/FactSet Auditing Viewer?action=AUDIT_VALUE&amp;DB=129&amp;ID1=69344F10&amp;VALUEID=02001&amp;SDATE=201003&amp;PERIODTYPE=QTR_STD&amp;window=popup_no_bar&amp;width=385&amp;height=120&amp;START_MAXIMIZED=FALSE&amp;creator=factset&amp;display_string=Audit"}</definedName>
    <definedName function="false" hidden="true" name="_2009__FDSAUDITLINK__" vbProcedure="false">{"fdsup://directions/FAT Viewer?action=UPDATE&amp;creator=factset&amp;DYN_ARGS=TRUE&amp;DOC_NAME=FAT:FQL_AUDITING_CLIENT_TEMPLATE.FAT&amp;display_string=Audit&amp;VAR:KEY=VYTQLIFKBW&amp;VAR:QUERY=KEZTTF9ORVRfSU5DKE5PVyxOT1csRlNBLCxVU0QpQEZGX05FVF9JTkMoTFRNUywwLCwsLFVTRCkp&amp;WINDOW=F","IRST_POPUP&amp;HEIGHT=450&amp;WIDTH=450&amp;START_MAXIMIZED=FALSE&amp;VAR:CALENDAR=US&amp;VAR:SYMBOL=WZE&amp;VAR:INDEX=0"}</definedName>
    <definedName function="false" hidden="true" name="_200__FDSAUDITLINK__" vbProcedure="false">{"fdsup://directions/FAT Viewer?action=UPDATE&amp;creator=factset&amp;DYN_ARGS=TRUE&amp;DOC_NAME=FAT:FQL_AUDITING_CLIENT_TEMPLATE.FAT&amp;display_string=Audit&amp;VAR:KEY=JQLSFKBKTA&amp;VAR:QUERY=RkZfRUJJVERBX09QRVIoTFRNLDAsLCwsVVNEKQ==&amp;WINDOW=FIRST_POPUP&amp;HEIGHT=450&amp;WIDTH=450&amp;STAR","T_MAXIMIZED=FALSE&amp;VAR:CALENDAR=US&amp;VAR:SYMBOL=TESO&amp;VAR:INDEX=0"}</definedName>
    <definedName function="false" hidden="true" name="_2010__FDSAUDITLINK__" vbProcedure="false">{"fdsup://directions/FAT Viewer?action=UPDATE&amp;creator=factset&amp;DYN_ARGS=TRUE&amp;DOC_NAME=FAT:FQL_AUDITING_CLIENT_TEMPLATE.FAT&amp;display_string=Audit&amp;VAR:KEY=NMHSBQRSRC&amp;VAR:QUERY=KEZTTF9ORVRfSU5DKE5PVyxOT1csRlNBLCxVU0QpQEZGX05FVF9JTkMoTFRNUywwLCwsLFVTRCkp&amp;WINDOW=F","IRST_POPUP&amp;HEIGHT=450&amp;WIDTH=450&amp;START_MAXIMIZED=FALSE&amp;VAR:CALENDAR=US&amp;VAR:SYMBOL=IFLG&amp;VAR:INDEX=0"}</definedName>
    <definedName function="false" hidden="true" name="_2011__FDSAUDITLINK__" vbProcedure="false">{"fdsup://directions/FAT Viewer?action=UPDATE&amp;creator=factset&amp;DYN_ARGS=TRUE&amp;DOC_NAME=FAT:FQL_AUDITING_CLIENT_TEMPLATE.FAT&amp;display_string=Audit&amp;VAR:KEY=PGJMVOPCXI&amp;VAR:QUERY=KEZTTF9ORVRfSU5DKE5PVyxOT1csRlNBLCxVU0QpQEZGX05FVF9JTkMoTFRNUywwLCwsLFVTRCkp&amp;WINDOW=F","IRST_POPUP&amp;HEIGHT=450&amp;WIDTH=450&amp;START_MAXIMIZED=FALSE&amp;VAR:CALENDAR=US&amp;VAR:SYMBOL=MNDO&amp;VAR:INDEX=0"}</definedName>
    <definedName function="false" hidden="true" name="_2012__FDSAUDITLINK__" vbProcedure="false">{"fdsup://Directions/FactSet Auditing Viewer?action=AUDIT_VALUE&amp;DB=129&amp;ID1=03878K20&amp;VALUEID=02001&amp;SDATE=201002&amp;PERIODTYPE=QTR_STD&amp;window=popup_no_bar&amp;width=385&amp;height=120&amp;START_MAXIMIZED=FALSE&amp;creator=factset&amp;display_string=Audit"}</definedName>
    <definedName function="false" hidden="true" name="_2013__FDSAUDITLINK__" vbProcedure="false">{"fdsup://Directions/FactSet Auditing Viewer?action=AUDIT_VALUE&amp;DB=129&amp;ID1=88145110&amp;VALUEID=02001&amp;SDATE=201002&amp;PERIODTYPE=QTR_STD&amp;window=popup_no_bar&amp;width=385&amp;height=120&amp;START_MAXIMIZED=FALSE&amp;creator=factset&amp;display_string=Audit"}</definedName>
    <definedName function="false" hidden="true" name="_2014__FDSAUDITLINK__" vbProcedure="false">{"fdsup://Directions/FactSet Auditing Viewer?action=AUDIT_VALUE&amp;DB=129&amp;ID1=18482P10&amp;VALUEID=02001&amp;SDATE=201003&amp;PERIODTYPE=QTR_STD&amp;window=popup_no_bar&amp;width=385&amp;height=120&amp;START_MAXIMIZED=FALSE&amp;creator=factset&amp;display_string=Audit"}</definedName>
    <definedName function="false" hidden="true" name="_2015__FDSAUDITLINK__" vbProcedure="false">{"fdsup://Directions/FactSet Auditing Viewer?action=AUDIT_VALUE&amp;DB=129&amp;ID1=12812610&amp;VALUEID=02001&amp;SDATE=201002&amp;PERIODTYPE=QTR_STD&amp;window=popup_no_bar&amp;width=385&amp;height=120&amp;START_MAXIMIZED=FALSE&amp;creator=factset&amp;display_string=Audit"}</definedName>
    <definedName function="false" hidden="true" name="_2016__FDSAUDITLINK__" vbProcedure="false">{"fdsup://Directions/FactSet Auditing Viewer?action=AUDIT_VALUE&amp;DB=129&amp;ID1=67053A10&amp;VALUEID=02001&amp;SDATE=201002&amp;PERIODTYPE=QTR_STD&amp;window=popup_no_bar&amp;width=385&amp;height=120&amp;START_MAXIMIZED=FALSE&amp;creator=factset&amp;display_string=Audit"}</definedName>
    <definedName function="false" hidden="true" name="_2017__FDSAUDITLINK__" vbProcedure="false">{"fdsup://Directions/FactSet Auditing Viewer?action=AUDIT_VALUE&amp;DB=129&amp;ID1=69325Q10&amp;VALUEID=02001&amp;SDATE=201002&amp;PERIODTYPE=QTR_STD&amp;window=popup_no_bar&amp;width=385&amp;height=120&amp;START_MAXIMIZED=FALSE&amp;creator=factset&amp;display_string=Audit"}</definedName>
    <definedName function="false" hidden="true" name="_2018__FDSAUDITLINK__" vbProcedure="false">{"fdsup://Directions/FactSet Auditing Viewer?action=AUDIT_VALUE&amp;DB=129&amp;ID1=95754110&amp;VALUEID=02001&amp;SDATE=201002&amp;PERIODTYPE=QTR_STD&amp;window=popup_no_bar&amp;width=385&amp;height=120&amp;START_MAXIMIZED=FALSE&amp;creator=factset&amp;display_string=Audit"}</definedName>
    <definedName function="false" hidden="true" name="_2019__FDSAUDITLINK__" vbProcedure="false">{"fdsup://directions/FAT Viewer?action=UPDATE&amp;creator=factset&amp;DYN_ARGS=TRUE&amp;DOC_NAME=FAT:FQL_AUDITING_CLIENT_TEMPLATE.FAT&amp;display_string=Audit&amp;VAR:KEY=XMVQLUBMJE&amp;VAR:QUERY=KEZTTF9ORVRfSU5DKE5PVyxOT1csRlNBLCxVU0QpQEZGX05FVF9JTkMoTFRNUywwLCwsLFVTRCkp&amp;WINDOW=F","IRST_POPUP&amp;HEIGHT=450&amp;WIDTH=450&amp;START_MAXIMIZED=FALSE&amp;VAR:CALENDAR=US&amp;VAR:SYMBOL=IKAN&amp;VAR:INDEX=0"}</definedName>
    <definedName function="false" hidden="true" name="_201__FDSAUDITLINK__" vbProcedure="false">{"fdsup://directions/FAT Viewer?action=UPDATE&amp;creator=factset&amp;DYN_ARGS=TRUE&amp;DOC_NAME=FAT:FQL_AUDITING_CLIENT_TEMPLATE.FAT&amp;display_string=Audit&amp;VAR:KEY=FWZYLALCTQ&amp;VAR:QUERY=RkZfRUJJVERBX09QRVIoTFRNLDAsLCwsVVNEKQ==&amp;WINDOW=FIRST_POPUP&amp;HEIGHT=450&amp;WIDTH=450&amp;STAR","T_MAXIMIZED=FALSE&amp;VAR:CALENDAR=US&amp;VAR:SYMBOL=MHR&amp;VAR:INDEX=0"}</definedName>
    <definedName function="false" hidden="true" name="_2020__FDSAUDITLINK__" vbProcedure="false">{"fdsup://Directions/FactSet Auditing Viewer?action=AUDIT_VALUE&amp;DB=129&amp;ID1=59514P10&amp;VALUEID=02001&amp;SDATE=201002&amp;PERIODTYPE=QTR_STD&amp;window=popup_no_bar&amp;width=385&amp;height=120&amp;START_MAXIMIZED=FALSE&amp;creator=factset&amp;display_string=Audit"}</definedName>
    <definedName function="false" hidden="true" name="_2021__FDSAUDITLINK__" vbProcedure="false">{"fdsup://Directions/FactSet Auditing Viewer?action=AUDIT_VALUE&amp;DB=129&amp;ID1=67457P30&amp;VALUEID=02001&amp;SDATE=201002&amp;PERIODTYPE=QTR_STD&amp;window=popup_no_bar&amp;width=385&amp;height=120&amp;START_MAXIMIZED=FALSE&amp;creator=factset&amp;display_string=Audit"}</definedName>
    <definedName function="false" hidden="true" name="_2022__FDSAUDITLINK__" vbProcedure="false">{"fdsup://Directions/FactSet Auditing Viewer?action=AUDIT_VALUE&amp;DB=129&amp;ID1=92335910&amp;VALUEID=02001&amp;SDATE=201002&amp;PERIODTYPE=QTR_STD&amp;window=popup_no_bar&amp;width=385&amp;height=120&amp;START_MAXIMIZED=FALSE&amp;creator=factset&amp;display_string=Audit"}</definedName>
    <definedName function="false" hidden="true" name="_2023__FDSAUDITLINK__" vbProcedure="false">{"fdsup://Directions/FactSet Auditing Viewer?action=AUDIT_VALUE&amp;DB=129&amp;ID1=60268220&amp;VALUEID=02001&amp;SDATE=201003&amp;PERIODTYPE=QTR_STD&amp;window=popup_no_bar&amp;width=385&amp;height=120&amp;START_MAXIMIZED=FALSE&amp;creator=factset&amp;display_string=Audit"}</definedName>
    <definedName function="false" hidden="true" name="_2024__FDSAUDITLINK__" vbProcedure="false">{"fdsup://Directions/FactSet Auditing Viewer?action=AUDIT_VALUE&amp;DB=129&amp;ID1=05366Y10&amp;VALUEID=02001&amp;SDATE=201004&amp;PERIODTYPE=QTR_STD&amp;window=popup_no_bar&amp;width=385&amp;height=120&amp;START_MAXIMIZED=FALSE&amp;creator=factset&amp;display_string=Audit"}</definedName>
    <definedName function="false" hidden="true" name="_2025__FDSAUDITLINK__" vbProcedure="false">{"fdsup://Directions/FactSet Auditing Viewer?action=AUDIT_VALUE&amp;DB=129&amp;ID1=M2201310&amp;VALUEID=02001&amp;SDATE=201002&amp;PERIODTYPE=QTR_STD&amp;window=popup_no_bar&amp;width=385&amp;height=120&amp;START_MAXIMIZED=FALSE&amp;creator=factset&amp;display_string=Audit"}</definedName>
    <definedName function="false" hidden="true" name="_2026__FDSAUDITLINK__" vbProcedure="false">{"fdsup://Directions/FactSet Auditing Viewer?action=AUDIT_VALUE&amp;DB=129&amp;ID1=09182610&amp;VALUEID=02001&amp;SDATE=201001&amp;PERIODTYPE=QTR_STD&amp;window=popup_no_bar&amp;width=385&amp;height=120&amp;START_MAXIMIZED=FALSE&amp;creator=factset&amp;display_string=Audit"}</definedName>
    <definedName function="false" hidden="true" name="_2027__FDSAUDITLINK__" vbProcedure="false">{"fdsup://Directions/FactSet Auditing Viewer?action=AUDIT_VALUE&amp;DB=129&amp;ID1=41316010&amp;VALUEID=02001&amp;SDATE=201002&amp;PERIODTYPE=QTR_STD&amp;window=popup_no_bar&amp;width=385&amp;height=120&amp;START_MAXIMIZED=FALSE&amp;creator=factset&amp;display_string=Audit"}</definedName>
    <definedName function="false" hidden="true" name="_2028__FDSAUDITLINK__" vbProcedure="false">{"fdsup://Directions/FactSet Auditing Viewer?action=AUDIT_VALUE&amp;DB=129&amp;ID1=67555N10&amp;VALUEID=02001&amp;SDATE=201004&amp;PERIODTYPE=QTR_STD&amp;window=popup_no_bar&amp;width=385&amp;height=120&amp;START_MAXIMIZED=FALSE&amp;creator=factset&amp;display_string=Audit"}</definedName>
    <definedName function="false" hidden="true" name="_2029__FDSAUDITLINK__" vbProcedure="false">{"fdsup://Directions/FactSet Auditing Viewer?action=AUDIT_VALUE&amp;DB=129&amp;ID1=20582620&amp;VALUEID=02001&amp;SDATE=201004&amp;PERIODTYPE=QTR_STD&amp;window=popup_no_bar&amp;width=385&amp;height=120&amp;START_MAXIMIZED=FALSE&amp;creator=factset&amp;display_string=Audit"}</definedName>
    <definedName function="false" hidden="true" name="_202__FDSAUDITLINK__" vbProcedure="false">{"fdsup://directions/FAT Viewer?action=UPDATE&amp;creator=factset&amp;DYN_ARGS=TRUE&amp;DOC_NAME=FAT:FQL_AUDITING_CLIENT_TEMPLATE.FAT&amp;display_string=Audit&amp;VAR:KEY=ZGFIVALUJY&amp;VAR:QUERY=RkZfRUJJVERBX09QRVIoTFRNLDAsLCwsVVNEKQ==&amp;WINDOW=FIRST_POPUP&amp;HEIGHT=450&amp;WIDTH=450&amp;STAR","T_MAXIMIZED=FALSE&amp;VAR:CALENDAR=US&amp;VAR:SYMBOL=SPN&amp;VAR:INDEX=0"}</definedName>
    <definedName function="false" hidden="true" name="_2030__FDSAUDITLINK__" vbProcedure="false">{"fdsup://Directions/FactSet Auditing Viewer?action=AUDIT_VALUE&amp;DB=129&amp;ID1=04269Q10&amp;VALUEID=02001&amp;SDATE=201002&amp;PERIODTYPE=QTR_STD&amp;window=popup_no_bar&amp;width=385&amp;height=120&amp;START_MAXIMIZED=FALSE&amp;creator=factset&amp;display_string=Audit"}</definedName>
    <definedName function="false" hidden="true" name="_2031__FDSAUDITLINK__" vbProcedure="false">{"fdsup://Directions/FactSet Auditing Viewer?action=AUDIT_VALUE&amp;DB=129&amp;ID1=00374N10&amp;VALUEID=02001&amp;SDATE=201002&amp;PERIODTYPE=QTR_STD&amp;window=popup_no_bar&amp;width=385&amp;height=120&amp;START_MAXIMIZED=FALSE&amp;creator=factset&amp;display_string=Audit"}</definedName>
    <definedName function="false" hidden="true" name="_2032__FDSAUDITLINK__" vbProcedure="false">{"fdsup://directions/FAT Viewer?action=UPDATE&amp;creator=factset&amp;DYN_ARGS=TRUE&amp;DOC_NAME=FAT:FQL_AUDITING_CLIENT_TEMPLATE.FAT&amp;display_string=Audit&amp;VAR:KEY=TKRIHKZUPC&amp;VAR:QUERY=KEZTTF9ORVRfSU5DKE5PVyxOT1csRlNBLCxVU0QpQEZGX05FVF9JTkMoTFRNUywwLCwsLFVTRCkp&amp;WINDOW=F","IRST_POPUP&amp;HEIGHT=450&amp;WIDTH=450&amp;START_MAXIMIZED=FALSE&amp;VAR:CALENDAR=US&amp;VAR:SYMBOL=RDWR&amp;VAR:INDEX=0"}</definedName>
    <definedName function="false" hidden="true" name="_2033__FDSAUDITLINK__" vbProcedure="false">{"fdsup://Directions/FactSet Auditing Viewer?action=AUDIT_VALUE&amp;DB=129&amp;ID1=04743P10&amp;VALUEID=02001&amp;SDATE=201002&amp;PERIODTYPE=QTR_STD&amp;window=popup_no_bar&amp;width=385&amp;height=120&amp;START_MAXIMIZED=FALSE&amp;creator=factset&amp;display_string=Audit"}</definedName>
    <definedName function="false" hidden="true" name="_2034__FDSAUDITLINK__" vbProcedure="false">{"fdsup://Directions/FactSet Auditing Viewer?action=AUDIT_VALUE&amp;DB=129&amp;ID1=20337210&amp;VALUEID=02001&amp;SDATE=201002&amp;PERIODTYPE=QTR_STD&amp;window=popup_no_bar&amp;width=385&amp;height=120&amp;START_MAXIMIZED=FALSE&amp;creator=factset&amp;display_string=Audit"}</definedName>
    <definedName function="false" hidden="true" name="_2035__FDSAUDITLINK__" vbProcedure="false">{"fdsup://Directions/FactSet Auditing Viewer?action=AUDIT_VALUE&amp;DB=129&amp;ID1=41387510&amp;VALUEID=02001&amp;SDATE=201004&amp;PERIODTYPE=QTR_STD&amp;window=popup_no_bar&amp;width=385&amp;height=120&amp;START_MAXIMIZED=FALSE&amp;creator=factset&amp;display_string=Audit"}</definedName>
    <definedName function="false" hidden="true" name="_2036__FDSAUDITLINK__" vbProcedure="false">{"fdsup://directions/FAT Viewer?action=UPDATE&amp;creator=factset&amp;DYN_ARGS=TRUE&amp;DOC_NAME=FAT:FQL_AUDITING_CLIENT_TEMPLATE.FAT&amp;display_string=Audit&amp;VAR:KEY=BIPYXQTGFE&amp;VAR:QUERY=KEZTTF9ORVRfSU5DKE5PVyxOT1csRlNBLCxVU0QpQEZGX05FVF9JTkMoTFRNUywwLCwsLFVTRCkp&amp;WINDOW=F","IRST_POPUP&amp;HEIGHT=450&amp;WIDTH=450&amp;START_MAXIMIZED=FALSE&amp;VAR:CALENDAR=US&amp;VAR:SYMBOL=583121&amp;VAR:INDEX=0"}</definedName>
    <definedName function="false" hidden="true" name="_2037__FDSAUDITLINK__" vbProcedure="false">{"fdsup://directions/FAT Viewer?action=UPDATE&amp;creator=factset&amp;DYN_ARGS=TRUE&amp;DOC_NAME=FAT:FQL_AUDITING_CLIENT_TEMPLATE.FAT&amp;display_string=Audit&amp;VAR:KEY=VIFWTENWHG&amp;VAR:QUERY=KEZTTF9ORVRfSU5DKE5PVyxOT1csRlNBLCxVU0QpQEZGX05FVF9JTkMoTFRNUywwLCwsLFVTRCkp&amp;WINDOW=F","IRST_POPUP&amp;HEIGHT=450&amp;WIDTH=450&amp;START_MAXIMIZED=FALSE&amp;VAR:CALENDAR=US&amp;VAR:SYMBOL=457269&amp;VAR:INDEX=0"}</definedName>
    <definedName function="false" hidden="true" name="_2038__FDSAUDITLINK__" vbProcedure="false">{"fdsup://directions/FAT Viewer?action=UPDATE&amp;creator=factset&amp;DYN_ARGS=TRUE&amp;DOC_NAME=FAT:FQL_AUDITING_CLIENT_TEMPLATE.FAT&amp;display_string=Audit&amp;VAR:KEY=HYJULAVSTG&amp;VAR:QUERY=KEZTTF9ORVRfSU5DKE5PVyxOT1csRlNBLCxVU0QpQEZGX05FVF9JTkMoTFRNUywwLCwsLFVTRCkp&amp;WINDOW=F","IRST_POPUP&amp;HEIGHT=450&amp;WIDTH=450&amp;START_MAXIMIZED=FALSE&amp;VAR:CALENDAR=US&amp;VAR:SYMBOL=ALLT&amp;VAR:INDEX=0"}</definedName>
    <definedName function="false" hidden="true" name="_2039__FDSAUDITLINK__" vbProcedure="false">{"fdsup://directions/FAT Viewer?action=UPDATE&amp;creator=factset&amp;DYN_ARGS=TRUE&amp;DOC_NAME=FAT:FQL_AUDITING_CLIENT_TEMPLATE.FAT&amp;display_string=Audit&amp;VAR:KEY=VSXGVGZADC&amp;VAR:QUERY=KEZTTF9ORVRfSU5DKE5PVyxOT1csRlNBLCxVU0QpQEZGX05FVF9JTkMoTFRNUywwLCwsLFVTRCkp&amp;WINDOW=F","IRST_POPUP&amp;HEIGHT=450&amp;WIDTH=450&amp;START_MAXIMIZED=FALSE&amp;VAR:CALENDAR=US&amp;VAR:SYMBOL=SNCR&amp;VAR:INDEX=0"}</definedName>
    <definedName function="false" hidden="true" name="_203__FDSAUDITLINK__" vbProcedure="false">{"fdsup://directions/FAT Viewer?action=UPDATE&amp;creator=factset&amp;DYN_ARGS=TRUE&amp;DOC_NAME=FAT:FQL_AUDITING_CLIENT_TEMPLATE.FAT&amp;display_string=Audit&amp;VAR:KEY=NEZIDYPOLQ&amp;VAR:QUERY=KEZTTF9ORVRfSU5DKE5PVyxOT1csRlNBLCxVU0QpQEZGX05FVF9JTkMoTFRNUywwLCwsLFVTRCkp&amp;WINDOW=F","IRST_POPUP&amp;HEIGHT=450&amp;WIDTH=450&amp;START_MAXIMIZED=FALSE&amp;VAR:CALENDAR=US&amp;VAR:SYMBOL=VIT&amp;VAR:INDEX=0"}</definedName>
    <definedName function="false" hidden="true" name="_2040__FDSAUDITLINK__" vbProcedure="false">{"fdsup://directions/FAT Viewer?action=UPDATE&amp;creator=factset&amp;DYN_ARGS=TRUE&amp;DOC_NAME=FAT:FQL_AUDITING_CLIENT_TEMPLATE.FAT&amp;display_string=Audit&amp;VAR:KEY=TKTSLGXMTO&amp;VAR:QUERY=KEZTTF9ORVRfSU5DKE5PVyxOT1csRlNBLCxVU0QpQEZGX05FVF9JTkMoTFRNUywwLCwsLFVTRCkp&amp;WINDOW=F","IRST_POPUP&amp;HEIGHT=450&amp;WIDTH=450&amp;START_MAXIMIZED=FALSE&amp;VAR:CALENDAR=US&amp;VAR:SYMBOL=ASIA&amp;VAR:INDEX=0"}</definedName>
    <definedName function="false" hidden="true" name="_2041__FDSAUDITLINK__" vbProcedure="false">{"fdsup://directions/FAT Viewer?action=UPDATE&amp;creator=factset&amp;DYN_ARGS=TRUE&amp;DOC_NAME=FAT:FQL_AUDITING_CLIENT_TEMPLATE.FAT&amp;display_string=Audit&amp;VAR:KEY=ZGXMVGVWTG&amp;VAR:QUERY=KEZTTF9ORVRfSU5DKE5PVyxOT1csRlNBLCxVU0QpQEZGX05FVF9JTkMoTFRNUywwLCwsLFVTRCkp&amp;WINDOW=F","IRST_POPUP&amp;HEIGHT=450&amp;WIDTH=450&amp;START_MAXIMIZED=FALSE&amp;VAR:CALENDAR=US&amp;VAR:SYMBOL=FFIV&amp;VAR:INDEX=0"}</definedName>
    <definedName function="false" hidden="true" name="_2042__FDSAUDITLINK__" vbProcedure="false">{"fdsup://directions/FAT Viewer?action=UPDATE&amp;creator=factset&amp;DYN_ARGS=TRUE&amp;DOC_NAME=FAT:FQL_AUDITING_CLIENT_TEMPLATE.FAT&amp;display_string=Audit&amp;VAR:KEY=NYZALEDK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FLG&amp;VAR:INDEX=0"}</definedName>
    <definedName function="false" hidden="true" name="_2043__FDSAUDITLINK__" vbProcedure="false">{"fdsup://directions/FAT Viewer?action=UPDATE&amp;creator=factset&amp;DYN_ARGS=TRUE&amp;DOC_NAME=FAT:FQL_AUDITING_CLIENT_TEMPLATE.FAT&amp;display_string=Audit&amp;VAR:KEY=PYVALQNI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ZE&amp;VAR:INDEX=0"}</definedName>
    <definedName function="false" hidden="true" name="_2044__FDSAUDITLINK__" vbProcedure="false">{"fdsup://directions/FAT Viewer?action=UPDATE&amp;creator=factset&amp;DYN_ARGS=TRUE&amp;DOC_NAME=FAT:FQL_AUDITING_CLIENT_TEMPLATE.FAT&amp;display_string=Audit&amp;VAR:KEY=DQBEVYDE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YR&amp;VAR:INDEX=0"}</definedName>
    <definedName function="false" hidden="true" name="_2045__FDSAUDITLINK__" vbProcedure="false">{"fdsup://directions/FAT Viewer?action=UPDATE&amp;creator=factset&amp;DYN_ARGS=TRUE&amp;DOC_NAME=FAT:FQL_AUDITING_CLIENT_TEMPLATE.FAT&amp;display_string=Audit&amp;VAR:KEY=BYVUTODW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KT&amp;VAR:INDEX=0"}</definedName>
    <definedName function="false" hidden="true" name="_2046__FDSAUDITLINK__" vbProcedure="false">{"fdsup://directions/FAT Viewer?action=UPDATE&amp;creator=factset&amp;DYN_ARGS=TRUE&amp;DOC_NAME=FAT:FQL_AUDITING_CLIENT_TEMPLATE.FAT&amp;display_string=Audit&amp;VAR:KEY=JGZSRIBA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VOLD&amp;VAR:INDEX=0"}</definedName>
    <definedName function="false" hidden="true" name="_2047__FDSAUDITLINK__" vbProcedure="false">{"fdsup://directions/FAT Viewer?action=UPDATE&amp;creator=factset&amp;DYN_ARGS=TRUE&amp;DOC_NAME=FAT:FQL_AUDITING_CLIENT_TEMPLATE.FAT&amp;display_string=Audit&amp;VAR:KEY=BSDYXQHQ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457269&amp;VAR:INDEX=0"}</definedName>
    <definedName function="false" hidden="true" name="_2048__FDSAUDITLINK__" vbProcedure="false">{"fdsup://directions/FAT Viewer?action=UPDATE&amp;creator=factset&amp;DYN_ARGS=TRUE&amp;DOC_NAME=FAT:FQL_AUDITING_CLIENT_TEMPLATE.FAT&amp;display_string=Audit&amp;VAR:KEY=JAPKHOTW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CR&amp;VAR:INDEX=0"}</definedName>
    <definedName function="false" hidden="true" name="_2049__FDSAUDITLINK__" vbProcedure="false">{"fdsup://directions/FAT Viewer?action=UPDATE&amp;creator=factset&amp;DYN_ARGS=TRUE&amp;DOC_NAME=FAT:FQL_AUDITING_CLIENT_TEMPLATE.FAT&amp;display_string=Audit&amp;VAR:KEY=PGJUZILC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598519&amp;VAR:INDEX=0"}</definedName>
    <definedName function="false" hidden="true" name="_204__FDSAUDITLINK__" vbProcedure="false">{"fdsup://directions/FAT Viewer?action=UPDATE&amp;creator=factset&amp;DYN_ARGS=TRUE&amp;DOC_NAME=FAT:FQL_AUDITING_CLIENT_TEMPLATE.FAT&amp;display_string=Audit&amp;VAR:KEY=DMFQTEDOZS&amp;VAR:QUERY=KEZTTF9ORVRfSU5DKE5PVyxOT1csRlNBLCxVU0QpQEZGX05FVF9JTkMoTFRNUywwLCwsLFVTRCkp&amp;WINDOW=F","IRST_POPUP&amp;HEIGHT=450&amp;WIDTH=450&amp;START_MAXIMIZED=FALSE&amp;VAR:CALENDAR=US&amp;VAR:SYMBOL=UIS&amp;VAR:INDEX=0"}</definedName>
    <definedName function="false" hidden="true" name="_2050__FDSAUDITLINK__" vbProcedure="false">{"fdsup://directions/FAT Viewer?action=UPDATE&amp;creator=factset&amp;DYN_ARGS=TRUE&amp;DOC_NAME=FAT:FQL_AUDITING_CLIENT_TEMPLATE.FAT&amp;display_string=Audit&amp;VAR:KEY=FQNGTQVQ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SIA&amp;VAR:INDEX=0"}</definedName>
    <definedName function="false" hidden="true" name="_2051__FDSAUDITLINK__" vbProcedure="false">{"fdsup://directions/FAT Viewer?action=UPDATE&amp;creator=factset&amp;DYN_ARGS=TRUE&amp;DOC_NAME=FAT:FQL_AUDITING_CLIENT_TEMPLATE.FAT&amp;display_string=Audit&amp;VAR:KEY=FEJEZKXC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FIV&amp;VAR:INDEX=0"}</definedName>
    <definedName function="false" hidden="true" name="_2052__FDSAUDITLINK__" vbProcedure="false">{"fdsup://Directions/FactSet Auditing Viewer?action=AUDIT_VALUE&amp;DB=129&amp;ID1=92671310&amp;VALUEID=02001&amp;SDATE=201002&amp;PERIODTYPE=QTR_STD&amp;window=popup_no_bar&amp;width=385&amp;height=120&amp;START_MAXIMIZED=FALSE&amp;creator=factset&amp;display_string=Audit"}</definedName>
    <definedName function="false" hidden="true" name="_2053__FDSAUDITLINK__" vbProcedure="false">{"fdsup://Directions/FactSet Auditing Viewer?action=AUDIT_VALUE&amp;DB=129&amp;ID1=97750V10&amp;VALUEID=02001&amp;SDATE=201002&amp;PERIODTYPE=QTR_STD&amp;window=popup_no_bar&amp;width=385&amp;height=120&amp;START_MAXIMIZED=FALSE&amp;creator=factset&amp;display_string=Audit"}</definedName>
    <definedName function="false" hidden="true" name="_2054__FDSAUDITLINK__" vbProcedure="false">{"fdsup://Directions/FactSet Auditing Viewer?action=AUDIT_VALUE&amp;DB=129&amp;ID1=17160530&amp;VALUEID=02001&amp;SDATE=201002&amp;PERIODTYPE=QTR_STD&amp;window=popup_no_bar&amp;width=385&amp;height=120&amp;START_MAXIMIZED=FALSE&amp;creator=factset&amp;display_string=Audit"}</definedName>
    <definedName function="false" hidden="true" name="_2055__FDSAUDITLINK__" vbProcedure="false">{"fdsup://Directions/FactSet Auditing Viewer?action=AUDIT_VALUE&amp;DB=129&amp;ID1=74269U10&amp;VALUEID=02001&amp;SDATE=201002&amp;PERIODTYPE=QTR_STD&amp;window=popup_no_bar&amp;width=385&amp;height=120&amp;START_MAXIMIZED=FALSE&amp;creator=factset&amp;display_string=Audit"}</definedName>
    <definedName function="false" hidden="true" name="_2056__FDSAUDITLINK__" vbProcedure="false">{"fdsup://Directions/FactSet Auditing Viewer?action=AUDIT_VALUE&amp;DB=129&amp;ID1=87157B10&amp;VALUEID=02001&amp;SDATE=201002&amp;PERIODTYPE=QTR_STD&amp;window=popup_no_bar&amp;width=385&amp;height=120&amp;START_MAXIMIZED=FALSE&amp;creator=factset&amp;display_string=Audit"}</definedName>
    <definedName function="false" hidden="true" name="_2057__FDSAUDITLINK__" vbProcedure="false">{"fdsup://Directions/FactSet Auditing Viewer?action=AUDIT_VALUE&amp;DB=129&amp;ID1=M8187310&amp;VALUEID=02001&amp;SDATE=201002&amp;PERIODTYPE=QTR_STD&amp;window=popup_no_bar&amp;width=385&amp;height=120&amp;START_MAXIMIZED=FALSE&amp;creator=factset&amp;display_string=Audit"}</definedName>
    <definedName function="false" hidden="true" name="_2058__FDSAUDITLINK__" vbProcedure="false">{"fdsup://Directions/FactSet Auditing Viewer?action=AUDIT_VALUE&amp;DB=129&amp;ID1=04518A10&amp;VALUEID=02001&amp;SDATE=201002&amp;PERIODTYPE=QTR_STD&amp;window=popup_no_bar&amp;width=385&amp;height=120&amp;START_MAXIMIZED=FALSE&amp;creator=factset&amp;display_string=Audit"}</definedName>
    <definedName function="false" hidden="true" name="_2059__FDSAUDITLINK__" vbProcedure="false">{"fdsup://Directions/FactSet Auditing Viewer?action=AUDIT_VALUE&amp;DB=129&amp;ID1=31561610&amp;VALUEID=02001&amp;SDATE=201003&amp;PERIODTYPE=QTR_STD&amp;window=popup_no_bar&amp;width=385&amp;height=120&amp;START_MAXIMIZED=FALSE&amp;creator=factset&amp;display_string=Audit"}</definedName>
    <definedName function="false" hidden="true" name="_205__FDSAUDITLINK__" vbProcedure="false">{"fdsup://directions/FAT Viewer?action=UPDATE&amp;creator=factset&amp;DYN_ARGS=TRUE&amp;DOC_NAME=FAT:FQL_AUDITING_CLIENT_TEMPLATE.FAT&amp;display_string=Audit&amp;VAR:KEY=XCPYTAJYLI&amp;VAR:QUERY=KEZTTF9ORVRfSU5DKE5PVyxOT1csRlNBLCxVU0QpQEZGX05FVF9JTkMoTFRNUywwLCwsLFVTRCkp&amp;WINDOW=F","IRST_POPUP&amp;HEIGHT=450&amp;WIDTH=450&amp;START_MAXIMIZED=FALSE&amp;VAR:CALENDAR=US&amp;VAR:SYMBOL=AH&amp;VAR:INDEX=0"}</definedName>
    <definedName function="false" hidden="true" name="_2060__FDSAUDITLINK__" vbProcedure="false">{"fdsup://directions/FAT Viewer?action=UPDATE&amp;creator=factset&amp;DYN_ARGS=TRUE&amp;DOC_NAME=FAT:FQL_AUDITING_CLIENT_TEMPLATE.FAT&amp;display_string=Audit&amp;VAR:KEY=JUPYDALILQ&amp;VAR:QUERY=KEZTTF9ORVRfSU5DKE5PVyxOT1csRlNBLCxVU0QpQEZGX05FVF9JTkMoTFRNUywwLCwsLFVTRCkp&amp;WINDOW=F","IRST_POPUP&amp;HEIGHT=450&amp;WIDTH=450&amp;START_MAXIMIZED=FALSE&amp;VAR:CALENDAR=US&amp;VAR:SYMBOL=ATGN&amp;VAR:INDEX=0"}</definedName>
    <definedName function="false" hidden="true" name="_2061__FDSAUDITLINK__" vbProcedure="false">{"fdsup://directions/FAT Viewer?action=UPDATE&amp;creator=factset&amp;DYN_ARGS=TRUE&amp;DOC_NAME=FAT:FQL_AUDITING_CLIENT_TEMPLATE.FAT&amp;display_string=Audit&amp;VAR:KEY=NYVAZIBCRG&amp;VAR:QUERY=KEZTTF9ORVRfSU5DKE5PVyxOT1csRlNBLCxVU0QpQEZGX05FVF9JTkMoTFRNUywwLCwsLFVTRCkp&amp;WINDOW=F","IRST_POPUP&amp;HEIGHT=450&amp;WIDTH=450&amp;START_MAXIMIZED=FALSE&amp;VAR:CALENDAR=US&amp;VAR:SYMBOL=COBR&amp;VAR:INDEX=0"}</definedName>
    <definedName function="false" hidden="true" name="_2062__FDSAUDITLINK__" vbProcedure="false">{"fdsup://directions/FAT Viewer?action=UPDATE&amp;creator=factset&amp;DYN_ARGS=TRUE&amp;DOC_NAME=FAT:FQL_AUDITING_CLIENT_TEMPLATE.FAT&amp;display_string=Audit&amp;VAR:KEY=DGJOTYJMJW&amp;VAR:QUERY=KEZTTF9ORVRfSU5DKE5PVyxOT1csRlNBLCxVU0QpQEZGX05FVF9JTkMoTFRNUywwLCwsLFVTRCkp&amp;WINDOW=F","IRST_POPUP&amp;HEIGHT=450&amp;WIDTH=450&amp;START_MAXIMIZED=FALSE&amp;VAR:CALENDAR=US&amp;VAR:SYMBOL=ENWV&amp;VAR:INDEX=0"}</definedName>
    <definedName function="false" hidden="true" name="_2063__FDSAUDITLINK__" vbProcedure="false">{"fdsup://directions/FAT Viewer?action=UPDATE&amp;creator=factset&amp;DYN_ARGS=TRUE&amp;DOC_NAME=FAT:FQL_AUDITING_CLIENT_TEMPLATE.FAT&amp;display_string=Audit&amp;VAR:KEY=XWPCFSJMBQ&amp;VAR:QUERY=KEZTTF9ORVRfSU5DKE5PVyxOT1csRlNBLCxVU0QpQEZGX05FVF9JTkMoTFRNUywwLCwsLFVTRCkp&amp;WINDOW=F","IRST_POPUP&amp;HEIGHT=450&amp;WIDTH=450&amp;START_MAXIMIZED=FALSE&amp;VAR:CALENDAR=US&amp;VAR:SYMBOL=RWC&amp;VAR:INDEX=0"}</definedName>
    <definedName function="false" hidden="true" name="_2064__FDSAUDITLINK__" vbProcedure="false">{"fdsup://directions/FAT Viewer?action=UPDATE&amp;creator=factset&amp;DYN_ARGS=TRUE&amp;DOC_NAME=FAT:FQL_AUDITING_CLIENT_TEMPLATE.FAT&amp;display_string=Audit&amp;VAR:KEY=HKDSZOFQVC&amp;VAR:QUERY=KEZTTF9ORVRfSU5DKE5PVyxOT1csRlNBLCxVU0QpQEZGX05FVF9JTkMoTFRNUywwLCwsLFVTRCkp&amp;WINDOW=F","IRST_POPUP&amp;HEIGHT=450&amp;WIDTH=450&amp;START_MAXIMIZED=FALSE&amp;VAR:CALENDAR=US&amp;VAR:SYMBOL=CLRO&amp;VAR:INDEX=0"}</definedName>
    <definedName function="false" hidden="true" name="_2065__FDSAUDITLINK__" vbProcedure="false">{"fdsup://directions/FAT Viewer?action=UPDATE&amp;creator=factset&amp;DYN_ARGS=TRUE&amp;DOC_NAME=FAT:FQL_AUDITING_CLIENT_TEMPLATE.FAT&amp;display_string=Audit&amp;VAR:KEY=ZKPIFGJEVU&amp;VAR:QUERY=KEZTTF9ORVRfSU5DKE5PVyxOT1csRlNBLCxVU0QpQEZGX05FVF9JTkMoTFRNUywwLCwsLFVTRCkp&amp;WINDOW=F","IRST_POPUP&amp;HEIGHT=450&amp;WIDTH=450&amp;START_MAXIMIZED=FALSE&amp;VAR:CALENDAR=US&amp;VAR:SYMBOL=SCON&amp;VAR:INDEX=0"}</definedName>
    <definedName function="false" hidden="true" name="_2066__FDSAUDITLINK__" vbProcedure="false">{"fdsup://directions/FAT Viewer?action=UPDATE&amp;creator=factset&amp;DYN_ARGS=TRUE&amp;DOC_NAME=FAT:FQL_AUDITING_CLIENT_TEMPLATE.FAT&amp;display_string=Audit&amp;VAR:KEY=FSRCZOFOVC&amp;VAR:QUERY=KEZTTF9ORVRfSU5DKE5PVyxOT1csRlNBLCxVU0QpQEZGX05FVF9JTkMoTFRNUywwLCwsLFVTRCkp&amp;WINDOW=F","IRST_POPUP&amp;HEIGHT=450&amp;WIDTH=450&amp;START_MAXIMIZED=FALSE&amp;VAR:CALENDAR=US&amp;VAR:SYMBOL=GRRF&amp;VAR:INDEX=0"}</definedName>
    <definedName function="false" hidden="true" name="_2067__FDSAUDITLINK__" vbProcedure="false">{"fdsup://directions/FAT Viewer?action=UPDATE&amp;creator=factset&amp;DYN_ARGS=TRUE&amp;DOC_NAME=FAT:FQL_AUDITING_CLIENT_TEMPLATE.FAT&amp;display_string=Audit&amp;VAR:KEY=LGDAZWVSTQ&amp;VAR:QUERY=KEZTTF9ORVRfSU5DKE5PVyxOT1csRlNBLCxVU0QpQEZGX05FVF9JTkMoTFRNUywwLCwsLFVTRCkp&amp;WINDOW=F","IRST_POPUP&amp;HEIGHT=450&amp;WIDTH=450&amp;START_MAXIMIZED=FALSE&amp;VAR:CALENDAR=US&amp;VAR:SYMBOL=NWK&amp;VAR:INDEX=0"}</definedName>
    <definedName function="false" hidden="true" name="_2068__FDSAUDITLINK__" vbProcedure="false">{"fdsup://directions/FAT Viewer?action=UPDATE&amp;creator=factset&amp;DYN_ARGS=TRUE&amp;DOC_NAME=FAT:FQL_AUDITING_CLIENT_TEMPLATE.FAT&amp;display_string=Audit&amp;VAR:KEY=FMXSDYNQNM&amp;VAR:QUERY=KEZTTF9ORVRfSU5DKE5PVyxOT1csRlNBLCxVU0QpQEZGX05FVF9JTkMoTFRNUywwLCwsLFVTRCkp&amp;WINDOW=F","IRST_POPUP&amp;HEIGHT=450&amp;WIDTH=450&amp;START_MAXIMIZED=FALSE&amp;VAR:CALENDAR=US&amp;VAR:SYMBOL=OPXT&amp;VAR:INDEX=0"}</definedName>
    <definedName function="false" hidden="true" name="_2069__FDSAUDITLINK__" vbProcedure="false">{"fdsup://directions/FAT Viewer?action=UPDATE&amp;creator=factset&amp;DYN_ARGS=TRUE&amp;DOC_NAME=FAT:FQL_AUDITING_CLIENT_TEMPLATE.FAT&amp;display_string=Audit&amp;VAR:KEY=XCDAPOVABI&amp;VAR:QUERY=KEZTTF9ORVRfSU5DKE5PVyxOT1csRlNBLCxVU0QpQEZGX05FVF9JTkMoTFRNUywwLCwsLFVTRCkp&amp;WINDOW=F","IRST_POPUP&amp;HEIGHT=450&amp;WIDTH=450&amp;START_MAXIMIZED=FALSE&amp;VAR:CALENDAR=US&amp;VAR:SYMBOL=KVHI&amp;VAR:INDEX=0"}</definedName>
    <definedName function="false" hidden="true" name="_206__FDSAUDITLINK__" vbProcedure="false">{"fdsup://directions/FAT Viewer?action=UPDATE&amp;creator=factset&amp;DYN_ARGS=TRUE&amp;DOC_NAME=FAT:FQL_AUDITING_CLIENT_TEMPLATE.FAT&amp;display_string=Audit&amp;VAR:KEY=RMVEXYVSTQ&amp;VAR:QUERY=KEZTTF9ORVRfSU5DKE5PVyxOT1csRlNBLCxVU0QpQEZGX05FVF9JTkMoTFRNUywwLCwsLFVTRCkp&amp;WINDOW=F","IRST_POPUP&amp;HEIGHT=450&amp;WIDTH=450&amp;START_MAXIMIZED=FALSE&amp;VAR:CALENDAR=US&amp;VAR:SYMBOL=SSNC&amp;VAR:INDEX=0"}</definedName>
    <definedName function="false" hidden="true" name="_2070__FDSAUDITLINK__" vbProcedure="false">{"fdsup://directions/FAT Viewer?action=UPDATE&amp;creator=factset&amp;DYN_ARGS=TRUE&amp;DOC_NAME=FAT:FQL_AUDITING_CLIENT_TEMPLATE.FAT&amp;display_string=Audit&amp;VAR:KEY=BYZKTYRYPU&amp;VAR:QUERY=KEZTTF9ORVRfSU5DKE5PVyxOT1csRlNBLCxVU0QpQEZGX05FVF9JTkMoTFRNUywwLCwsLFVTRCkp&amp;WINDOW=F","IRST_POPUP&amp;HEIGHT=450&amp;WIDTH=450&amp;START_MAXIMIZED=FALSE&amp;VAR:CALENDAR=US&amp;VAR:SYMBOL=PWAV&amp;VAR:INDEX=0"}</definedName>
    <definedName function="false" hidden="true" name="_2071__FDSAUDITLINK__" vbProcedure="false">{"fdsup://directions/FAT Viewer?action=UPDATE&amp;creator=factset&amp;DYN_ARGS=TRUE&amp;DOC_NAME=FAT:FQL_AUDITING_CLIENT_TEMPLATE.FAT&amp;display_string=Audit&amp;VAR:KEY=HQHGZKNCXK&amp;VAR:QUERY=KEZTTF9ORVRfSU5DKE5PVyxOT1csRlNBLCxVU0QpQEZGX05FVF9JTkMoTFRNUywwLCwsLFVTRCkp&amp;WINDOW=F","IRST_POPUP&amp;HEIGHT=450&amp;WIDTH=450&amp;START_MAXIMIZED=FALSE&amp;VAR:CALENDAR=US&amp;VAR:SYMBOL=EXTR&amp;VAR:INDEX=0"}</definedName>
    <definedName function="false" hidden="true" name="_2072__FDSAUDITLINK__" vbProcedure="false">{"fdsup://directions/FAT Viewer?action=UPDATE&amp;creator=factset&amp;DYN_ARGS=TRUE&amp;DOC_NAME=FAT:FQL_AUDITING_CLIENT_TEMPLATE.FAT&amp;display_string=Audit&amp;VAR:KEY=TYLCZKZQFM&amp;VAR:QUERY=KEZTTF9ORVRfSU5DKE5PVyxOT1csRlNBLCxVU0QpQEZGX05FVF9JTkMoTFRNUywwLCwsLFVTRCkp&amp;WINDOW=F","IRST_POPUP&amp;HEIGHT=450&amp;WIDTH=450&amp;START_MAXIMIZED=FALSE&amp;VAR:CALENDAR=US&amp;VAR:SYMBOL=NVTL&amp;VAR:INDEX=0"}</definedName>
    <definedName function="false" hidden="true" name="_2073__FDSAUDITLINK__" vbProcedure="false">{"fdsup://directions/FAT Viewer?action=UPDATE&amp;creator=factset&amp;DYN_ARGS=TRUE&amp;DOC_NAME=FAT:FQL_AUDITING_CLIENT_TEMPLATE.FAT&amp;display_string=Audit&amp;VAR:KEY=XQTKTWDEHI&amp;VAR:QUERY=KEZTTF9ORVRfSU5DKE5PVyxOT1csRlNBLCxVU0QpQEZGX05FVF9JTkMoTFRNUywwLCwsLFVTRCkp&amp;WINDOW=F","IRST_POPUP&amp;HEIGHT=450&amp;WIDTH=450&amp;START_MAXIMIZED=FALSE&amp;VAR:CALENDAR=US&amp;VAR:SYMBOL=SWIR&amp;VAR:INDEX=0"}</definedName>
    <definedName function="false" hidden="true" name="_2074__FDSAUDITLINK__" vbProcedure="false">{"fdsup://directions/FAT Viewer?action=UPDATE&amp;creator=factset&amp;DYN_ARGS=TRUE&amp;DOC_NAME=FAT:FQL_AUDITING_CLIENT_TEMPLATE.FAT&amp;display_string=Audit&amp;VAR:KEY=LKHQLMRQDE&amp;VAR:QUERY=KEZTTF9ORVRfSU5DKE5PVyxOT1csRlNBLCxVU0QpQEZGX05FVF9JTkMoTFRNUywwLCwsLFVTRCkp&amp;WINDOW=F","IRST_POPUP&amp;HEIGHT=450&amp;WIDTH=450&amp;START_MAXIMIZED=FALSE&amp;VAR:CALENDAR=US&amp;VAR:SYMBOL=SATS&amp;VAR:INDEX=0"}</definedName>
    <definedName function="false" hidden="true" name="_2075__FDSAUDITLINK__" vbProcedure="false">{"fdsup://directions/FAT Viewer?action=UPDATE&amp;creator=factset&amp;DYN_ARGS=TRUE&amp;DOC_NAME=FAT:FQL_AUDITING_CLIENT_TEMPLATE.FAT&amp;display_string=Audit&amp;VAR:KEY=BGBSVGFGVK&amp;VAR:QUERY=KEZTTF9ORVRfSU5DKE5PVyxOT1csRlNBLCxVU0QpQEZGX05FVF9JTkMoTFRNUywwLCwsLFVTRCkp&amp;WINDOW=F","IRST_POPUP&amp;HEIGHT=450&amp;WIDTH=450&amp;START_MAXIMIZED=FALSE&amp;VAR:CALENDAR=US&amp;VAR:SYMBOL=ELX&amp;VAR:INDEX=0"}</definedName>
    <definedName function="false" hidden="true" name="_2076__FDSAUDITLINK__" vbProcedure="false">{"fdsup://directions/FAT Viewer?action=UPDATE&amp;creator=factset&amp;DYN_ARGS=TRUE&amp;DOC_NAME=FAT:FQL_AUDITING_CLIENT_TEMPLATE.FAT&amp;display_string=Audit&amp;VAR:KEY=DMPMHEPQVA&amp;VAR:QUERY=KEZTTF9ORVRfSU5DKE5PVyxOT1csRlNBLCxVU0QpQEZGX05FVF9JTkMoTFRNUywwLCwsLFVTRCkp&amp;WINDOW=F","IRST_POPUP&amp;HEIGHT=450&amp;WIDTH=450&amp;START_MAXIMIZED=FALSE&amp;VAR:CALENDAR=US&amp;VAR:SYMBOL=PLT&amp;VAR:INDEX=0"}</definedName>
    <definedName function="false" hidden="true" name="_2077__FDSAUDITLINK__" vbProcedure="false">{"fdsup://directions/FAT Viewer?action=UPDATE&amp;creator=factset&amp;DYN_ARGS=TRUE&amp;DOC_NAME=FAT:FQL_AUDITING_CLIENT_TEMPLATE.FAT&amp;display_string=Audit&amp;VAR:KEY=POXEXEPANG&amp;VAR:QUERY=KEZTTF9ORVRfSU5DKE5PVyxOT1csRlNBLCxVU0QpQEZGX05FVF9JTkMoTFRNUywwLCwsLFVTRCkp&amp;WINDOW=F","IRST_POPUP&amp;HEIGHT=450&amp;WIDTH=450&amp;START_MAXIMIZED=FALSE&amp;VAR:CALENDAR=US&amp;VAR:SYMBOL=KYO&amp;VAR:INDEX=0"}</definedName>
    <definedName function="false" hidden="true" name="_2078__FDSAUDITLINK__" vbProcedure="false">{"fdsup://directions/FAT Viewer?action=UPDATE&amp;creator=factset&amp;DYN_ARGS=TRUE&amp;DOC_NAME=FAT:FQL_AUDITING_CLIENT_TEMPLATE.FAT&amp;display_string=Audit&amp;VAR:KEY=DABOFUNY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GN&amp;VAR:INDEX=0"}</definedName>
    <definedName function="false" hidden="true" name="_2079__FDSAUDITLINK__" vbProcedure="false">{"fdsup://directions/FAT Viewer?action=UPDATE&amp;creator=factset&amp;DYN_ARGS=TRUE&amp;DOC_NAME=FAT:FQL_AUDITING_CLIENT_TEMPLATE.FAT&amp;display_string=Audit&amp;VAR:KEY=RSXIDCRW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BR&amp;VAR:INDEX=0"}</definedName>
    <definedName function="false" hidden="true" name="_207__FDSAUDITLINK__" vbProcedure="false">{"fdsup://directions/FAT Viewer?action=UPDATE&amp;creator=factset&amp;DYN_ARGS=TRUE&amp;DOC_NAME=FAT:FQL_AUDITING_CLIENT_TEMPLATE.FAT&amp;display_string=Audit&amp;VAR:KEY=LQPKNCTMBM&amp;VAR:QUERY=KEZTTF9ORVRfSU5DKE5PVyxOT1csRlNBLCxVU0QpQEZGX05FVF9JTkMoTFRNUywwLCwsLFVTRCkp&amp;WINDOW=F","IRST_POPUP&amp;HEIGHT=450&amp;WIDTH=450&amp;START_MAXIMIZED=FALSE&amp;VAR:CALENDAR=US&amp;VAR:SYMBOL=SAPE&amp;VAR:INDEX=0"}</definedName>
    <definedName function="false" hidden="true" name="_2080__FDSAUDITLINK__" vbProcedure="false">{"fdsup://directions/FAT Viewer?action=UPDATE&amp;creator=factset&amp;DYN_ARGS=TRUE&amp;DOC_NAME=FAT:FQL_AUDITING_CLIENT_TEMPLATE.FAT&amp;display_string=Audit&amp;VAR:KEY=DYXCHCNG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NWV&amp;VAR:INDEX=0"}</definedName>
    <definedName function="false" hidden="true" name="_2081__FDSAUDITLINK__" vbProcedure="false">{"fdsup://directions/FAT Viewer?action=UPDATE&amp;creator=factset&amp;DYN_ARGS=TRUE&amp;DOC_NAME=FAT:FQL_AUDITING_CLIENT_TEMPLATE.FAT&amp;display_string=Audit&amp;VAR:KEY=FCTEVQBY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WC&amp;VAR:INDEX=0"}</definedName>
    <definedName function="false" hidden="true" name="_2082__FDSAUDITLINK__" vbProcedure="false">{"fdsup://directions/FAT Viewer?action=UPDATE&amp;creator=factset&amp;DYN_ARGS=TRUE&amp;DOC_NAME=FAT:FQL_AUDITING_CLIENT_TEMPLATE.FAT&amp;display_string=Audit&amp;VAR:KEY=BWTWLMJQ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RO&amp;VAR:INDEX=0"}</definedName>
    <definedName function="false" hidden="true" name="_2083__FDSAUDITLINK__" vbProcedure="false">{"fdsup://directions/FAT Viewer?action=UPDATE&amp;creator=factset&amp;DYN_ARGS=TRUE&amp;DOC_NAME=FAT:FQL_AUDITING_CLIENT_TEMPLATE.FAT&amp;display_string=Audit&amp;VAR:KEY=NENWHOTID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CON&amp;VAR:INDEX=0"}</definedName>
    <definedName function="false" hidden="true" name="_2084__FDSAUDITLINK__" vbProcedure="false">{"fdsup://directions/FAT Viewer?action=UPDATE&amp;creator=factset&amp;DYN_ARGS=TRUE&amp;DOC_NAME=FAT:FQL_AUDITING_CLIENT_TEMPLATE.FAT&amp;display_string=Audit&amp;VAR:KEY=FIBWXAZWD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RRF&amp;VAR:INDEX=0"}</definedName>
    <definedName function="false" hidden="true" name="_2085__FDSAUDITLINK__" vbProcedure="false">{"fdsup://directions/FAT Viewer?action=UPDATE&amp;creator=factset&amp;DYN_ARGS=TRUE&amp;DOC_NAME=FAT:FQL_AUDITING_CLIENT_TEMPLATE.FAT&amp;display_string=Audit&amp;VAR:KEY=HCDUBAVE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WK&amp;VAR:INDEX=0"}</definedName>
    <definedName function="false" hidden="true" name="_2086__FDSAUDITLINK__" vbProcedure="false">{"fdsup://directions/FAT Viewer?action=UPDATE&amp;creator=factset&amp;DYN_ARGS=TRUE&amp;DOC_NAME=FAT:FQL_AUDITING_CLIENT_TEMPLATE.FAT&amp;display_string=Audit&amp;VAR:KEY=PMTMXSH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XT&amp;VAR:INDEX=0"}</definedName>
    <definedName function="false" hidden="true" name="_2087__FDSAUDITLINK__" vbProcedure="false">{"fdsup://directions/FAT Viewer?action=UPDATE&amp;creator=factset&amp;DYN_ARGS=TRUE&amp;DOC_NAME=FAT:FQL_AUDITING_CLIENT_TEMPLATE.FAT&amp;display_string=Audit&amp;VAR:KEY=VUVGTGNW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VHI&amp;VAR:INDEX=0"}</definedName>
    <definedName function="false" hidden="true" name="_2088__FDSAUDITLINK__" vbProcedure="false">{"fdsup://directions/FAT Viewer?action=UPDATE&amp;creator=factset&amp;DYN_ARGS=TRUE&amp;DOC_NAME=FAT:FQL_AUDITING_CLIENT_TEMPLATE.FAT&amp;display_string=Audit&amp;VAR:KEY=BEHWRKHU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WAV&amp;VAR:INDEX=0"}</definedName>
    <definedName function="false" hidden="true" name="_2089__FDSAUDITLINK__" vbProcedure="false">{"fdsup://directions/FAT Viewer?action=UPDATE&amp;creator=factset&amp;DYN_ARGS=TRUE&amp;DOC_NAME=FAT:FQL_AUDITING_CLIENT_TEMPLATE.FAT&amp;display_string=Audit&amp;VAR:KEY=NGVQBKPA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TR&amp;VAR:INDEX=0"}</definedName>
    <definedName function="false" hidden="true" name="_208__FDSAUDITLINK__" vbProcedure="false">{"fdsup://directions/FAT Viewer?action=UPDATE&amp;creator=factset&amp;DYN_ARGS=TRUE&amp;DOC_NAME=FAT:FQL_AUDITING_CLIENT_TEMPLATE.FAT&amp;display_string=Audit&amp;VAR:KEY=FERMVMBOXA&amp;VAR:QUERY=KEZTTF9ORVRfSU5DKE5PVyxOT1csRlNBLCxVU0QpQEZGX05FVF9JTkMoTFRNUywwLCwsLFVTRCkp&amp;WINDOW=F","IRST_POPUP&amp;HEIGHT=450&amp;WIDTH=450&amp;START_MAXIMIZED=FALSE&amp;VAR:CALENDAR=US&amp;VAR:SYMBOL=SYNT&amp;VAR:INDEX=0"}</definedName>
    <definedName function="false" hidden="true" name="_2090__FDSAUDITLINK__" vbProcedure="false">{"fdsup://directions/FAT Viewer?action=UPDATE&amp;creator=factset&amp;DYN_ARGS=TRUE&amp;DOC_NAME=FAT:FQL_AUDITING_CLIENT_TEMPLATE.FAT&amp;display_string=Audit&amp;VAR:KEY=JQPMJKTCT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VTL&amp;VAR:INDEX=0"}</definedName>
    <definedName function="false" hidden="true" name="_2091__FDSAUDITLINK__" vbProcedure="false">{"fdsup://directions/FAT Viewer?action=UPDATE&amp;creator=factset&amp;DYN_ARGS=TRUE&amp;DOC_NAME=FAT:FQL_AUDITING_CLIENT_TEMPLATE.FAT&amp;display_string=Audit&amp;VAR:KEY=LEFCFSZI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R&amp;VAR:INDEX=0"}</definedName>
    <definedName function="false" hidden="true" name="_2092__FDSAUDITLINK__" vbProcedure="false">{"fdsup://directions/FAT Viewer?action=UPDATE&amp;creator=factset&amp;DYN_ARGS=TRUE&amp;DOC_NAME=FAT:FQL_AUDITING_CLIENT_TEMPLATE.FAT&amp;display_string=Audit&amp;VAR:KEY=VWLUXOVI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TS&amp;VAR:INDEX=0"}</definedName>
    <definedName function="false" hidden="true" name="_2093__FDSAUDITLINK__" vbProcedure="false">{"fdsup://directions/FAT Viewer?action=UPDATE&amp;creator=factset&amp;DYN_ARGS=TRUE&amp;DOC_NAME=FAT:FQL_AUDITING_CLIENT_TEMPLATE.FAT&amp;display_string=Audit&amp;VAR:KEY=NABMBQPA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LX&amp;VAR:INDEX=0"}</definedName>
    <definedName function="false" hidden="true" name="_2094__FDSAUDITLINK__" vbProcedure="false">{"fdsup://directions/FAT Viewer?action=UPDATE&amp;creator=factset&amp;DYN_ARGS=TRUE&amp;DOC_NAME=FAT:FQL_AUDITING_CLIENT_TEMPLATE.FAT&amp;display_string=Audit&amp;VAR:KEY=JQPUFQLKX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LT&amp;VAR:INDEX=0"}</definedName>
    <definedName function="false" hidden="true" name="_2095__FDSAUDITLINK__" vbProcedure="false">{"fdsup://directions/FAT Viewer?action=UPDATE&amp;creator=factset&amp;DYN_ARGS=TRUE&amp;DOC_NAME=FAT:FQL_AUDITING_CLIENT_TEMPLATE.FAT&amp;display_string=Audit&amp;VAR:KEY=DAFURMDW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YO&amp;VAR:INDEX=0"}</definedName>
    <definedName function="false" hidden="true" name="_2096__FDSAUDITLINK__" vbProcedure="false">{"fdsup://Directions/FactSet Auditing Viewer?action=AUDIT_VALUE&amp;DB=129&amp;ID1=02148910&amp;VALUEID=02001&amp;SDATE=201003&amp;PERIODTYPE=QTR_STD&amp;window=popup_no_bar&amp;width=385&amp;height=120&amp;START_MAXIMIZED=FALSE&amp;creator=factset&amp;display_string=Audit"}</definedName>
    <definedName function="false" hidden="true" name="_2097__FDSAUDITLINK__" vbProcedure="false">{"fdsup://Directions/FactSet Auditing Viewer?action=AUDIT_VALUE&amp;DB=129&amp;ID1=19104210&amp;VALUEID=02001&amp;SDATE=201002&amp;PERIODTYPE=QTR_STD&amp;window=popup_no_bar&amp;width=385&amp;height=120&amp;START_MAXIMIZED=FALSE&amp;creator=factset&amp;display_string=Audit"}</definedName>
    <definedName function="false" hidden="true" name="_2098__FDSAUDITLINK__" vbProcedure="false">{"fdsup://Directions/FactSet Auditing Viewer?action=AUDIT_VALUE&amp;DB=129&amp;ID1=29264A20&amp;VALUEID=02001&amp;SDATE=201002&amp;PERIODTYPE=QTR_STD&amp;window=popup_no_bar&amp;width=385&amp;height=120&amp;START_MAXIMIZED=FALSE&amp;creator=factset&amp;display_string=Audit"}</definedName>
    <definedName function="false" hidden="true" name="_2099__FDSAUDITLINK__" vbProcedure="false">{"fdsup://Directions/FactSet Auditing Viewer?action=AUDIT_VALUE&amp;DB=129&amp;ID1=75952510&amp;VALUEID=02001&amp;SDATE=201002&amp;PERIODTYPE=QTR_STD&amp;window=popup_no_bar&amp;width=385&amp;height=120&amp;START_MAXIMIZED=FALSE&amp;creator=factset&amp;display_string=Audit"}</definedName>
    <definedName function="false" hidden="true" name="_209__123Graph_AChart_58B" vbProcedure="false">#REF!</definedName>
    <definedName function="false" hidden="true" name="_209__FDSAUDITLINK__" vbProcedure="false">{"fdsup://directions/FAT Viewer?action=UPDATE&amp;creator=factset&amp;DYN_ARGS=TRUE&amp;DOC_NAME=FAT:FQL_AUDITING_CLIENT_TEMPLATE.FAT&amp;display_string=Audit&amp;VAR:KEY=JGNQZCHIPO&amp;VAR:QUERY=RkZfRUJJVERBX09QRVIoTFRNLDAsLCwsVVNEKQ==&amp;WINDOW=FIRST_POPUP&amp;HEIGHT=450&amp;WIDTH=450&amp;STAR","T_MAXIMIZED=FALSE&amp;VAR:CALENDAR=US&amp;VAR:SYMBOL=UDRL&amp;VAR:INDEX=0"}</definedName>
    <definedName function="false" hidden="true" name="_20_0_Table2_" vbProcedure="false">#REF!</definedName>
    <definedName function="false" hidden="true" name="_20__123Graph_XADV_PCGD" vbProcedure="false">#REF!</definedName>
    <definedName function="false" hidden="true" name="_20__FDSAUDITLINK__" vbProcedure="false">{"fdsup://directions/FAT Viewer?action=UPDATE&amp;creator=factset&amp;DYN_ARGS=TRUE&amp;DOC_NAME=FAT:FQL_AUDITING_CLIENT_TEMPLATE.FAT&amp;display_string=Audit&amp;VAR:KEY=UNOBIVMNGP&amp;VAR:QUERY=RkZfRUJJVERBX09QRVIoTFRNLDAsLCwsVVNEKQ==&amp;WINDOW=FIRST_POPUP&amp;HEIGHT=450&amp;WIDTH=450&amp;STAR","T_MAXIMIZED=FALSE&amp;VAR:CALENDAR=US&amp;VAR:SYMBOL=NOA&amp;VAR:INDEX=0"}</definedName>
    <definedName function="false" hidden="true" name="_2100__FDSAUDITLINK__" vbProcedure="false">{"fdsup://Directions/FactSet Auditing Viewer?action=AUDIT_VALUE&amp;DB=129&amp;ID1=18506010&amp;VALUEID=02001&amp;SDATE=201002&amp;PERIODTYPE=QTR_STD&amp;window=popup_no_bar&amp;width=385&amp;height=120&amp;START_MAXIMIZED=FALSE&amp;creator=factset&amp;display_string=Audit"}</definedName>
    <definedName function="false" hidden="true" name="_2101__FDSAUDITLINK__" vbProcedure="false">{"fdsup://Directions/FactSet Auditing Viewer?action=AUDIT_VALUE&amp;DB=129&amp;ID1=86793130&amp;VALUEID=02001&amp;SDATE=201002&amp;PERIODTYPE=QTR_STD&amp;window=popup_no_bar&amp;width=385&amp;height=120&amp;START_MAXIMIZED=FALSE&amp;creator=factset&amp;display_string=Audit"}</definedName>
    <definedName function="false" hidden="true" name="_2102__FDSAUDITLINK__" vbProcedure="false">{"fdsup://Directions/FactSet Auditing Viewer?action=AUDIT_VALUE&amp;DB=129&amp;ID1=64120810&amp;VALUEID=02001&amp;SDATE=201001&amp;PERIODTYPE=QTR_STD&amp;window=popup_no_bar&amp;width=385&amp;height=120&amp;START_MAXIMIZED=FALSE&amp;creator=factset&amp;display_string=Audit"}</definedName>
    <definedName function="false" hidden="true" name="_2103__FDSAUDITLINK__" vbProcedure="false">{"fdsup://Directions/FactSet Auditing Viewer?action=AUDIT_VALUE&amp;DB=129&amp;ID1=68375V10&amp;VALUEID=02001&amp;SDATE=201001&amp;PERIODTYPE=QTR_STD&amp;window=popup_no_bar&amp;width=385&amp;height=120&amp;START_MAXIMIZED=FALSE&amp;creator=factset&amp;display_string=Audit"}</definedName>
    <definedName function="false" hidden="true" name="_2104__FDSAUDITLINK__" vbProcedure="false">{"fdsup://Directions/FactSet Auditing Viewer?action=AUDIT_VALUE&amp;DB=129&amp;ID1=48273810&amp;VALUEID=02001&amp;SDATE=201002&amp;PERIODTYPE=QTR_STD&amp;window=popup_no_bar&amp;width=385&amp;height=120&amp;START_MAXIMIZED=FALSE&amp;creator=factset&amp;display_string=Audit"}</definedName>
    <definedName function="false" hidden="true" name="_2105__FDSAUDITLINK__" vbProcedure="false">{"fdsup://Directions/FactSet Auditing Viewer?action=AUDIT_VALUE&amp;DB=129&amp;ID1=73936310&amp;VALUEID=02001&amp;SDATE=201002&amp;PERIODTYPE=QTR_STD&amp;window=popup_no_bar&amp;width=385&amp;height=120&amp;START_MAXIMIZED=FALSE&amp;creator=factset&amp;display_string=Audit"}</definedName>
    <definedName function="false" hidden="true" name="_2106__FDSAUDITLINK__" vbProcedure="false">{"fdsup://Directions/FactSet Auditing Viewer?action=AUDIT_VALUE&amp;DB=129&amp;ID1=30226D10&amp;VALUEID=02001&amp;SDATE=201004&amp;PERIODTYPE=QTR_STD&amp;window=popup_no_bar&amp;width=385&amp;height=120&amp;START_MAXIMIZED=FALSE&amp;creator=factset&amp;display_string=Audit"}</definedName>
    <definedName function="false" hidden="true" name="_2107__FDSAUDITLINK__" vbProcedure="false">{"fdsup://Directions/FactSet Auditing Viewer?action=AUDIT_VALUE&amp;DB=129&amp;ID1=66987M60&amp;VALUEID=02001&amp;SDATE=201002&amp;PERIODTYPE=QTR_STD&amp;window=popup_no_bar&amp;width=385&amp;height=120&amp;START_MAXIMIZED=FALSE&amp;creator=factset&amp;display_string=Audit"}</definedName>
    <definedName function="false" hidden="true" name="_2108__FDSAUDITLINK__" vbProcedure="false">{"fdsup://Directions/FactSet Auditing Viewer?action=AUDIT_VALUE&amp;DB=129&amp;ID1=27876810&amp;VALUEID=02001&amp;SDATE=201002&amp;PERIODTYPE=QTR_STD&amp;window=popup_no_bar&amp;width=385&amp;height=120&amp;START_MAXIMIZED=FALSE&amp;creator=factset&amp;display_string=Audit"}</definedName>
    <definedName function="false" hidden="true" name="_2109__FDSAUDITLINK__" vbProcedure="false">{"fdsup://Directions/FactSet Auditing Viewer?action=AUDIT_VALUE&amp;DB=129&amp;ID1=29247520&amp;VALUEID=02001&amp;SDATE=201004&amp;PERIODTYPE=QTR_STD&amp;window=popup_no_bar&amp;width=385&amp;height=120&amp;START_MAXIMIZED=FALSE&amp;creator=factset&amp;display_string=Audit"}</definedName>
    <definedName function="false" hidden="true" name="_210__FDSAUDITLINK__" vbProcedure="false">{"fdsup://directions/FAT Viewer?action=UPDATE&amp;creator=factset&amp;DYN_ARGS=TRUE&amp;DOC_NAME=FAT:FQL_AUDITING_CLIENT_TEMPLATE.FAT&amp;display_string=Audit&amp;VAR:KEY=LOFIXWDCDW&amp;VAR:QUERY=RkZfRUJJVERBX09QRVIoTFRNLDAsLCwsVVNEKQ==&amp;WINDOW=FIRST_POPUP&amp;HEIGHT=450&amp;WIDTH=450&amp;STAR","T_MAXIMIZED=FALSE&amp;VAR:CALENDAR=US&amp;VAR:SYMBOL=BAS&amp;VAR:INDEX=0"}</definedName>
    <definedName function="false" hidden="true" name="_2110__FDSAUDITLINK__" vbProcedure="false">{"fdsup://Directions/FactSet Auditing Viewer?action=AUDIT_VALUE&amp;DB=129&amp;ID1=72749310&amp;VALUEID=02001&amp;SDATE=201001&amp;PERIODTYPE=QTR_STD&amp;window=popup_no_bar&amp;width=385&amp;height=120&amp;START_MAXIMIZED=FALSE&amp;creator=factset&amp;display_string=Audit"}</definedName>
    <definedName function="false" hidden="true" name="_2111__FDSAUDITLINK__" vbProcedure="false">{"fdsup://directions/FAT Viewer?action=UPDATE&amp;creator=factset&amp;DYN_ARGS=TRUE&amp;DOC_NAME=FAT:FQL_AUDITING_CLIENT_TEMPLATE.FAT&amp;display_string=Audit&amp;VAR:KEY=FABGLATAXK&amp;VAR:QUERY=KEZTTF9ORVRfSU5DKE5PVyxOT1csRlNBLCxVU0QpQEZGX05FVF9JTkMoTFRNUywwLCwsLFVTRCkp&amp;WINDOW=F","IRST_POPUP&amp;HEIGHT=450&amp;WIDTH=450&amp;START_MAXIMIZED=FALSE&amp;VAR:CALENDAR=US&amp;VAR:SYMBOL=AMLJ&amp;VAR:INDEX=0"}</definedName>
    <definedName function="false" hidden="true" name="_2112__FDSAUDITLINK__" vbProcedure="false">{"fdsup://directions/FAT Viewer?action=UPDATE&amp;creator=factset&amp;DYN_ARGS=TRUE&amp;DOC_NAME=FAT:FQL_AUDITING_CLIENT_TEMPLATE.FAT&amp;display_string=Audit&amp;VAR:KEY=NMZWRILGXO&amp;VAR:QUERY=KEZTTF9ORVRfSU5DKE5PVyxOT1csRlNBLCxVU0QpQEZGX05FVF9JTkMoTFRNUywwLCwsLFVTRCkp&amp;WINDOW=F","IRST_POPUP&amp;HEIGHT=450&amp;WIDTH=450&amp;START_MAXIMIZED=FALSE&amp;VAR:CALENDAR=US&amp;VAR:SYMBOL=XETA&amp;VAR:INDEX=0"}</definedName>
    <definedName function="false" hidden="true" name="_2113__FDSAUDITLINK__" vbProcedure="false">{"fdsup://directions/FAT Viewer?action=UPDATE&amp;creator=factset&amp;DYN_ARGS=TRUE&amp;DOC_NAME=FAT:FQL_AUDITING_CLIENT_TEMPLATE.FAT&amp;display_string=Audit&amp;VAR:KEY=RAXQXQNATW&amp;VAR:QUERY=KEZTTF9ORVRfSU5DKE5PVyxOT1csRlNBLCxVU0QpQEZGX05FVF9JTkMoTFRNUywwLCwsLFVTRCkp&amp;WINDOW=F","IRST_POPUP&amp;HEIGHT=450&amp;WIDTH=450&amp;START_MAXIMIZED=FALSE&amp;VAR:CALENDAR=US&amp;VAR:SYMBOL=TXCC&amp;VAR:INDEX=0"}</definedName>
    <definedName function="false" hidden="true" name="_2114__FDSAUDITLINK__" vbProcedure="false">{"fdsup://directions/FAT Viewer?action=UPDATE&amp;creator=factset&amp;DYN_ARGS=TRUE&amp;DOC_NAME=FAT:FQL_AUDITING_CLIENT_TEMPLATE.FAT&amp;display_string=Audit&amp;VAR:KEY=PENWHONKHG&amp;VAR:QUERY=KEZTTF9ORVRfSU5DKE5PVyxOT1csRlNBLCxVU0QpQEZGX05FVF9JTkMoTFRNUywwLCwsLFVTRCkp&amp;WINDOW=F","IRST_POPUP&amp;HEIGHT=450&amp;WIDTH=450&amp;START_MAXIMIZED=FALSE&amp;VAR:CALENDAR=US&amp;VAR:SYMBOL=EMKR&amp;VAR:INDEX=0"}</definedName>
    <definedName function="false" hidden="true" name="_2115__FDSAUDITLINK__" vbProcedure="false">{"fdsup://directions/FAT Viewer?action=UPDATE&amp;creator=factset&amp;DYN_ARGS=TRUE&amp;DOC_NAME=FAT:FQL_AUDITING_CLIENT_TEMPLATE.FAT&amp;display_string=Audit&amp;VAR:KEY=JINEBCPUPE&amp;VAR:QUERY=KEZTTF9ORVRfSU5DKE5PVyxOT1csRlNBLCxVU0QpQEZGX05FVF9JTkMoTFRNUywwLCwsLFVTRCkp&amp;WINDOW=F","IRST_POPUP&amp;HEIGHT=450&amp;WIDTH=450&amp;START_MAXIMIZED=FALSE&amp;VAR:CALENDAR=US&amp;VAR:SYMBOL=CNXT&amp;VAR:INDEX=0"}</definedName>
    <definedName function="false" hidden="true" name="_2116__FDSAUDITLINK__" vbProcedure="false">{"fdsup://directions/FAT Viewer?action=UPDATE&amp;creator=factset&amp;DYN_ARGS=TRUE&amp;DOC_NAME=FAT:FQL_AUDITING_CLIENT_TEMPLATE.FAT&amp;display_string=Audit&amp;VAR:KEY=FAPYPMLKBK&amp;VAR:QUERY=KEZTTF9ORVRfSU5DKE5PVyxOT1csRlNBLCxVU0QpQEZGX05FVF9JTkMoTFRNUywwLCwsLFVTRCkp&amp;WINDOW=F","IRST_POPUP&amp;HEIGHT=450&amp;WIDTH=450&amp;START_MAXIMIZED=FALSE&amp;VAR:CALENDAR=US&amp;VAR:SYMBOL=SYMM&amp;VAR:INDEX=0"}</definedName>
    <definedName function="false" hidden="true" name="_2117__FDSAUDITLINK__" vbProcedure="false">{"fdsup://directions/FAT Viewer?action=UPDATE&amp;creator=factset&amp;DYN_ARGS=TRUE&amp;DOC_NAME=FAT:FQL_AUDITING_CLIENT_TEMPLATE.FAT&amp;display_string=Audit&amp;VAR:KEY=FIVINCDKTE&amp;VAR:QUERY=KEZTTF9ORVRfSU5DKE5PVyxOT1csRlNBLCxVU0QpQEZGX05FVF9JTkMoTFRNUywwLCwsLFVTRCkp&amp;WINDOW=F","IRST_POPUP&amp;HEIGHT=450&amp;WIDTH=450&amp;START_MAXIMIZED=FALSE&amp;VAR:CALENDAR=US&amp;VAR:SYMBOL=EXAR&amp;VAR:INDEX=0"}</definedName>
    <definedName function="false" hidden="true" name="_2118__FDSAUDITLINK__" vbProcedure="false">{"fdsup://directions/FAT Viewer?action=UPDATE&amp;creator=factset&amp;DYN_ARGS=TRUE&amp;DOC_NAME=FAT:FQL_AUDITING_CLIENT_TEMPLATE.FAT&amp;display_string=Audit&amp;VAR:KEY=BWRQLYRE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MLJ&amp;VAR:INDEX=0"}</definedName>
    <definedName function="false" hidden="true" name="_2119__FDSAUDITLINK__" vbProcedure="false">{"fdsup://directions/FAT Viewer?action=UPDATE&amp;creator=factset&amp;DYN_ARGS=TRUE&amp;DOC_NAME=FAT:FQL_AUDITING_CLIENT_TEMPLATE.FAT&amp;display_string=Audit&amp;VAR:KEY=XURQDMZ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ETA&amp;VAR:INDEX=0"}</definedName>
    <definedName function="false" hidden="true" name="_211__FDSAUDITLINK__" vbProcedure="false">{"fdsup://directions/FAT Viewer?action=UPDATE&amp;creator=factset&amp;DYN_ARGS=TRUE&amp;DOC_NAME=FAT:FQL_AUDITING_CLIENT_TEMPLATE.FAT&amp;display_string=Audit&amp;VAR:KEY=JUPONYTGLQ&amp;VAR:QUERY=RkZfRUJJVERBX09QRVIoTFRNLDAsLCwsVVNEKQ==&amp;WINDOW=FIRST_POPUP&amp;HEIGHT=450&amp;WIDTH=450&amp;STAR","T_MAXIMIZED=FALSE&amp;VAR:CALENDAR=US&amp;VAR:SYMBOL=GPRE&amp;VAR:INDEX=0"}</definedName>
    <definedName function="false" hidden="true" name="_2120__FDSAUDITLINK__" vbProcedure="false">{"fdsup://directions/FAT Viewer?action=UPDATE&amp;creator=factset&amp;DYN_ARGS=TRUE&amp;DOC_NAME=FAT:FQL_AUDITING_CLIENT_TEMPLATE.FAT&amp;display_string=Audit&amp;VAR:KEY=BAVIJYRC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XCC&amp;VAR:INDEX=0"}</definedName>
    <definedName function="false" hidden="true" name="_2121__FDSAUDITLINK__" vbProcedure="false">{"fdsup://directions/FAT Viewer?action=UPDATE&amp;creator=factset&amp;DYN_ARGS=TRUE&amp;DOC_NAME=FAT:FQL_AUDITING_CLIENT_TEMPLATE.FAT&amp;display_string=Audit&amp;VAR:KEY=BORKNKHE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KR&amp;VAR:INDEX=0"}</definedName>
    <definedName function="false" hidden="true" name="_2122__FDSAUDITLINK__" vbProcedure="false">{"fdsup://directions/FAT Viewer?action=UPDATE&amp;creator=factset&amp;DYN_ARGS=TRUE&amp;DOC_NAME=FAT:FQL_AUDITING_CLIENT_TEMPLATE.FAT&amp;display_string=Audit&amp;VAR:KEY=VYLODORA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XT&amp;VAR:INDEX=0"}</definedName>
    <definedName function="false" hidden="true" name="_2123__FDSAUDITLINK__" vbProcedure="false">{"fdsup://directions/FAT Viewer?action=UPDATE&amp;creator=factset&amp;DYN_ARGS=TRUE&amp;DOC_NAME=FAT:FQL_AUDITING_CLIENT_TEMPLATE.FAT&amp;display_string=Audit&amp;VAR:KEY=HSPCLOP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MM&amp;VAR:INDEX=0"}</definedName>
    <definedName function="false" hidden="true" name="_2124__FDSAUDITLINK__" vbProcedure="false">{"fdsup://directions/FAT Viewer?action=UPDATE&amp;creator=factset&amp;DYN_ARGS=TRUE&amp;DOC_NAME=FAT:FQL_AUDITING_CLIENT_TEMPLATE.FAT&amp;display_string=Audit&amp;VAR:KEY=PCRAHWHM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AR&amp;VAR:INDEX=0"}</definedName>
    <definedName function="false" hidden="true" name="_2125__FDSAUDITLINK__" vbProcedure="false">{"fdsup://Directions/FactSet Auditing Viewer?action=AUDIT_VALUE&amp;DB=129&amp;ID1=00173310&amp;VALUEID=02001&amp;SDATE=201001&amp;PERIODTYPE=QTR_STD&amp;window=popup_no_bar&amp;width=385&amp;height=120&amp;START_MAXIMIZED=FALSE&amp;creator=factset&amp;display_string=Audit"}</definedName>
    <definedName function="false" hidden="true" name="_2126__FDSAUDITLINK__" vbProcedure="false">{"fdsup://Directions/FactSet Auditing Viewer?action=AUDIT_VALUE&amp;DB=129&amp;ID1=98390910&amp;VALUEID=02001&amp;SDATE=201003&amp;PERIODTYPE=QTR_STD&amp;window=popup_no_bar&amp;width=385&amp;height=120&amp;START_MAXIMIZED=FALSE&amp;creator=factset&amp;display_string=Audit"}</definedName>
    <definedName function="false" hidden="true" name="_2127__FDSAUDITLINK__" vbProcedure="false">{"fdsup://Directions/FactSet Auditing Viewer?action=AUDIT_VALUE&amp;DB=129&amp;ID1=89406530&amp;VALUEID=02001&amp;SDATE=201002&amp;PERIODTYPE=QTR_STD&amp;window=popup_no_bar&amp;width=385&amp;height=120&amp;START_MAXIMIZED=FALSE&amp;creator=factset&amp;display_string=Audit"}</definedName>
    <definedName function="false" hidden="true" name="_2128__FDSAUDITLINK__" vbProcedure="false">{"fdsup://Directions/FactSet Auditing Viewer?action=AUDIT_VALUE&amp;DB=129&amp;ID1=29084610&amp;VALUEID=02001&amp;SDATE=201003&amp;PERIODTYPE=QTR_STD&amp;window=popup_no_bar&amp;width=385&amp;height=120&amp;START_MAXIMIZED=FALSE&amp;creator=factset&amp;display_string=Audit"}</definedName>
    <definedName function="false" hidden="true" name="_2129__FDSAUDITLINK__" vbProcedure="false">{"fdsup://Directions/FactSet Auditing Viewer?action=AUDIT_VALUE&amp;DB=129&amp;ID1=20714230&amp;VALUEID=02001&amp;SDATE=201003&amp;PERIODTYPE=QTR_STD&amp;window=popup_no_bar&amp;width=385&amp;height=120&amp;START_MAXIMIZED=FALSE&amp;creator=factset&amp;display_string=Audit"}</definedName>
    <definedName function="false" hidden="true" name="_212__FDSAUDITLINK__" vbProcedure="false">{"fdsup://directions/FAT Viewer?action=UPDATE&amp;creator=factset&amp;DYN_ARGS=TRUE&amp;DOC_NAME=FAT:FQL_AUDITING_CLIENT_TEMPLATE.FAT&amp;display_string=Audit&amp;VAR:KEY=NMXYXOLIBQ&amp;VAR:QUERY=RkZfRUJJVERBX09QRVIoTFRNLDAsLCwsVVNEKQ==&amp;WINDOW=FIRST_POPUP&amp;HEIGHT=450&amp;WIDTH=450&amp;STAR","T_MAXIMIZED=FALSE&amp;VAR:CALENDAR=US&amp;VAR:SYMBOL=TPX&amp;VAR:INDEX=0"}</definedName>
    <definedName function="false" hidden="true" name="_2130__FDSAUDITLINK__" vbProcedure="false">{"fdsup://Directions/FactSet Auditing Viewer?action=AUDIT_VALUE&amp;DB=129&amp;ID1=87154310&amp;VALUEID=02001&amp;SDATE=201004&amp;PERIODTYPE=QTR_STD&amp;window=popup_no_bar&amp;width=385&amp;height=120&amp;START_MAXIMIZED=FALSE&amp;creator=factset&amp;display_string=Audit"}</definedName>
    <definedName function="false" hidden="true" name="_2131__FDSAUDITLINK__" vbProcedure="false">{"fdsup://Directions/FactSet Auditing Viewer?action=AUDIT_VALUE&amp;DB=129&amp;ID1=30064510&amp;VALUEID=02001&amp;SDATE=201001&amp;PERIODTYPE=QTR_STD&amp;window=popup_no_bar&amp;width=385&amp;height=120&amp;START_MAXIMIZED=FALSE&amp;creator=factset&amp;display_string=Audit"}</definedName>
    <definedName function="false" hidden="true" name="_2132__FDSAUDITLINK__" vbProcedure="false">{"fdsup://directions/FAT Viewer?action=UPDATE&amp;creator=factset&amp;DYN_ARGS=TRUE&amp;DOC_NAME=FAT:FQL_AUDITING_CLIENT_TEMPLATE.FAT&amp;display_string=Audit&amp;VAR:KEY=FWXSNCLOBW&amp;VAR:QUERY=KEZTTF9ORVRfSU5DKE5PVyxOT1csRlNBLCxVU0QpQEZGX05FVF9JTkMoTFRNUywwLCwsLFVTRCkp&amp;WINDOW=F","IRST_POPUP&amp;HEIGHT=450&amp;WIDTH=450&amp;START_MAXIMIZED=FALSE&amp;VAR:CALENDAR=US&amp;VAR:SYMBOL=EAGB&amp;VAR:INDEX=0"}</definedName>
    <definedName function="false" hidden="true" name="_2133__FDSAUDITLINK__" vbProcedure="false">{"fdsup://directions/FAT Viewer?action=UPDATE&amp;creator=factset&amp;DYN_ARGS=TRUE&amp;DOC_NAME=FAT:FQL_AUDITING_CLIENT_TEMPLATE.FAT&amp;display_string=Audit&amp;VAR:KEY=LEJIXYJQBW&amp;VAR:QUERY=KEZTTF9ORVRfSU5DKE5PVyxOT1csRlNBLCxVU0QpQEZGX05FVF9JTkMoTFRNUywwLCwsLFVTRCkp&amp;WINDOW=F","IRST_POPUP&amp;HEIGHT=450&amp;WIDTH=450&amp;START_MAXIMIZED=FALSE&amp;VAR:CALENDAR=US&amp;VAR:SYMBOL=FRP&amp;VAR:INDEX=0"}</definedName>
    <definedName function="false" hidden="true" name="_2134__FDSAUDITLINK__" vbProcedure="false">{"fdsup://directions/FAT Viewer?action=UPDATE&amp;creator=factset&amp;DYN_ARGS=TRUE&amp;DOC_NAME=FAT:FQL_AUDITING_CLIENT_TEMPLATE.FAT&amp;display_string=Audit&amp;VAR:KEY=BYFYVGXKVG&amp;VAR:QUERY=KEZTTF9ORVRfSU5DKE5PVyxOT1csRlNBLCxVU0QpQEZGX05FVF9JTkMoTFRNUywwLCwsLFVTRCkp&amp;WINDOW=F","IRST_POPUP&amp;HEIGHT=450&amp;WIDTH=450&amp;START_MAXIMIZED=FALSE&amp;VAR:CALENDAR=US&amp;VAR:SYMBOL=EONC&amp;VAR:INDEX=0"}</definedName>
    <definedName function="false" hidden="true" name="_2135__FDSAUDITLINK__" vbProcedure="false">{"fdsup://directions/FAT Viewer?action=UPDATE&amp;creator=factset&amp;DYN_ARGS=TRUE&amp;DOC_NAME=FAT:FQL_AUDITING_CLIENT_TEMPLATE.FAT&amp;display_string=Audit&amp;VAR:KEY=BUPGBWHYPE&amp;VAR:QUERY=KEZTTF9ORVRfSU5DKE5PVyxOT1csRlNBLCxVU0QpQEZGX05FVF9JTkMoTFRNUywwLCwsLFVTRCkp&amp;WINDOW=F","IRST_POPUP&amp;HEIGHT=450&amp;WIDTH=450&amp;START_MAXIMIZED=FALSE&amp;VAR:CALENDAR=US&amp;VAR:SYMBOL=KEYO&amp;VAR:INDEX=0"}</definedName>
    <definedName function="false" hidden="true" name="_2136__FDSAUDITLINK__" vbProcedure="false">{"fdsup://directions/FAT Viewer?action=UPDATE&amp;creator=factset&amp;DYN_ARGS=TRUE&amp;DOC_NAME=FAT:FQL_AUDITING_CLIENT_TEMPLATE.FAT&amp;display_string=Audit&amp;VAR:KEY=LWLYREVMRI&amp;VAR:QUERY=KEZTTF9ORVRfSU5DKE5PVyxOT1csRlNBLCxVU0QpQEZGX05FVF9JTkMoTFRNUywwLCwsLFVTRCkp&amp;WINDOW=F","IRST_POPUP&amp;HEIGHT=450&amp;WIDTH=450&amp;START_MAXIMIZED=FALSE&amp;VAR:CALENDAR=US&amp;VAR:SYMBOL=ERI&amp;VAR:INDEX=0"}</definedName>
    <definedName function="false" hidden="true" name="_2137__FDSAUDITLINK__" vbProcedure="false">{"fdsup://directions/FAT Viewer?action=UPDATE&amp;creator=factset&amp;DYN_ARGS=TRUE&amp;DOC_NAME=FAT:FQL_AUDITING_CLIENT_TEMPLATE.FAT&amp;display_string=Audit&amp;VAR:KEY=LUNGVAPKLW&amp;VAR:QUERY=KEZTTF9ORVRfSU5DKE5PVyxOT1csRlNBLCxVU0QpQEZGX05FVF9JTkMoTFRNUywwLCwsLFVTRCkp&amp;WINDOW=F","IRST_POPUP&amp;HEIGHT=450&amp;WIDTH=450&amp;START_MAXIMIZED=FALSE&amp;VAR:CALENDAR=US&amp;VAR:SYMBOL=WAVE&amp;VAR:INDEX=0"}</definedName>
    <definedName function="false" hidden="true" name="_2138__FDSAUDITLINK__" vbProcedure="false">{"fdsup://directions/FAT Viewer?action=UPDATE&amp;creator=factset&amp;DYN_ARGS=TRUE&amp;DOC_NAME=FAT:FQL_AUDITING_CLIENT_TEMPLATE.FAT&amp;display_string=Audit&amp;VAR:KEY=PEPKVOXYFC&amp;VAR:QUERY=KEZTTF9ORVRfSU5DKE5PVyxOT1csRlNBLCxVU0QpQEZGX05FVF9JTkMoTFRNUywwLCwsLFVTRCkp&amp;WINDOW=F","IRST_POPUP&amp;HEIGHT=450&amp;WIDTH=450&amp;START_MAXIMIZED=FALSE&amp;VAR:CALENDAR=US&amp;VAR:SYMBOL=TCX&amp;VAR:INDEX=0"}</definedName>
    <definedName function="false" hidden="true" name="_2139__FDSAUDITLINK__" vbProcedure="false">{"fdsup://directions/FAT Viewer?action=UPDATE&amp;creator=factset&amp;DYN_ARGS=TRUE&amp;DOC_NAME=FAT:FQL_AUDITING_CLIENT_TEMPLATE.FAT&amp;display_string=Audit&amp;VAR:KEY=XIRMTMLONG&amp;VAR:QUERY=KEZTTF9ORVRfSU5DKE5PVyxOT1csRlNBLCxVU0QpQEZGX05FVF9JTkMoTFRNUywwLCwsLFVTRCkp&amp;WINDOW=F","IRST_POPUP&amp;HEIGHT=450&amp;WIDTH=450&amp;START_MAXIMIZED=FALSE&amp;VAR:CALENDAR=US&amp;VAR:SYMBOL=XAND&amp;VAR:INDEX=0"}</definedName>
    <definedName function="false" hidden="true" name="_213__FDSAUDITLINK__" vbProcedure="false">{"fdsup://directions/FAT Viewer?action=UPDATE&amp;creator=factset&amp;DYN_ARGS=TRUE&amp;DOC_NAME=FAT:FQL_AUDITING_CLIENT_TEMPLATE.FAT&amp;display_string=Audit&amp;VAR:KEY=NIHUBSBSJY&amp;VAR:QUERY=RkZfRUJJVERBX09QRVIoTFRNLDAsLCwsVVNEKQ==&amp;WINDOW=FIRST_POPUP&amp;HEIGHT=450&amp;WIDTH=450&amp;STAR","T_MAXIMIZED=FALSE&amp;VAR:CALENDAR=US&amp;VAR:SYMBOL=BGFV&amp;VAR:INDEX=0"}</definedName>
    <definedName function="false" hidden="true" name="_2140__FDSAUDITLINK__" vbProcedure="false">{"fdsup://directions/FAT Viewer?action=UPDATE&amp;creator=factset&amp;DYN_ARGS=TRUE&amp;DOC_NAME=FAT:FQL_AUDITING_CLIENT_TEMPLATE.FAT&amp;display_string=Audit&amp;VAR:KEY=ZMTMVIVUHW&amp;VAR:QUERY=KEZTTF9ORVRfSU5DKE5PVyxOT1csRlNBLCxVU0QpQEZGX05FVF9JTkMoTFRNUywwLCwsLFVTRCkp&amp;WINDOW=F","IRST_POPUP&amp;HEIGHT=450&amp;WIDTH=450&amp;START_MAXIMIZED=FALSE&amp;VAR:CALENDAR=US&amp;VAR:SYMBOL=LNET&amp;VAR:INDEX=0"}</definedName>
    <definedName function="false" hidden="true" name="_2141__FDSAUDITLINK__" vbProcedure="false">{"fdsup://directions/FAT Viewer?action=UPDATE&amp;creator=factset&amp;DYN_ARGS=TRUE&amp;DOC_NAME=FAT:FQL_AUDITING_CLIENT_TEMPLATE.FAT&amp;display_string=Audit&amp;VAR:KEY=JQNUBGBYTQ&amp;VAR:QUERY=KEZTTF9ORVRfSU5DKE5PVyxOT1csRlNBLCxVU0QpQEZGX05FVF9JTkMoTFRNUywwLCwsLFVTRCkp&amp;WINDOW=F","IRST_POPUP&amp;HEIGHT=450&amp;WIDTH=450&amp;START_MAXIMIZED=FALSE&amp;VAR:CALENDAR=US&amp;VAR:SYMBOL=GCOM&amp;VAR:INDEX=0"}</definedName>
    <definedName function="false" hidden="true" name="_2142__FDSAUDITLINK__" vbProcedure="false">{"fdsup://directions/FAT Viewer?action=UPDATE&amp;creator=factset&amp;DYN_ARGS=TRUE&amp;DOC_NAME=FAT:FQL_AUDITING_CLIENT_TEMPLATE.FAT&amp;display_string=Audit&amp;VAR:KEY=XSBSFOPSVG&amp;VAR:QUERY=KEZTTF9ORVRfSU5DKE5PVyxOT1csRlNBLCxVU0QpQEZGX05FVF9JTkMoTFRNUywwLCwsLFVTRCkp&amp;WINDOW=F","IRST_POPUP&amp;HEIGHT=450&amp;WIDTH=450&amp;START_MAXIMIZED=FALSE&amp;VAR:CALENDAR=US&amp;VAR:SYMBOL=EGHT&amp;VAR:INDEX=0"}</definedName>
    <definedName function="false" hidden="true" name="_2143__FDSAUDITLINK__" vbProcedure="false">{"fdsup://directions/FAT Viewer?action=UPDATE&amp;creator=factset&amp;DYN_ARGS=TRUE&amp;DOC_NAME=FAT:FQL_AUDITING_CLIENT_TEMPLATE.FAT&amp;display_string=Audit&amp;VAR:KEY=FGPSBUFMBU&amp;VAR:QUERY=KEZTTF9ORVRfSU5DKE5PVyxOT1csRlNBLCxVU0QpQEZGX05FVF9JTkMoTFRNUywwLCwsLFVTRCkp&amp;WINDOW=F","IRST_POPUP&amp;HEIGHT=450&amp;WIDTH=450&amp;START_MAXIMIZED=FALSE&amp;VAR:CALENDAR=US&amp;VAR:SYMBOL=XOHO&amp;VAR:INDEX=0"}</definedName>
    <definedName function="false" hidden="true" name="_2144__FDSAUDITLINK__" vbProcedure="false">{"fdsup://directions/FAT Viewer?action=UPDATE&amp;creator=factset&amp;DYN_ARGS=TRUE&amp;DOC_NAME=FAT:FQL_AUDITING_CLIENT_TEMPLATE.FAT&amp;display_string=Audit&amp;VAR:KEY=DYDUDUJEFO&amp;VAR:QUERY=KEZTTF9ORVRfSU5DKE5PVyxOT1csRlNBLCxVU0QpQEZGX05FVF9JTkMoTFRNUywwLCwsLFVTRCkp&amp;WINDOW=F","IRST_POPUP&amp;HEIGHT=450&amp;WIDTH=450&amp;START_MAXIMIZED=FALSE&amp;VAR:CALENDAR=US&amp;VAR:SYMBOL=ALVR&amp;VAR:INDEX=0"}</definedName>
    <definedName function="false" hidden="true" name="_2145__FDSAUDITLINK__" vbProcedure="false">{"fdsup://directions/FAT Viewer?action=UPDATE&amp;creator=factset&amp;DYN_ARGS=TRUE&amp;DOC_NAME=FAT:FQL_AUDITING_CLIENT_TEMPLATE.FAT&amp;display_string=Audit&amp;VAR:KEY=VQLEBSPWJM&amp;VAR:QUERY=KEZTTF9ORVRfSU5DKE5PVyxOT1csRlNBLCxVU0QpQEZGX05FVF9JTkMoTFRNUywwLCwsLFVTRCkp&amp;WINDOW=F","IRST_POPUP&amp;HEIGHT=450&amp;WIDTH=450&amp;START_MAXIMIZED=FALSE&amp;VAR:CALENDAR=US&amp;VAR:SYMBOL=NTLS&amp;VAR:INDEX=0"}</definedName>
    <definedName function="false" hidden="true" name="_2146__FDSAUDITLINK__" vbProcedure="false">{"fdsup://directions/FAT Viewer?action=UPDATE&amp;creator=factset&amp;DYN_ARGS=TRUE&amp;DOC_NAME=FAT:FQL_AUDITING_CLIENT_TEMPLATE.FAT&amp;display_string=Audit&amp;VAR:KEY=TUTWRQBANS&amp;VAR:QUERY=KEZTTF9ORVRfSU5DKE5PVyxOT1csRlNBLCxVU0QpQEZGX05FVF9JTkMoTFRNUywwLCwsLFVTRCkp&amp;WINDOW=F","IRST_POPUP&amp;HEIGHT=450&amp;WIDTH=450&amp;START_MAXIMIZED=FALSE&amp;VAR:CALENDAR=US&amp;VAR:SYMBOL=OTT&amp;VAR:INDEX=0"}</definedName>
    <definedName function="false" hidden="true" name="_2147__FDSAUDITLINK__" vbProcedure="false">{"fdsup://directions/FAT Viewer?action=UPDATE&amp;creator=factset&amp;DYN_ARGS=TRUE&amp;DOC_NAME=FAT:FQL_AUDITING_CLIENT_TEMPLATE.FAT&amp;display_string=Audit&amp;VAR:KEY=LQHYXINYJC&amp;VAR:QUERY=KEZTTF9ORVRfSU5DKE5PVyxOT1csRlNBLCxVU0QpQEZGX05FVF9JTkMoTFRNUywwLCwsLFVTRCkp&amp;WINDOW=F","IRST_POPUP&amp;HEIGHT=450&amp;WIDTH=450&amp;START_MAXIMIZED=FALSE&amp;VAR:CALENDAR=US&amp;VAR:SYMBOL=TNAV&amp;VAR:INDEX=0"}</definedName>
    <definedName function="false" hidden="true" name="_2148__FDSAUDITLINK__" vbProcedure="false">{"fdsup://directions/FAT Viewer?action=UPDATE&amp;creator=factset&amp;DYN_ARGS=TRUE&amp;DOC_NAME=FAT:FQL_AUDITING_CLIENT_TEMPLATE.FAT&amp;display_string=Audit&amp;VAR:KEY=BYTILQPCVO&amp;VAR:QUERY=KEZTTF9ORVRfSU5DKE5PVyxOT1csRlNBLCxVU0QpQEZGX05FVF9JTkMoTFRNUywwLCwsLFVTRCkp&amp;WINDOW=F","IRST_POPUP&amp;HEIGHT=450&amp;WIDTH=450&amp;START_MAXIMIZED=FALSE&amp;VAR:CALENDAR=US&amp;VAR:SYMBOL=ITCD&amp;VAR:INDEX=0"}</definedName>
    <definedName function="false" hidden="true" name="_2149__FDSAUDITLINK__" vbProcedure="false">{"fdsup://directions/FAT Viewer?action=UPDATE&amp;creator=factset&amp;DYN_ARGS=TRUE&amp;DOC_NAME=FAT:FQL_AUDITING_CLIENT_TEMPLATE.FAT&amp;display_string=Audit&amp;VAR:KEY=DGVUROLKVM&amp;VAR:QUERY=KEZTTF9ORVRfSU5DKE5PVyxOT1csRlNBLCxVU0QpQEZGX05FVF9JTkMoTFRNUywwLCwsLFVTRCkp&amp;WINDOW=F","IRST_POPUP&amp;HEIGHT=450&amp;WIDTH=450&amp;START_MAXIMIZED=FALSE&amp;VAR:CALENDAR=US&amp;VAR:SYMBOL=INAP&amp;VAR:INDEX=0"}</definedName>
    <definedName function="false" hidden="true" name="_214__FDSAUDITLINK__" vbProcedure="false">{"fdsup://directions/FAT Viewer?action=UPDATE&amp;creator=factset&amp;DYN_ARGS=TRUE&amp;DOC_NAME=FAT:FQL_AUDITING_CLIENT_TEMPLATE.FAT&amp;display_string=Audit&amp;VAR:KEY=VKZOFYBOFM&amp;VAR:QUERY=RkZfRUJJVERBX09QRVIoTFRNLDAsLCwsVVNEKQ==&amp;WINDOW=FIRST_POPUP&amp;HEIGHT=450&amp;WIDTH=450&amp;STAR","T_MAXIMIZED=FALSE&amp;VAR:CALENDAR=US&amp;VAR:SYMBOL=WTSLA&amp;VAR:INDEX=0"}</definedName>
    <definedName function="false" hidden="true" name="_2150__FDSAUDITLINK__" vbProcedure="false">{"fdsup://directions/FAT Viewer?action=UPDATE&amp;creator=factset&amp;DYN_ARGS=TRUE&amp;DOC_NAME=FAT:FQL_AUDITING_CLIENT_TEMPLATE.FAT&amp;display_string=Audit&amp;VAR:KEY=DQFORGHMJI&amp;VAR:QUERY=KEZTTF9ORVRfSU5DKE5PVyxOT1csRlNBLCxVU0QpQEZGX05FVF9JTkMoTFRNUywwLCwsLFVTRCkp&amp;WINDOW=F","IRST_POPUP&amp;HEIGHT=450&amp;WIDTH=450&amp;START_MAXIMIZED=FALSE&amp;VAR:CALENDAR=US&amp;VAR:SYMBOL=ATNI&amp;VAR:INDEX=0"}</definedName>
    <definedName function="false" hidden="true" name="_2151__FDSAUDITLINK__" vbProcedure="false">{"fdsup://directions/FAT Viewer?action=UPDATE&amp;creator=factset&amp;DYN_ARGS=TRUE&amp;DOC_NAME=FAT:FQL_AUDITING_CLIENT_TEMPLATE.FAT&amp;display_string=Audit&amp;VAR:KEY=ZGRQNGFEFO&amp;VAR:QUERY=KEZTTF9ORVRfSU5DKE5PVyxOT1csRlNBLCxVU0QpQEZGX05FVF9JTkMoTFRNUywwLCwsLFVTRCkp&amp;WINDOW=F","IRST_POPUP&amp;HEIGHT=450&amp;WIDTH=450&amp;START_MAXIMIZED=FALSE&amp;VAR:CALENDAR=US&amp;VAR:SYMBOL=MCCC&amp;VAR:INDEX=0"}</definedName>
    <definedName function="false" hidden="true" name="_2152__FDSAUDITLINK__" vbProcedure="false">{"fdsup://directions/FAT Viewer?action=UPDATE&amp;creator=factset&amp;DYN_ARGS=TRUE&amp;DOC_NAME=FAT:FQL_AUDITING_CLIENT_TEMPLATE.FAT&amp;display_string=Audit&amp;VAR:KEY=FODSTIDSFM&amp;VAR:QUERY=KEZTTF9ORVRfSU5DKE5PVyxOT1csRlNBLCxVU0QpQEZGX05FVF9JTkMoTFRNUywwLCwsLFVTRCkp&amp;WINDOW=F","IRST_POPUP&amp;HEIGHT=450&amp;WIDTH=450&amp;START_MAXIMIZED=FALSE&amp;VAR:CALENDAR=US&amp;VAR:SYMBOL=INSP&amp;VAR:INDEX=0"}</definedName>
    <definedName function="false" hidden="true" name="_2153__FDSAUDITLINK__" vbProcedure="false">{"fdsup://directions/FAT Viewer?action=UPDATE&amp;creator=factset&amp;DYN_ARGS=TRUE&amp;DOC_NAME=FAT:FQL_AUDITING_CLIENT_TEMPLATE.FAT&amp;display_string=Audit&amp;VAR:KEY=VCFWLGXODU&amp;VAR:QUERY=KEZTTF9ORVRfSU5DKE5PVyxOT1csRlNBLCxVU0QpQEZGX05FVF9JTkMoTFRNUywwLCwsLFVTRCkp&amp;WINDOW=F","IRST_POPUP&amp;HEIGHT=450&amp;WIDTH=450&amp;START_MAXIMIZED=FALSE&amp;VAR:CALENDAR=US&amp;VAR:SYMBOL=CBEY&amp;VAR:INDEX=0"}</definedName>
    <definedName function="false" hidden="true" name="_2154__FDSAUDITLINK__" vbProcedure="false">{"fdsup://directions/FAT Viewer?action=UPDATE&amp;creator=factset&amp;DYN_ARGS=TRUE&amp;DOC_NAME=FAT:FQL_AUDITING_CLIENT_TEMPLATE.FAT&amp;display_string=Audit&amp;VAR:KEY=DWHCHONSFY&amp;VAR:QUERY=KEZTTF9ORVRfSU5DKE5PVyxOT1csRlNBLCxVU0QpQEZGX05FVF9JTkMoTFRNUywwLCwsLFVTRCkp&amp;WINDOW=F","IRST_POPUP&amp;HEIGHT=450&amp;WIDTH=450&amp;START_MAXIMIZED=FALSE&amp;VAR:CALENDAR=US&amp;VAR:SYMBOL=455228&amp;VAR:INDEX=0"}</definedName>
    <definedName function="false" hidden="true" name="_2155__FDSAUDITLINK__" vbProcedure="false">{"fdsup://directions/FAT Viewer?action=UPDATE&amp;creator=factset&amp;DYN_ARGS=TRUE&amp;DOC_NAME=FAT:FQL_AUDITING_CLIENT_TEMPLATE.FAT&amp;display_string=Audit&amp;VAR:KEY=VURMDILGPK&amp;VAR:QUERY=KEZTTF9ORVRfSU5DKE5PVyxOT1csRlNBLCxVU0QpQEZGX05FVF9JTkMoTFRNUywwLCwsLFVTRCkp&amp;WINDOW=F","IRST_POPUP&amp;HEIGHT=450&amp;WIDTH=450&amp;START_MAXIMIZED=FALSE&amp;VAR:CALENDAR=US&amp;VAR:SYMBOL=ALSK&amp;VAR:INDEX=0"}</definedName>
    <definedName function="false" hidden="true" name="_2156__FDSAUDITLINK__" vbProcedure="false">{"fdsup://directions/FAT Viewer?action=UPDATE&amp;creator=factset&amp;DYN_ARGS=TRUE&amp;DOC_NAME=FAT:FQL_AUDITING_CLIENT_TEMPLATE.FAT&amp;display_string=Audit&amp;VAR:KEY=HIDGJYTAFS&amp;VAR:QUERY=KEZTTF9ORVRfSU5DKE5PVyxOT1csRlNBLCxVU0QpQEZGX05FVF9JTkMoTFRNUywwLCwsLFVTRCkp&amp;WINDOW=F","IRST_POPUP&amp;HEIGHT=450&amp;WIDTH=450&amp;START_MAXIMIZED=FALSE&amp;VAR:CALENDAR=US&amp;VAR:SYMBOL=TNDM&amp;VAR:INDEX=0"}</definedName>
    <definedName function="false" hidden="true" name="_2157__FDSAUDITLINK__" vbProcedure="false">{"fdsup://directions/FAT Viewer?action=UPDATE&amp;creator=factset&amp;DYN_ARGS=TRUE&amp;DOC_NAME=FAT:FQL_AUDITING_CLIENT_TEMPLATE.FAT&amp;display_string=Audit&amp;VAR:KEY=RMPYBAXERI&amp;VAR:QUERY=KEZTTF9ORVRfSU5DKE5PVyxOT1csRlNBLCxVU0QpQEZGX05FVF9JTkMoTFRNUywwLCwsLFVTRCkp&amp;WINDOW=F","IRST_POPUP&amp;HEIGHT=450&amp;WIDTH=450&amp;START_MAXIMIZED=FALSE&amp;VAR:CALENDAR=US&amp;VAR:SYMBOL=UNTD&amp;VAR:INDEX=0"}</definedName>
    <definedName function="false" hidden="true" name="_2158__FDSAUDITLINK__" vbProcedure="false">{"fdsup://directions/FAT Viewer?action=UPDATE&amp;creator=factset&amp;DYN_ARGS=TRUE&amp;DOC_NAME=FAT:FQL_AUDITING_CLIENT_TEMPLATE.FAT&amp;display_string=Audit&amp;VAR:KEY=JWFIVSDCVG&amp;VAR:QUERY=KEZTTF9ORVRfSU5DKE5PVyxOT1csRlNBLCxVU0QpQEZGX05FVF9JTkMoTFRNUywwLCwsLFVTRCkp&amp;WINDOW=F","IRST_POPUP&amp;HEIGHT=450&amp;WIDTH=450&amp;START_MAXIMIZED=FALSE&amp;VAR:CALENDAR=US&amp;VAR:SYMBOL=GNCMA&amp;VAR:INDEX=0"}</definedName>
    <definedName function="false" hidden="true" name="_2159__FDSAUDITLINK__" vbProcedure="false">{"fdsup://directions/FAT Viewer?action=UPDATE&amp;creator=factset&amp;DYN_ARGS=TRUE&amp;DOC_NAME=FAT:FQL_AUDITING_CLIENT_TEMPLATE.FAT&amp;display_string=Audit&amp;VAR:KEY=ZETEPGLUZW&amp;VAR:QUERY=KEZTTF9ORVRfSU5DKE5PVyxOT1csRlNBLCxVU0QpQEZGX05FVF9JTkMoTFRNUywwLCwsLFVTRCkp&amp;WINDOW=F","IRST_POPUP&amp;HEIGHT=450&amp;WIDTH=450&amp;START_MAXIMIZED=FALSE&amp;VAR:CALENDAR=US&amp;VAR:SYMBOL=KNOL&amp;VAR:INDEX=0"}</definedName>
    <definedName function="false" hidden="true" name="_215__FDSAUDITLINK__" vbProcedure="false">{"fdsup://directions/FAT Viewer?action=UPDATE&amp;creator=factset&amp;DYN_ARGS=TRUE&amp;DOC_NAME=FAT:FQL_AUDITING_CLIENT_TEMPLATE.FAT&amp;display_string=Audit&amp;VAR:KEY=BGLIFCDKJQ&amp;VAR:QUERY=RkZfRUJJVERBX09QRVIoTFRNLDAsLCwsVVNEKQ==&amp;WINDOW=FIRST_POPUP&amp;HEIGHT=450&amp;WIDTH=450&amp;STAR","T_MAXIMIZED=FALSE&amp;VAR:CALENDAR=US&amp;VAR:SYMBOL=PSUN&amp;VAR:INDEX=0"}</definedName>
    <definedName function="false" hidden="true" name="_2160__FDSAUDITLINK__" vbProcedure="false">{"fdsup://directions/FAT Viewer?action=UPDATE&amp;creator=factset&amp;DYN_ARGS=TRUE&amp;DOC_NAME=FAT:FQL_AUDITING_CLIENT_TEMPLATE.FAT&amp;display_string=Audit&amp;VAR:KEY=FAVKDWFCXW&amp;VAR:QUERY=KEZTTF9ORVRfSU5DKE5PVyxOT1csRlNBLCxVU0QpQEZGX05FVF9JTkMoTFRNUywwLCwsLFVTRCkp&amp;WINDOW=F","IRST_POPUP&amp;HEIGHT=450&amp;WIDTH=450&amp;START_MAXIMIZED=FALSE&amp;VAR:CALENDAR=US&amp;VAR:SYMBOL=GLBC&amp;VAR:INDEX=0"}</definedName>
    <definedName function="false" hidden="true" name="_2161__FDSAUDITLINK__" vbProcedure="false">{"fdsup://directions/FAT Viewer?action=UPDATE&amp;creator=factset&amp;DYN_ARGS=TRUE&amp;DOC_NAME=FAT:FQL_AUDITING_CLIENT_TEMPLATE.FAT&amp;display_string=Audit&amp;VAR:KEY=PCFKLULKZM&amp;VAR:QUERY=KEZTTF9ORVRfSU5DKE5PVyxOT1csRlNBLCxVU0QpQEZGX05FVF9JTkMoTFRNUywwLCwsLFVTRCkp&amp;WINDOW=F","IRST_POPUP&amp;HEIGHT=450&amp;WIDTH=450&amp;START_MAXIMIZED=FALSE&amp;VAR:CALENDAR=US&amp;VAR:SYMBOL=SVVS&amp;VAR:INDEX=0"}</definedName>
    <definedName function="false" hidden="true" name="_2162__FDSAUDITLINK__" vbProcedure="false">{"fdsup://directions/FAT Viewer?action=UPDATE&amp;creator=factset&amp;DYN_ARGS=TRUE&amp;DOC_NAME=FAT:FQL_AUDITING_CLIENT_TEMPLATE.FAT&amp;display_string=Audit&amp;VAR:KEY=DMHMRMZUDG&amp;VAR:QUERY=KEZTTF9ORVRfSU5DKE5PVyxOT1csRlNBLCxVU0QpQEZGX05FVF9JTkMoTFRNUywwLCwsLFVTRCkp&amp;WINDOW=F","IRST_POPUP&amp;HEIGHT=450&amp;WIDTH=450&amp;START_MAXIMIZED=FALSE&amp;VAR:CALENDAR=US&amp;VAR:SYMBOL=TIVO&amp;VAR:INDEX=0"}</definedName>
    <definedName function="false" hidden="true" name="_2163__FDSAUDITLINK__" vbProcedure="false">{"fdsup://directions/FAT Viewer?action=UPDATE&amp;creator=factset&amp;DYN_ARGS=TRUE&amp;DOC_NAME=FAT:FQL_AUDITING_CLIENT_TEMPLATE.FAT&amp;display_string=Audit&amp;VAR:KEY=FKVYLCHCFG&amp;VAR:QUERY=KEZTTF9ORVRfSU5DKE5PVyxOT1csRlNBLCxVU0QpQEZGX05FVF9JTkMoTFRNUywwLCwsLFVTRCkp&amp;WINDOW=F","IRST_POPUP&amp;HEIGHT=450&amp;WIDTH=450&amp;START_MAXIMIZED=FALSE&amp;VAR:CALENDAR=US&amp;VAR:SYMBOL=SVR&amp;VAR:INDEX=0"}</definedName>
    <definedName function="false" hidden="true" name="_2164__FDSAUDITLINK__" vbProcedure="false">{"fdsup://directions/FAT Viewer?action=UPDATE&amp;creator=factset&amp;DYN_ARGS=TRUE&amp;DOC_NAME=FAT:FQL_AUDITING_CLIENT_TEMPLATE.FAT&amp;display_string=Audit&amp;VAR:KEY=BILSLGHGXW&amp;VAR:QUERY=KEZTTF9ORVRfSU5DKE5PVyxOT1csRlNBLCxVU0QpQEZGX05FVF9JTkMoTFRNUywwLCwsLFVTRCkp&amp;WINDOW=F","IRST_POPUP&amp;HEIGHT=450&amp;WIDTH=450&amp;START_MAXIMIZED=FALSE&amp;VAR:CALENDAR=US&amp;VAR:SYMBOL=VSAT&amp;VAR:INDEX=0"}</definedName>
    <definedName function="false" hidden="true" name="_2165__FDSAUDITLINK__" vbProcedure="false">{"fdsup://directions/FAT Viewer?action=UPDATE&amp;creator=factset&amp;DYN_ARGS=TRUE&amp;DOC_NAME=FAT:FQL_AUDITING_CLIENT_TEMPLATE.FAT&amp;display_string=Audit&amp;VAR:KEY=ZELKVYBYHO&amp;VAR:QUERY=KEZTTF9ORVRfSU5DKE5PVyxOT1csRlNBLCxVU0QpQEZGX05FVF9JTkMoTFRNUywwLCwsLFVTRCkp&amp;WINDOW=F","IRST_POPUP&amp;HEIGHT=450&amp;WIDTH=450&amp;START_MAXIMIZED=FALSE&amp;VAR:CALENDAR=US&amp;VAR:SYMBOL=TCL&amp;VAR:INDEX=0"}</definedName>
    <definedName function="false" hidden="true" name="_2166__FDSAUDITLINK__" vbProcedure="false">{"fdsup://directions/FAT Viewer?action=UPDATE&amp;creator=factset&amp;DYN_ARGS=TRUE&amp;DOC_NAME=FAT:FQL_AUDITING_CLIENT_TEMPLATE.FAT&amp;display_string=Audit&amp;VAR:KEY=TIDCXQROHQ&amp;VAR:QUERY=KEZTTF9ORVRfSU5DKE5PVyxOT1csRlNBLCxVU0QpQEZGX05FVF9JTkMoTFRNUywwLCwsLFVTRCkp&amp;WINDOW=F","IRST_POPUP&amp;HEIGHT=450&amp;WIDTH=450&amp;START_MAXIMIZED=FALSE&amp;VAR:CALENDAR=US&amp;VAR:SYMBOL=USM&amp;VAR:INDEX=0"}</definedName>
    <definedName function="false" hidden="true" name="_2167__FDSAUDITLINK__" vbProcedure="false">{"fdsup://directions/FAT Viewer?action=UPDATE&amp;creator=factset&amp;DYN_ARGS=TRUE&amp;DOC_NAME=FAT:FQL_AUDITING_CLIENT_TEMPLATE.FAT&amp;display_string=Audit&amp;VAR:KEY=HQFMDOTCZY&amp;VAR:QUERY=KEZTTF9ORVRfSU5DKE5PVyxOT1csRlNBLCxVU0QpQEZGX05FVF9JTkMoTFRNUywwLCwsLFVTRCkp&amp;WINDOW=F","IRST_POPUP&amp;HEIGHT=450&amp;WIDTH=450&amp;START_MAXIMIZED=FALSE&amp;VAR:CALENDAR=US&amp;VAR:SYMBOL=BTM&amp;VAR:INDEX=0"}</definedName>
    <definedName function="false" hidden="true" name="_2168__FDSAUDITLINK__" vbProcedure="false">{"fdsup://directions/FAT Viewer?action=UPDATE&amp;creator=factset&amp;DYN_ARGS=TRUE&amp;DOC_NAME=FAT:FQL_AUDITING_CLIENT_TEMPLATE.FAT&amp;display_string=Audit&amp;VAR:KEY=NMPCRWXYFU&amp;VAR:QUERY=KEZTTF9ORVRfSU5DKE5PVyxOT1csRlNBLCxVU0QpQEZGX05FVF9JTkMoTFRNUywwLCwsLFVTRCkp&amp;WINDOW=F","IRST_POPUP&amp;HEIGHT=450&amp;WIDTH=450&amp;START_MAXIMIZED=FALSE&amp;VAR:CALENDAR=US&amp;VAR:SYMBOL=ADTN&amp;VAR:INDEX=0"}</definedName>
    <definedName function="false" hidden="true" name="_2169__FDSAUDITLINK__" vbProcedure="false">{"fdsup://directions/FAT Viewer?action=UPDATE&amp;creator=factset&amp;DYN_ARGS=TRUE&amp;DOC_NAME=FAT:FQL_AUDITING_CLIENT_TEMPLATE.FAT&amp;display_string=Audit&amp;VAR:KEY=ZOLILSJUPW&amp;VAR:QUERY=KEZTTF9ORVRfSU5DKE5PVyxOT1csRlNBLCxVU0QpQEZGX05FVF9JTkMoTFRNUywwLCwsLFVTRCkp&amp;WINDOW=F","IRST_POPUP&amp;HEIGHT=450&amp;WIDTH=450&amp;START_MAXIMIZED=FALSE&amp;VAR:CALENDAR=US&amp;VAR:SYMBOL=EQIX&amp;VAR:INDEX=0"}</definedName>
    <definedName function="false" hidden="true" name="_216__FDSAUDITLINK__" vbProcedure="false">{"fdsup://directions/FAT Viewer?action=UPDATE&amp;creator=factset&amp;DYN_ARGS=TRUE&amp;DOC_NAME=FAT:FQL_AUDITING_CLIENT_TEMPLATE.FAT&amp;display_string=Audit&amp;VAR:KEY=DCDUTIDIN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PI&amp;VAR:INDEX=0"}</definedName>
    <definedName function="false" hidden="true" name="_2170__FDSAUDITLINK__" vbProcedure="false">{"fdsup://directions/FAT Viewer?action=UPDATE&amp;creator=factset&amp;DYN_ARGS=TRUE&amp;DOC_NAME=FAT:FQL_AUDITING_CLIENT_TEMPLATE.FAT&amp;display_string=Audit&amp;VAR:KEY=XEJEZYTWFM&amp;VAR:QUERY=KEZTTF9ORVRfSU5DKE5PVyxOT1csRlNBLCxVU0QpQEZGX05FVF9JTkMoTFRNUywwLCwsLFVTRCkp&amp;WINDOW=F","IRST_POPUP&amp;HEIGHT=450&amp;WIDTH=450&amp;START_MAXIMIZED=FALSE&amp;VAR:CALENDAR=US&amp;VAR:SYMBOL=PCS&amp;VAR:INDEX=0"}</definedName>
    <definedName function="false" hidden="true" name="_2171__FDSAUDITLINK__" vbProcedure="false">{"fdsup://directions/FAT Viewer?action=UPDATE&amp;creator=factset&amp;DYN_ARGS=TRUE&amp;DOC_NAME=FAT:FQL_AUDITING_CLIENT_TEMPLATE.FAT&amp;display_string=Audit&amp;VAR:KEY=RODSHOJUV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WVY&amp;VAR:INDEX=0"}</definedName>
    <definedName function="false" hidden="true" name="_2172__FDSAUDITLINK__" vbProcedure="false">{"fdsup://directions/FAT Viewer?action=UPDATE&amp;creator=factset&amp;DYN_ARGS=TRUE&amp;DOC_NAME=FAT:FQL_AUDITING_CLIENT_TEMPLATE.FAT&amp;display_string=Audit&amp;VAR:KEY=BSNUJSHS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COM&amp;VAR:INDEX=0"}</definedName>
    <definedName function="false" hidden="true" name="_2173__FDSAUDITLINK__" vbProcedure="false">{"fdsup://directions/FAT Viewer?action=UPDATE&amp;creator=factset&amp;DYN_ARGS=TRUE&amp;DOC_NAME=FAT:FQL_AUDITING_CLIENT_TEMPLATE.FAT&amp;display_string=Audit&amp;VAR:KEY=VUTMTELOHK&amp;VAR:QUERY=KEZTTF9ORVRfSU5DKE5PVyxOT1csRlNBLCxVU0QpQEZGX05FVF9JTkMoTFRNUywwLCwsLFVTRCkp&amp;WINDOW=F","IRST_POPUP&amp;HEIGHT=450&amp;WIDTH=450&amp;START_MAXIMIZED=FALSE&amp;VAR:CALENDAR=US&amp;VAR:SYMBOL=423142&amp;VAR:INDEX=0"}</definedName>
    <definedName function="false" hidden="true" name="_2174__FDSAUDITLINK__" vbProcedure="false">{"fdsup://directions/FAT Viewer?action=UPDATE&amp;creator=factset&amp;DYN_ARGS=TRUE&amp;DOC_NAME=FAT:FQL_AUDITING_CLIENT_TEMPLATE.FAT&amp;display_string=Audit&amp;VAR:KEY=TODIPAROBM&amp;VAR:QUERY=KEZTTF9ORVRfSU5DKE5PVyxOT1csRlNBLCxVU0QpQEZGX05FVF9JTkMoTFRNUywwLCwsLFVTRCkp&amp;WINDOW=F","IRST_POPUP&amp;HEIGHT=450&amp;WIDTH=450&amp;START_MAXIMIZED=FALSE&amp;VAR:CALENDAR=US&amp;VAR:SYMBOL=DTV&amp;VAR:INDEX=0"}</definedName>
    <definedName function="false" hidden="true" name="_2175__FDSAUDITLINK__" vbProcedure="false">{"fdsup://directions/FAT Viewer?action=UPDATE&amp;creator=factset&amp;DYN_ARGS=TRUE&amp;DOC_NAME=FAT:FQL_AUDITING_CLIENT_TEMPLATE.FAT&amp;display_string=Audit&amp;VAR:KEY=NWBKJEXGH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AGB&amp;VAR:INDEX=0"}</definedName>
    <definedName function="false" hidden="true" name="_2176__FDSAUDITLINK__" vbProcedure="false">{"fdsup://directions/FAT Viewer?action=UPDATE&amp;creator=factset&amp;DYN_ARGS=TRUE&amp;DOC_NAME=FAT:FQL_AUDITING_CLIENT_TEMPLATE.FAT&amp;display_string=Audit&amp;VAR:KEY=XSHWJKDS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RP&amp;VAR:INDEX=0"}</definedName>
    <definedName function="false" hidden="true" name="_2177__FDSAUDITLINK__" vbProcedure="false">{"fdsup://directions/FAT Viewer?action=UPDATE&amp;creator=factset&amp;DYN_ARGS=TRUE&amp;DOC_NAME=FAT:FQL_AUDITING_CLIENT_TEMPLATE.FAT&amp;display_string=Audit&amp;VAR:KEY=XYZMFGVI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ONC&amp;VAR:INDEX=0"}</definedName>
    <definedName function="false" hidden="true" name="_2178__FDSAUDITLINK__" vbProcedure="false">{"fdsup://directions/FAT Viewer?action=UPDATE&amp;creator=factset&amp;DYN_ARGS=TRUE&amp;DOC_NAME=FAT:FQL_AUDITING_CLIENT_TEMPLATE.FAT&amp;display_string=Audit&amp;VAR:KEY=XCNSBOLK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EYO&amp;VAR:INDEX=0"}</definedName>
    <definedName function="false" hidden="true" name="_2179__FDSAUDITLINK__" vbProcedure="false">{"fdsup://directions/FAT Viewer?action=UPDATE&amp;creator=factset&amp;DYN_ARGS=TRUE&amp;DOC_NAME=FAT:FQL_AUDITING_CLIENT_TEMPLATE.FAT&amp;display_string=Audit&amp;VAR:KEY=PEFIDQDKR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RI&amp;VAR:INDEX=0"}</definedName>
    <definedName function="false" hidden="true" name="_217__FDSAUDITLINK__" vbProcedure="false">{"fdsup://directions/FAT Viewer?action=UPDATE&amp;creator=factset&amp;DYN_ARGS=TRUE&amp;DOC_NAME=FAT:FQL_AUDITING_CLIENT_TEMPLATE.FAT&amp;display_string=Audit&amp;VAR:KEY=QBYXERKHED&amp;VAR:QUERY=RkZfRUJJVERBX09QRVIoTFRNLDAsLCwsVVNEKQ==&amp;WINDOW=FIRST_POPUP&amp;HEIGHT=450&amp;WIDTH=450&amp;STAR","T_MAXIMIZED=FALSE&amp;VAR:CALENDAR=US&amp;VAR:SYMBOL=AVAV&amp;VAR:INDEX=0"}</definedName>
    <definedName function="false" hidden="true" name="_2180__FDSAUDITLINK__" vbProcedure="false">{"fdsup://directions/FAT Viewer?action=UPDATE&amp;creator=factset&amp;DYN_ARGS=TRUE&amp;DOC_NAME=FAT:FQL_AUDITING_CLIENT_TEMPLATE.FAT&amp;display_string=Audit&amp;VAR:KEY=TGZCBKFE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AVE&amp;VAR:INDEX=0"}</definedName>
    <definedName function="false" hidden="true" name="_2181__FDSAUDITLINK__" vbProcedure="false">{"fdsup://directions/FAT Viewer?action=UPDATE&amp;creator=factset&amp;DYN_ARGS=TRUE&amp;DOC_NAME=FAT:FQL_AUDITING_CLIENT_TEMPLATE.FAT&amp;display_string=Audit&amp;VAR:KEY=VAJETYDS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CX&amp;VAR:INDEX=0"}</definedName>
    <definedName function="false" hidden="true" name="_2182__FDSAUDITLINK__" vbProcedure="false">{"fdsup://directions/FAT Viewer?action=UPDATE&amp;creator=factset&amp;DYN_ARGS=TRUE&amp;DOC_NAME=FAT:FQL_AUDITING_CLIENT_TEMPLATE.FAT&amp;display_string=Audit&amp;VAR:KEY=XKBQXKVI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AND&amp;VAR:INDEX=0"}</definedName>
    <definedName function="false" hidden="true" name="_2183__FDSAUDITLINK__" vbProcedure="false">{"fdsup://directions/FAT Viewer?action=UPDATE&amp;creator=factset&amp;DYN_ARGS=TRUE&amp;DOC_NAME=FAT:FQL_AUDITING_CLIENT_TEMPLATE.FAT&amp;display_string=Audit&amp;VAR:KEY=ZMNCRMHA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NET&amp;VAR:INDEX=0"}</definedName>
    <definedName function="false" hidden="true" name="_2184__FDSAUDITLINK__" vbProcedure="false">{"fdsup://directions/FAT Viewer?action=UPDATE&amp;creator=factset&amp;DYN_ARGS=TRUE&amp;DOC_NAME=FAT:FQL_AUDITING_CLIENT_TEMPLATE.FAT&amp;display_string=Audit&amp;VAR:KEY=NSJOTSBI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NAV&amp;VAR:INDEX=0"}</definedName>
    <definedName function="false" hidden="true" name="_2185__FDSAUDITLINK__" vbProcedure="false">{"fdsup://directions/FAT Viewer?action=UPDATE&amp;creator=factset&amp;DYN_ARGS=TRUE&amp;DOC_NAME=FAT:FQL_AUDITING_CLIENT_TEMPLATE.FAT&amp;display_string=Audit&amp;VAR:KEY=LQNAFAZU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WER&amp;VAR:INDEX=0"}</definedName>
    <definedName function="false" hidden="true" name="_2186__FDSAUDITLINK__" vbProcedure="false">{"fdsup://directions/FAT Viewer?action=UPDATE&amp;creator=factset&amp;DYN_ARGS=TRUE&amp;DOC_NAME=FAT:FQL_AUDITING_CLIENT_TEMPLATE.FAT&amp;display_string=Audit&amp;VAR:KEY=PWFSXWRI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OHO&amp;VAR:INDEX=0"}</definedName>
    <definedName function="false" hidden="true" name="_2187__FDSAUDITLINK__" vbProcedure="false">{"fdsup://directions/FAT Viewer?action=UPDATE&amp;creator=factset&amp;DYN_ARGS=TRUE&amp;DOC_NAME=FAT:FQL_AUDITING_CLIENT_TEMPLATE.FAT&amp;display_string=Audit&amp;VAR:KEY=TANQDIRK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VR&amp;VAR:INDEX=0"}</definedName>
    <definedName function="false" hidden="true" name="_2188__FDSAUDITLINK__" vbProcedure="false">{"fdsup://directions/FAT Viewer?action=UPDATE&amp;creator=factset&amp;DYN_ARGS=TRUE&amp;DOC_NAME=FAT:FQL_AUDITING_CLIENT_TEMPLATE.FAT&amp;display_string=Audit&amp;VAR:KEY=FIPYHUDE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VVS&amp;VAR:INDEX=0"}</definedName>
    <definedName function="false" hidden="true" name="_2189__FDSAUDITLINK__" vbProcedure="false">{"fdsup://directions/FAT Viewer?action=UPDATE&amp;creator=factset&amp;DYN_ARGS=TRUE&amp;DOC_NAME=FAT:FQL_AUDITING_CLIENT_TEMPLATE.FAT&amp;display_string=Audit&amp;VAR:KEY=BCDKVYPS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GHT&amp;VAR:INDEX=0"}</definedName>
    <definedName function="false" hidden="true" name="_218__FDSAUDITLINK__" vbProcedure="false">{"fdsup://directions/FAT Viewer?action=UPDATE&amp;creator=factset&amp;DYN_ARGS=TRUE&amp;DOC_NAME=FAT:FQL_AUDITING_CLIENT_TEMPLATE.FAT&amp;display_string=Audit&amp;VAR:KEY=HQTYFKZEJQ&amp;VAR:QUERY=RkZfRUJJVERBX09QRVIoTFRNLDAsLCwsVVNEKQ==&amp;WINDOW=FIRST_POPUP&amp;HEIGHT=450&amp;WIDTH=450&amp;STAR","T_MAXIMIZED=FALSE&amp;VAR:CALENDAR=US&amp;VAR:SYMBOL=FLIR&amp;VAR:INDEX=0"}</definedName>
    <definedName function="false" hidden="true" name="_2190__FDSAUDITLINK__" vbProcedure="false">{"fdsup://directions/FAT Viewer?action=UPDATE&amp;creator=factset&amp;DYN_ARGS=TRUE&amp;DOC_NAME=FAT:FQL_AUDITING_CLIENT_TEMPLATE.FAT&amp;display_string=Audit&amp;VAR:KEY=VCREFEFM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AP&amp;VAR:INDEX=0"}</definedName>
    <definedName function="false" hidden="true" name="_2191__FDSAUDITLINK__" vbProcedure="false">{"fdsup://directions/FAT Viewer?action=UPDATE&amp;creator=factset&amp;DYN_ARGS=TRUE&amp;DOC_NAME=FAT:FQL_AUDITING_CLIENT_TEMPLATE.FAT&amp;display_string=Audit&amp;VAR:KEY=HEVORYNQ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TT&amp;VAR:INDEX=0"}</definedName>
    <definedName function="false" hidden="true" name="_2192__FDSAUDITLINK__" vbProcedure="false">{"fdsup://directions/FAT Viewer?action=UPDATE&amp;creator=factset&amp;DYN_ARGS=TRUE&amp;DOC_NAME=FAT:FQL_AUDITING_CLIENT_TEMPLATE.FAT&amp;display_string=Audit&amp;VAR:KEY=VYRADADU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SP&amp;VAR:INDEX=0"}</definedName>
    <definedName function="false" hidden="true" name="_2193__FDSAUDITLINK__" vbProcedure="false">{"fdsup://directions/FAT Viewer?action=UPDATE&amp;creator=factset&amp;DYN_ARGS=TRUE&amp;DOC_NAME=FAT:FQL_AUDITING_CLIENT_TEMPLATE.FAT&amp;display_string=Audit&amp;VAR:KEY=FOBADILI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423142&amp;VAR:INDEX=0"}</definedName>
    <definedName function="false" hidden="true" name="_2194__FDSAUDITLINK__" vbProcedure="false">{"fdsup://directions/FAT Viewer?action=UPDATE&amp;creator=factset&amp;DYN_ARGS=TRUE&amp;DOC_NAME=FAT:FQL_AUDITING_CLIENT_TEMPLATE.FAT&amp;display_string=Audit&amp;VAR:KEY=ZEHMLKZG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TCD&amp;VAR:INDEX=0"}</definedName>
    <definedName function="false" hidden="true" name="_2195__FDSAUDITLINK__" vbProcedure="false">{"fdsup://directions/FAT Viewer?action=UPDATE&amp;creator=factset&amp;DYN_ARGS=TRUE&amp;DOC_NAME=FAT:FQL_AUDITING_CLIENT_TEMPLATE.FAT&amp;display_string=Audit&amp;VAR:KEY=BEJGXUBU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SK&amp;VAR:INDEX=0"}</definedName>
    <definedName function="false" hidden="true" name="_2196__FDSAUDITLINK__" vbProcedure="false">{"fdsup://directions/FAT Viewer?action=UPDATE&amp;creator=factset&amp;DYN_ARGS=TRUE&amp;DOC_NAME=FAT:FQL_AUDITING_CLIENT_TEMPLATE.FAT&amp;display_string=Audit&amp;VAR:KEY=HSRYVGNQ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CC&amp;VAR:INDEX=0"}</definedName>
    <definedName function="false" hidden="true" name="_2197__FDSAUDITLINK__" vbProcedure="false">{"fdsup://directions/FAT Viewer?action=UPDATE&amp;creator=factset&amp;DYN_ARGS=TRUE&amp;DOC_NAME=FAT:FQL_AUDITING_CLIENT_TEMPLATE.FAT&amp;display_string=Audit&amp;VAR:KEY=JSBKFQLG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NI&amp;VAR:INDEX=0"}</definedName>
    <definedName function="false" hidden="true" name="_2198__FDSAUDITLINK__" vbProcedure="false">{"fdsup://directions/FAT Viewer?action=UPDATE&amp;creator=factset&amp;DYN_ARGS=TRUE&amp;DOC_NAME=FAT:FQL_AUDITING_CLIENT_TEMPLATE.FAT&amp;display_string=Audit&amp;VAR:KEY=JCZIXWXC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TD&amp;VAR:INDEX=0"}</definedName>
    <definedName function="false" hidden="true" name="_2199__FDSAUDITLINK__" vbProcedure="false">{"fdsup://directions/FAT Viewer?action=UPDATE&amp;creator=factset&amp;DYN_ARGS=TRUE&amp;DOC_NAME=FAT:FQL_AUDITING_CLIENT_TEMPLATE.FAT&amp;display_string=Audit&amp;VAR:KEY=FGJCDCDU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EY&amp;VAR:INDEX=0"}</definedName>
    <definedName function="false" hidden="true" name="_219__FDSAUDITLINK__" vbProcedure="false">{"fdsup://directions/FAT Viewer?action=UPDATE&amp;creator=factset&amp;DYN_ARGS=TRUE&amp;DOC_NAME=FAT:FQL_AUDITING_CLIENT_TEMPLATE.FAT&amp;display_string=Audit&amp;VAR:KEY=ZANSBIPOXK&amp;VAR:QUERY=RkZfRUJJVERBX09QRVIoTFRNLDAsLCwsVVNEKQ==&amp;WINDOW=FIRST_POPUP&amp;HEIGHT=450&amp;WIDTH=450&amp;STAR","T_MAXIMIZED=FALSE&amp;VAR:CALENDAR=US&amp;VAR:SYMBOL=ASEI&amp;VAR:INDEX=0"}</definedName>
    <definedName function="false" hidden="true" name="_21__123Graph_BCHART_1" vbProcedure="false">#REF!</definedName>
    <definedName function="false" hidden="true" name="_21__123Graph_XMAG_PCE" vbProcedure="false">#REF!</definedName>
    <definedName function="false" hidden="true" name="_21__FDSAUDITLINK__" vbProcedure="false">{"fdsup://directions/FAT Viewer?action=UPDATE&amp;creator=factset&amp;DYN_ARGS=TRUE&amp;DOC_NAME=FAT:FQL_AUDITING_CLIENT_TEMPLATE.FAT&amp;display_string=Audit&amp;VAR:KEY=MXSHGNOTA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DC&amp;VAR:INDEX=0"}</definedName>
    <definedName function="false" hidden="true" name="_2200__FDSAUDITLINK__" vbProcedure="false">{"fdsup://directions/FAT Viewer?action=UPDATE&amp;creator=factset&amp;DYN_ARGS=TRUE&amp;DOC_NAME=FAT:FQL_AUDITING_CLIENT_TEMPLATE.FAT&amp;display_string=Audit&amp;VAR:KEY=NMHSXMNC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NOL&amp;VAR:INDEX=0"}</definedName>
    <definedName function="false" hidden="true" name="_2201__FDSAUDITLINK__" vbProcedure="false">{"fdsup://directions/FAT Viewer?action=UPDATE&amp;creator=factset&amp;DYN_ARGS=TRUE&amp;DOC_NAME=FAT:FQL_AUDITING_CLIENT_TEMPLATE.FAT&amp;display_string=Audit&amp;VAR:KEY=BGDIDGRIH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NDM&amp;VAR:INDEX=0"}</definedName>
    <definedName function="false" hidden="true" name="_2202__FDSAUDITLINK__" vbProcedure="false">{"fdsup://directions/FAT Viewer?action=UPDATE&amp;creator=factset&amp;DYN_ARGS=TRUE&amp;DOC_NAME=FAT:FQL_AUDITING_CLIENT_TEMPLATE.FAT&amp;display_string=Audit&amp;VAR:KEY=ZKJCTCRCL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0315W&amp;VAR:INDEX=0"}</definedName>
    <definedName function="false" hidden="true" name="_2203__FDSAUDITLINK__" vbProcedure="false">{"fdsup://directions/FAT Viewer?action=UPDATE&amp;creator=factset&amp;DYN_ARGS=TRUE&amp;DOC_NAME=FAT:FQL_AUDITING_CLIENT_TEMPLATE.FAT&amp;display_string=Audit&amp;VAR:KEY=ZYBEPYDC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LS&amp;VAR:INDEX=0"}</definedName>
    <definedName function="false" hidden="true" name="_2204__FDSAUDITLINK__" vbProcedure="false">{"fdsup://directions/FAT Viewer?action=UPDATE&amp;creator=factset&amp;DYN_ARGS=TRUE&amp;DOC_NAME=FAT:FQL_AUDITING_CLIENT_TEMPLATE.FAT&amp;display_string=Audit&amp;VAR:KEY=BWHIBADCZ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VR&amp;VAR:INDEX=0"}</definedName>
    <definedName function="false" hidden="true" name="_2205__FDSAUDITLINK__" vbProcedure="false">{"fdsup://directions/FAT Viewer?action=UPDATE&amp;creator=factset&amp;DYN_ARGS=TRUE&amp;DOC_NAME=FAT:FQL_AUDITING_CLIENT_TEMPLATE.FAT&amp;display_string=Audit&amp;VAR:KEY=DYNSJYFY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BC&amp;VAR:INDEX=0"}</definedName>
    <definedName function="false" hidden="true" name="_2206__FDSAUDITLINK__" vbProcedure="false">{"fdsup://directions/FAT Viewer?action=UPDATE&amp;creator=factset&amp;DYN_ARGS=TRUE&amp;DOC_NAME=FAT:FQL_AUDITING_CLIENT_TEMPLATE.FAT&amp;display_string=Audit&amp;VAR:KEY=DSZAHUJW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SM&amp;VAR:INDEX=0"}</definedName>
    <definedName function="false" hidden="true" name="_2207__FDSAUDITLINK__" vbProcedure="false">{"fdsup://directions/FAT Viewer?action=UPDATE&amp;creator=factset&amp;DYN_ARGS=TRUE&amp;DOC_NAME=FAT:FQL_AUDITING_CLIENT_TEMPLATE.FAT&amp;display_string=Audit&amp;VAR:KEY=LKLIDELS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IVO&amp;VAR:INDEX=0"}</definedName>
    <definedName function="false" hidden="true" name="_2208__FDSAUDITLINK__" vbProcedure="false">{"fdsup://directions/FAT Viewer?action=UPDATE&amp;creator=factset&amp;DYN_ARGS=TRUE&amp;DOC_NAME=FAT:FQL_AUDITING_CLIENT_TEMPLATE.FAT&amp;display_string=Audit&amp;VAR:KEY=ZULOFIDI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QIX&amp;VAR:INDEX=0"}</definedName>
    <definedName function="false" hidden="true" name="_2209__FDSAUDITLINK__" vbProcedure="false">{"fdsup://directions/FAT Viewer?action=UPDATE&amp;creator=factset&amp;DYN_ARGS=TRUE&amp;DOC_NAME=FAT:FQL_AUDITING_CLIENT_TEMPLATE.FAT&amp;display_string=Audit&amp;VAR:KEY=DWVMLQXW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SAT&amp;VAR:INDEX=0"}</definedName>
    <definedName function="false" hidden="true" name="_220__FDSAUDITLINK__" vbProcedure="false">{"fdsup://directions/FAT Viewer?action=UPDATE&amp;creator=factset&amp;DYN_ARGS=TRUE&amp;DOC_NAME=FAT:FQL_AUDITING_CLIENT_TEMPLATE.FAT&amp;display_string=Audit&amp;VAR:KEY=RULQNYTQ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IT&amp;VAR:INDEX=0"}</definedName>
    <definedName function="false" hidden="true" name="_2210__FDSAUDITLINK__" vbProcedure="false">{"fdsup://directions/FAT Viewer?action=UPDATE&amp;creator=factset&amp;DYN_ARGS=TRUE&amp;DOC_NAME=FAT:FQL_AUDITING_CLIENT_TEMPLATE.FAT&amp;display_string=Audit&amp;VAR:KEY=BQJAJANK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CL&amp;VAR:INDEX=0"}</definedName>
    <definedName function="false" hidden="true" name="_2211__FDSAUDITLINK__" vbProcedure="false">{"fdsup://directions/FAT Viewer?action=UPDATE&amp;creator=factset&amp;DYN_ARGS=TRUE&amp;DOC_NAME=FAT:FQL_AUDITING_CLIENT_TEMPLATE.FAT&amp;display_string=Audit&amp;VAR:KEY=TKZCFIHW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TN&amp;VAR:INDEX=0"}</definedName>
    <definedName function="false" hidden="true" name="_2212__FDSAUDITLINK__" vbProcedure="false">{"fdsup://Directions/FactSet Auditing Viewer?action=AUDIT_VALUE&amp;DB=129&amp;ID1=93675010&amp;VALUEID=02001&amp;SDATE=201002&amp;PERIODTYPE=QTR_STD&amp;window=popup_no_bar&amp;width=385&amp;height=120&amp;START_MAXIMIZED=FALSE&amp;creator=factset&amp;display_string=Audit"}</definedName>
    <definedName function="false" hidden="true" name="_2213__FDSAUDITLINK__" vbProcedure="false">{"fdsup://directions/FAT Viewer?action=UPDATE&amp;creator=factset&amp;DYN_ARGS=TRUE&amp;DOC_NAME=FAT:FQL_AUDITING_CLIENT_TEMPLATE.FAT&amp;display_string=Audit&amp;VAR:KEY=LGRYJEVU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TM&amp;VAR:INDEX=0"}</definedName>
    <definedName function="false" hidden="true" name="_2214__FDSAUDITLINK__" vbProcedure="false">{"fdsup://Directions/FactSet Auditing Viewer?action=AUDIT_VALUE&amp;DB=129&amp;ID1=37956X10&amp;VALUEID=02001&amp;SDATE=201004&amp;PERIODTYPE=QTR_STD&amp;window=popup_no_bar&amp;width=385&amp;height=120&amp;START_MAXIMIZED=FALSE&amp;creator=factset&amp;display_string=Audit"}</definedName>
    <definedName function="false" hidden="true" name="_2215__FDSAUDITLINK__" vbProcedure="false">{"fdsup://directions/FAT Viewer?action=UPDATE&amp;creator=factset&amp;DYN_ARGS=TRUE&amp;DOC_NAME=FAT:FQL_AUDITING_CLIENT_TEMPLATE.FAT&amp;display_string=Audit&amp;VAR:KEY=HQNSPOXG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CS&amp;VAR:INDEX=0"}</definedName>
    <definedName function="false" hidden="true" name="_2216__FDSAUDITLINK__" vbProcedure="false">{"fdsup://directions/FAT Viewer?action=UPDATE&amp;creator=factset&amp;DYN_ARGS=TRUE&amp;DOC_NAME=FAT:FQL_AUDITING_CLIENT_TEMPLATE.FAT&amp;display_string=Audit&amp;VAR:KEY=XYBQZUBE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775943&amp;VAR:INDEX=0"}</definedName>
    <definedName function="false" hidden="true" name="_2217__FDSAUDITLINK__" vbProcedure="false">{"fdsup://directions/FAT Viewer?action=UPDATE&amp;creator=factset&amp;DYN_ARGS=TRUE&amp;DOC_NAME=FAT:FQL_AUDITING_CLIENT_TEMPLATE.FAT&amp;display_string=Audit&amp;VAR:KEY=LKJSHOFC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V&amp;VAR:INDEX=0"}</definedName>
    <definedName function="false" hidden="true" name="_2218__FDSAUDITLINK__" vbProcedure="false">{"fdsup://Directions/FactSet Auditing Viewer?action=AUDIT_VALUE&amp;DB=129&amp;ID1=26943720&amp;VALUEID=02001&amp;SDATE=200703&amp;PERIODTYPE=QTR_STD&amp;window=popup_no_bar&amp;width=385&amp;height=120&amp;START_MAXIMIZED=FALSE&amp;creator=factset&amp;display_string=Audit"}</definedName>
    <definedName function="false" hidden="true" name="_2219__FDSAUDITLINK__" vbProcedure="false">{"fdsup://Directions/FactSet Auditing Viewer?action=AUDIT_VALUE&amp;DB=129&amp;ID1=30556010&amp;VALUEID=02001&amp;SDATE=201002&amp;PERIODTYPE=QTR_STD&amp;window=popup_no_bar&amp;width=385&amp;height=120&amp;START_MAXIMIZED=FALSE&amp;creator=factset&amp;display_string=Audit"}</definedName>
    <definedName function="false" hidden="true" name="_221__FDSAUDITLINK__" vbProcedure="false">{"fdsup://directions/FAT Viewer?action=UPDATE&amp;creator=factset&amp;DYN_ARGS=TRUE&amp;DOC_NAME=FAT:FQL_AUDITING_CLIENT_TEMPLATE.FAT&amp;display_string=Audit&amp;VAR:KEY=BEXQREPW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IS&amp;VAR:INDEX=0"}</definedName>
    <definedName function="false" hidden="true" name="_2220__FDSAUDITLINK__" vbProcedure="false">{"fdsup://Directions/FactSet Auditing Viewer?action=AUDIT_VALUE&amp;DB=129&amp;ID1=26876320&amp;VALUEID=02001&amp;SDATE=201003&amp;PERIODTYPE=QTR_STD&amp;window=popup_no_bar&amp;width=385&amp;height=120&amp;START_MAXIMIZED=FALSE&amp;creator=factset&amp;display_string=Audit"}</definedName>
    <definedName function="false" hidden="true" name="_2221__FDSAUDITLINK__" vbProcedure="false">{"fdsup://Directions/FactSet Auditing Viewer?action=AUDIT_VALUE&amp;DB=129&amp;ID1=49331220&amp;VALUEID=02001&amp;SDATE=201002&amp;PERIODTYPE=QTR_STD&amp;window=popup_no_bar&amp;width=385&amp;height=120&amp;START_MAXIMIZED=FALSE&amp;creator=factset&amp;display_string=Audit"}</definedName>
    <definedName function="false" hidden="true" name="_2222__FDSAUDITLINK__" vbProcedure="false">{"fdsup://Directions/FactSet Auditing Viewer?action=AUDIT_VALUE&amp;DB=129&amp;ID1=29246J20&amp;VALUEID=02001&amp;SDATE=201002&amp;PERIODTYPE=QTR_STD&amp;window=popup_no_bar&amp;width=385&amp;height=120&amp;START_MAXIMIZED=FALSE&amp;creator=factset&amp;display_string=Audit"}</definedName>
    <definedName function="false" hidden="true" name="_2223__FDSAUDITLINK__" vbProcedure="false">{"fdsup://Directions/FactSet Auditing Viewer?action=AUDIT_VALUE&amp;DB=129&amp;ID1=89869710&amp;VALUEID=02001&amp;SDATE=201002&amp;PERIODTYPE=QTR_STD&amp;window=popup_no_bar&amp;width=385&amp;height=120&amp;START_MAXIMIZED=FALSE&amp;creator=factset&amp;display_string=Audit"}</definedName>
    <definedName function="false" hidden="true" name="_2224__FDSAUDITLINK__" vbProcedure="false">{"fdsup://Directions/FactSet Auditing Viewer?action=AUDIT_VALUE&amp;DB=129&amp;ID1=98387T10&amp;VALUEID=02001&amp;SDATE=200603&amp;PERIODTYPE=QTR_STD&amp;window=popup_no_bar&amp;width=385&amp;height=120&amp;START_MAXIMIZED=FALSE&amp;creator=factset&amp;display_string=Audit"}</definedName>
    <definedName function="false" hidden="true" name="_2225__FDSAUDITLINK__" vbProcedure="false">{"fdsup://Directions/FactSet Auditing Viewer?action=AUDIT_VALUE&amp;DB=129&amp;ID1=54021110&amp;VALUEID=02001&amp;SDATE=201003&amp;PERIODTYPE=QTR_STD&amp;window=popup_no_bar&amp;width=385&amp;height=120&amp;START_MAXIMIZED=FALSE&amp;creator=factset&amp;display_string=Audit"}</definedName>
    <definedName function="false" hidden="true" name="_2226__FDSAUDITLINK__" vbProcedure="false">{"fdsup://Directions/FactSet Auditing Viewer?action=AUDIT_VALUE&amp;DB=129&amp;ID1=87945510&amp;VALUEID=02001&amp;SDATE=201004&amp;PERIODTYPE=QTR_STD&amp;window=popup_no_bar&amp;width=385&amp;height=120&amp;START_MAXIMIZED=FALSE&amp;creator=factset&amp;display_string=Audit"}</definedName>
    <definedName function="false" hidden="true" name="_2227__FDSAUDITLINK__" vbProcedure="false">{"fdsup://Directions/FactSet Auditing Viewer?action=AUDIT_VALUE&amp;DB=129&amp;ID1=89200010&amp;VALUEID=02001&amp;SDATE=201002&amp;PERIODTYPE=QTR_STD&amp;window=popup_no_bar&amp;width=385&amp;height=120&amp;START_MAXIMIZED=FALSE&amp;creator=factset&amp;display_string=Audit"}</definedName>
    <definedName function="false" hidden="true" name="_2228__FDSAUDITLINK__" vbProcedure="false">{"fdsup://Directions/FactSet Auditing Viewer?action=AUDIT_VALUE&amp;DB=129&amp;ID1=98417K10&amp;VALUEID=02001&amp;SDATE=201002&amp;PERIODTYPE=QTR_STD&amp;window=popup_no_bar&amp;width=385&amp;height=120&amp;START_MAXIMIZED=FALSE&amp;creator=factset&amp;display_string=Audit"}</definedName>
    <definedName function="false" hidden="true" name="_2229__FDSAUDITLINK__" vbProcedure="false">{"fdsup://Directions/FactSet Auditing Viewer?action=AUDIT_VALUE&amp;DB=129&amp;ID1=04907920&amp;VALUEID=02001&amp;SDATE=201002&amp;PERIODTYPE=QTR_STD&amp;window=popup_no_bar&amp;width=385&amp;height=120&amp;START_MAXIMIZED=FALSE&amp;creator=factset&amp;display_string=Audit"}</definedName>
    <definedName function="false" hidden="true" name="_222__FDSAUDITLINK__" vbProcedure="false">{"fdsup://directions/FAT Viewer?action=UPDATE&amp;creator=factset&amp;DYN_ARGS=TRUE&amp;DOC_NAME=FAT:FQL_AUDITING_CLIENT_TEMPLATE.FAT&amp;display_string=Audit&amp;VAR:KEY=LMJYDSRM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PE&amp;VAR:INDEX=0"}</definedName>
    <definedName function="false" hidden="true" name="_2230__FDSAUDITLINK__" vbProcedure="false">{"fdsup://Directions/FactSet Auditing Viewer?action=AUDIT_VALUE&amp;DB=129&amp;ID1=28291410&amp;VALUEID=02001&amp;SDATE=201002&amp;PERIODTYPE=QTR_STD&amp;window=popup_no_bar&amp;width=385&amp;height=120&amp;START_MAXIMIZED=FALSE&amp;creator=factset&amp;display_string=Audit"}</definedName>
    <definedName function="false" hidden="true" name="_2231__FDSAUDITLINK__" vbProcedure="false">{"fdsup://Directions/FactSet Auditing Viewer?action=AUDIT_VALUE&amp;DB=129&amp;ID1=45885A30&amp;VALUEID=02001&amp;SDATE=201002&amp;PERIODTYPE=QTR_STD&amp;window=popup_no_bar&amp;width=385&amp;height=120&amp;START_MAXIMIZED=FALSE&amp;creator=factset&amp;display_string=Audit"}</definedName>
    <definedName function="false" hidden="true" name="_2232__FDSAUDITLINK__" vbProcedure="false">{"fdsup://Directions/FactSet Auditing Viewer?action=AUDIT_VALUE&amp;DB=129&amp;ID1=68882320&amp;VALUEID=02001&amp;SDATE=201002&amp;PERIODTYPE=QTR_STD&amp;window=popup_no_bar&amp;width=385&amp;height=120&amp;START_MAXIMIZED=FALSE&amp;creator=factset&amp;display_string=Audit"}</definedName>
    <definedName function="false" hidden="true" name="_2233__FDSAUDITLINK__" vbProcedure="false">{"fdsup://Directions/FactSet Auditing Viewer?action=AUDIT_VALUE&amp;DB=129&amp;ID1=45678T30&amp;VALUEID=02001&amp;SDATE=201002&amp;PERIODTYPE=QTR_STD&amp;window=popup_no_bar&amp;width=385&amp;height=120&amp;START_MAXIMIZED=FALSE&amp;creator=factset&amp;display_string=Audit"}</definedName>
    <definedName function="false" hidden="true" name="_2234__FDSAUDITLINK__" vbProcedure="false">{"fdsup://Directions/FactSet Auditing Viewer?action=AUDIT_VALUE&amp;DB=129&amp;ID1=423142&amp;VALUEID=02001&amp;SDATE=201002&amp;PERIODTYPE=QTR_STD&amp;window=popup_no_bar&amp;width=385&amp;height=120&amp;START_MAXIMIZED=FALSE&amp;creator=factset&amp;display_string=Audit"}</definedName>
    <definedName function="false" hidden="true" name="_2235__FDSAUDITLINK__" vbProcedure="false">{"fdsup://Directions/FactSet Auditing Viewer?action=AUDIT_VALUE&amp;DB=129&amp;ID1=45031T87&amp;VALUEID=02001&amp;SDATE=201002&amp;PERIODTYPE=QTR_STD&amp;window=popup_no_bar&amp;width=385&amp;height=120&amp;START_MAXIMIZED=FALSE&amp;creator=factset&amp;display_string=Audit"}</definedName>
    <definedName function="false" hidden="true" name="_2236__FDSAUDITLINK__" vbProcedure="false">{"fdsup://Directions/FactSet Auditing Viewer?action=AUDIT_VALUE&amp;DB=129&amp;ID1=01167P10&amp;VALUEID=02001&amp;SDATE=201002&amp;PERIODTYPE=QTR_STD&amp;window=popup_no_bar&amp;width=385&amp;height=120&amp;START_MAXIMIZED=FALSE&amp;creator=factset&amp;display_string=Audit"}</definedName>
    <definedName function="false" hidden="true" name="_2237__FDSAUDITLINK__" vbProcedure="false">{"fdsup://Directions/FactSet Auditing Viewer?action=AUDIT_VALUE&amp;DB=129&amp;ID1=58446K10&amp;VALUEID=02001&amp;SDATE=201002&amp;PERIODTYPE=QTR_STD&amp;window=popup_no_bar&amp;width=385&amp;height=120&amp;START_MAXIMIZED=FALSE&amp;creator=factset&amp;display_string=Audit"}</definedName>
    <definedName function="false" hidden="true" name="_2238__FDSAUDITLINK__" vbProcedure="false">{"fdsup://directions/FAT Viewer?action=UPDATE&amp;creator=factset&amp;DYN_ARGS=TRUE&amp;DOC_NAME=FAT:FQL_AUDITING_CLIENT_TEMPLATE.FAT&amp;display_string=Audit&amp;VAR:KEY=VOPAJUBMBC&amp;VAR:QUERY=KEZTTF9ORVRfSU5DKE5PVyxOT1csRlNBLCxVU0QpQEZGX05FVF9JTkMoTFRNUywwLCwsLFVTRCkp&amp;WINDOW=F","IRST_POPUP&amp;HEIGHT=450&amp;WIDTH=450&amp;START_MAXIMIZED=FALSE&amp;VAR:CALENDAR=US&amp;VAR:SYMBOL=TWER&amp;VAR:INDEX=0"}</definedName>
    <definedName function="false" hidden="true" name="_2239__FDSAUDITLINK__" vbProcedure="false">{"fdsup://Directions/FactSet Auditing Viewer?action=AUDIT_VALUE&amp;DB=129&amp;ID1=91126810&amp;VALUEID=02001&amp;SDATE=201002&amp;PERIODTYPE=QTR_STD&amp;window=popup_no_bar&amp;width=385&amp;height=120&amp;START_MAXIMIZED=FALSE&amp;creator=factset&amp;display_string=Audit"}</definedName>
    <definedName function="false" hidden="true" name="_223__FDSAUDITLINK__" vbProcedure="false">{"fdsup://directions/FAT Viewer?action=UPDATE&amp;creator=factset&amp;DYN_ARGS=TRUE&amp;DOC_NAME=FAT:FQL_AUDITING_CLIENT_TEMPLATE.FAT&amp;display_string=Audit&amp;VAR:KEY=XQTIBCXEV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NT&amp;VAR:INDEX=0"}</definedName>
    <definedName function="false" hidden="true" name="_2240__FDSAUDITLINK__" vbProcedure="false">{"fdsup://Directions/FactSet Auditing Viewer?action=AUDIT_VALUE&amp;DB=129&amp;ID1=14984710&amp;VALUEID=02001&amp;SDATE=201002&amp;PERIODTYPE=QTR_STD&amp;window=popup_no_bar&amp;width=385&amp;height=120&amp;START_MAXIMIZED=FALSE&amp;creator=factset&amp;display_string=Audit"}</definedName>
    <definedName function="false" hidden="true" name="_2241__FDSAUDITLINK__" vbProcedure="false">{"fdsup://Directions/FactSet Auditing Viewer?action=AUDIT_VALUE&amp;DB=129&amp;ID1=49918380&amp;VALUEID=02001&amp;SDATE=201002&amp;PERIODTYPE=QTR_STD&amp;window=popup_no_bar&amp;width=385&amp;height=120&amp;START_MAXIMIZED=FALSE&amp;creator=factset&amp;display_string=Audit"}</definedName>
    <definedName function="false" hidden="true" name="_2242__FDSAUDITLINK__" vbProcedure="false">{"fdsup://Directions/FactSet Auditing Viewer?action=AUDIT_VALUE&amp;DB=129&amp;ID1=64128B10&amp;VALUEID=02001&amp;SDATE=201002&amp;PERIODTYPE=QTR_STD&amp;window=popup_no_bar&amp;width=385&amp;height=120&amp;START_MAXIMIZED=FALSE&amp;creator=factset&amp;display_string=Audit"}</definedName>
    <definedName function="false" hidden="true" name="_2243__FDSAUDITLINK__" vbProcedure="false">{"fdsup://Directions/FactSet Auditing Viewer?action=AUDIT_VALUE&amp;DB=129&amp;ID1=455228&amp;VALUEID=02001&amp;SDATE=201002&amp;PERIODTYPE=QTR_STD&amp;window=popup_no_bar&amp;width=385&amp;height=120&amp;START_MAXIMIZED=FALSE&amp;creator=factset&amp;display_string=Audit"}</definedName>
    <definedName function="false" hidden="true" name="_2244__FDSAUDITLINK__" vbProcedure="false">{"fdsup://Directions/FactSet Auditing Viewer?action=AUDIT_VALUE&amp;DB=129&amp;ID1=67020Q10&amp;VALUEID=02001&amp;SDATE=201002&amp;PERIODTYPE=QTR_STD&amp;window=popup_no_bar&amp;width=385&amp;height=120&amp;START_MAXIMIZED=FALSE&amp;creator=factset&amp;display_string=Audit"}</definedName>
    <definedName function="false" hidden="true" name="_2245__FDSAUDITLINK__" vbProcedure="false">{"fdsup://Directions/FactSet Auditing Viewer?action=AUDIT_VALUE&amp;DB=129&amp;ID1=80542330&amp;VALUEID=02001&amp;SDATE=201002&amp;PERIODTYPE=QTR_STD&amp;window=popup_no_bar&amp;width=385&amp;height=120&amp;START_MAXIMIZED=FALSE&amp;creator=factset&amp;display_string=Audit"}</definedName>
    <definedName function="false" hidden="true" name="_2246__FDSAUDITLINK__" vbProcedure="false">{"fdsup://Directions/FactSet Auditing Viewer?action=AUDIT_VALUE&amp;DB=129&amp;ID1=G3921A17&amp;VALUEID=02001&amp;SDATE=201002&amp;PERIODTYPE=QTR_STD&amp;window=popup_no_bar&amp;width=385&amp;height=120&amp;START_MAXIMIZED=FALSE&amp;creator=factset&amp;display_string=Audit"}</definedName>
    <definedName function="false" hidden="true" name="_2247__FDSAUDITLINK__" vbProcedure="false">{"fdsup://Directions/FactSet Auditing Viewer?action=AUDIT_VALUE&amp;DB=129&amp;ID1=87163F10&amp;VALUEID=02001&amp;SDATE=201002&amp;PERIODTYPE=QTR_STD&amp;window=popup_no_bar&amp;width=385&amp;height=120&amp;START_MAXIMIZED=FALSE&amp;creator=factset&amp;display_string=Audit"}</definedName>
    <definedName function="false" hidden="true" name="_2248__FDSAUDITLINK__" vbProcedure="false">{"fdsup://Directions/FactSet Auditing Viewer?action=AUDIT_VALUE&amp;DB=129&amp;ID1=88870610&amp;VALUEID=02001&amp;SDATE=201002&amp;PERIODTYPE=QTR_STD&amp;window=popup_no_bar&amp;width=385&amp;height=120&amp;START_MAXIMIZED=FALSE&amp;creator=factset&amp;display_string=Audit"}</definedName>
    <definedName function="false" hidden="true" name="_2249__FDSAUDITLINK__" vbProcedure="false">{"fdsup://Directions/FactSet Auditing Viewer?action=AUDIT_VALUE&amp;DB=129&amp;ID1=91168410&amp;VALUEID=02001&amp;SDATE=201002&amp;PERIODTYPE=QTR_STD&amp;window=popup_no_bar&amp;width=385&amp;height=120&amp;START_MAXIMIZED=FALSE&amp;creator=factset&amp;display_string=Audit"}</definedName>
    <definedName function="false" hidden="true" name="_224__FDSAUDITLINK__" vbProcedure="false">{"fdsup://directions/FAT Viewer?action=UPDATE&amp;creator=factset&amp;DYN_ARGS=TRUE&amp;DOC_NAME=FAT:FQL_AUDITING_CLIENT_TEMPLATE.FAT&amp;display_string=Audit&amp;VAR:KEY=DCLMDKXYXY&amp;VAR:QUERY=RkZfRUJJVERBX09QRVIoTFRNLDAsLCwsVVNEKQ==&amp;WINDOW=FIRST_POPUP&amp;HEIGHT=450&amp;WIDTH=450&amp;STAR","T_MAXIMIZED=FALSE&amp;VAR:CALENDAR=US&amp;VAR:SYMBOL=CVTI&amp;VAR:INDEX=0"}</definedName>
    <definedName function="false" hidden="true" name="_2250__FDSAUDITLINK__" vbProcedure="false">{"fdsup://Directions/FactSet Auditing Viewer?action=AUDIT_VALUE&amp;DB=129&amp;ID1=92552V10&amp;VALUEID=02001&amp;SDATE=201001&amp;PERIODTYPE=QTR_STD&amp;window=popup_no_bar&amp;width=385&amp;height=120&amp;START_MAXIMIZED=FALSE&amp;creator=factset&amp;display_string=Audit"}</definedName>
    <definedName function="false" hidden="true" name="_2251__FDSAUDITLINK__" vbProcedure="false">{"fdsup://Directions/FactSet Auditing Viewer?action=AUDIT_VALUE&amp;DB=129&amp;ID1=92552V10&amp;VALUEID=02001&amp;SDATE=201001&amp;PERIODTYPE=QTR_STD&amp;window=popup_no_bar&amp;width=385&amp;height=120&amp;START_MAXIMIZED=FALSE&amp;creator=factset&amp;display_string=Audit"}</definedName>
    <definedName function="false" hidden="true" name="_2252__FDSAUDITLINK__" vbProcedure="false">{"fdsup://Directions/FactSet Auditing Viewer?action=AUDIT_VALUE&amp;DB=129&amp;ID1=00738A10&amp;VALUEID=02001&amp;SDATE=201003&amp;PERIODTYPE=QTR_STD&amp;window=popup_no_bar&amp;width=385&amp;height=120&amp;START_MAXIMIZED=FALSE&amp;creator=factset&amp;display_string=Audit"}</definedName>
    <definedName function="false" hidden="true" name="_2253__FDSAUDITLINK__" vbProcedure="false">{"fdsup://directions/FAT Viewer?action=UPDATE&amp;creator=factset&amp;DYN_ARGS=TRUE&amp;DOC_NAME=FAT:FQL_AUDITING_CLIENT_TEMPLATE.FAT&amp;display_string=Audit&amp;VAR:KEY=DUNEJCNMBQ&amp;VAR:QUERY=KEZTTF9ORVRfSU5DKE5PVyxOT1csRlNBLCxVU0QpQEZGX05FVF9JTkMoTFRNUywwLCwsLFVTRCkp&amp;WINDOW=F","IRST_POPUP&amp;HEIGHT=450&amp;WIDTH=450&amp;START_MAXIMIZED=FALSE&amp;VAR:CALENDAR=US&amp;VAR:SYMBOL=WWVY&amp;VAR:INDEX=0"}</definedName>
    <definedName function="false" hidden="true" name="_2254__FDSAUDITLINK__" vbProcedure="false">{"fdsup://Directions/FactSet Auditing Viewer?action=AUDIT_VALUE&amp;DB=129&amp;ID1=59170810&amp;VALUEID=02001&amp;SDATE=201002&amp;PERIODTYPE=QTR_STD&amp;window=popup_no_bar&amp;width=385&amp;height=120&amp;START_MAXIMIZED=FALSE&amp;creator=factset&amp;display_string=Audit"}</definedName>
    <definedName function="false" hidden="true" name="_2255__FDSAUDITLINK__" vbProcedure="false">{"fdsup://Directions/FactSet Auditing Viewer?action=AUDIT_VALUE&amp;DB=129&amp;ID1=775943&amp;VALUEID=02001&amp;SDATE=201001&amp;PERIODTYPE=SEMI_STD&amp;window=popup_no_bar&amp;width=385&amp;height=120&amp;START_MAXIMIZED=FALSE&amp;creator=factset&amp;display_string=Audit"}</definedName>
    <definedName function="false" hidden="true" name="_2256__FDSAUDITLINK__" vbProcedure="false">{"fdsup://Directions/FactSet Auditing Viewer?action=AUDIT_VALUE&amp;DB=129&amp;ID1=25490A10&amp;VALUEID=02001&amp;SDATE=201002&amp;PERIODTYPE=QTR_STD&amp;window=popup_no_bar&amp;width=385&amp;height=120&amp;START_MAXIMIZED=FALSE&amp;creator=factset&amp;display_string=Audit"}</definedName>
    <definedName function="false" hidden="true" name="_2257__FDSAUDITLINK__" vbProcedure="false">{"fdsup://directions/FAT Viewer?action=UPDATE&amp;creator=factset&amp;DYN_ARGS=TRUE&amp;DOC_NAME=FAT:FQL_AUDITING_CLIENT_TEMPLATE.FAT&amp;display_string=Audit&amp;VAR:KEY=NMHSBQRSRC&amp;VAR:QUERY=KEZTTF9ORVRfSU5DKE5PVyxOT1csRlNBLCxVU0QpQEZGX05FVF9JTkMoTFRNUywwLCwsLFVTRCkp&amp;WINDOW=F","IRST_POPUP&amp;HEIGHT=450&amp;WIDTH=450&amp;START_MAXIMIZED=FALSE&amp;VAR:CALENDAR=US&amp;VAR:SYMBOL=IFLG&amp;VAR:INDEX=0"}</definedName>
    <definedName function="false" hidden="true" name="_2258__FDSAUDITLINK__" vbProcedure="false">{"fdsup://directions/FAT Viewer?action=UPDATE&amp;creator=factset&amp;DYN_ARGS=TRUE&amp;DOC_NAME=FAT:FQL_AUDITING_CLIENT_TEMPLATE.FAT&amp;display_string=Audit&amp;VAR:KEY=BSVCHSHMFM&amp;VAR:QUERY=KEZTTF9ORVRfSU5DKE5PVyxOT1csRlNBLCxVU0QpQEZGX05FVF9JTkMoTFRNUywwLCwsLFVTRCkp&amp;WINDOW=F","IRST_POPUP&amp;HEIGHT=450&amp;WIDTH=450&amp;START_MAXIMIZED=FALSE&amp;VAR:CALENDAR=US&amp;VAR:SYMBOL=MGT&amp;VAR:INDEX=0"}</definedName>
    <definedName function="false" hidden="true" name="_2259__FDSAUDITLINK__" vbProcedure="false">{"fdsup://directions/FAT Viewer?action=UPDATE&amp;creator=factset&amp;DYN_ARGS=TRUE&amp;DOC_NAME=FAT:FQL_AUDITING_CLIENT_TEMPLATE.FAT&amp;display_string=Audit&amp;VAR:KEY=JYDAZKHOZO&amp;VAR:QUERY=KEZTTF9ORVRfSU5DKE5PVyxOT1csRlNBLCxVU0QpQEZGX05FVF9JTkMoTFRNUywwLCwsLFVTRCkp&amp;WINDOW=F","IRST_POPUP&amp;HEIGHT=450&amp;WIDTH=450&amp;START_MAXIMIZED=FALSE&amp;VAR:CALENDAR=US&amp;VAR:SYMBOL=STRM&amp;VAR:INDEX=0"}</definedName>
    <definedName function="false" hidden="true" name="_225__FDSAUDITLINK__" vbProcedure="false">{"fdsup://directions/FAT Viewer?action=UPDATE&amp;creator=factset&amp;DYN_ARGS=TRUE&amp;DOC_NAME=FAT:FQL_AUDITING_CLIENT_TEMPLATE.FAT&amp;display_string=Audit&amp;VAR:KEY=PSXUBYRORW&amp;VAR:QUERY=RkZfRUJJVERBX09QRVIoTFRNLDAsLCwsVVNEKQ==&amp;WINDOW=FIRST_POPUP&amp;HEIGHT=450&amp;WIDTH=450&amp;STAR","T_MAXIMIZED=FALSE&amp;VAR:CALENDAR=US&amp;VAR:SYMBOL=CBEY&amp;VAR:INDEX=0"}</definedName>
    <definedName function="false" hidden="true" name="_2260__FDSAUDITLINK__" vbProcedure="false">{"fdsup://directions/FAT Viewer?action=UPDATE&amp;creator=factset&amp;DYN_ARGS=TRUE&amp;DOC_NAME=FAT:FQL_AUDITING_CLIENT_TEMPLATE.FAT&amp;display_string=Audit&amp;VAR:KEY=LCVEHEVQDE&amp;VAR:QUERY=KEZTTF9ORVRfSU5DKE5PVyxOT1csRlNBLCxVU0QpQEZGX05FVF9JTkMoTFRNUywwLCwsLFVTRCkp&amp;WINDOW=F","IRST_POPUP&amp;HEIGHT=450&amp;WIDTH=450&amp;START_MAXIMIZED=FALSE&amp;VAR:CALENDAR=US&amp;VAR:SYMBOL=447946&amp;VAR:INDEX=0"}</definedName>
    <definedName function="false" hidden="true" name="_2261__FDSAUDITLINK__" vbProcedure="false">{"fdsup://directions/FAT Viewer?action=UPDATE&amp;creator=factset&amp;DYN_ARGS=TRUE&amp;DOC_NAME=FAT:FQL_AUDITING_CLIENT_TEMPLATE.FAT&amp;display_string=Audit&amp;VAR:KEY=BAJELSZGBW&amp;VAR:QUERY=KEZTTF9ORVRfSU5DKE5PVyxOT1csRlNBLCxVU0QpQEZGX05FVF9JTkMoTFRNUywwLCwsLFVTRCkp&amp;WINDOW=F","IRST_POPUP&amp;HEIGHT=450&amp;WIDTH=450&amp;START_MAXIMIZED=FALSE&amp;VAR:CALENDAR=US&amp;VAR:SYMBOL=B1408Q&amp;VAR:INDEX=0"}</definedName>
    <definedName function="false" hidden="true" name="_2262__FDSAUDITLINK__" vbProcedure="false">{"fdsup://directions/FAT Viewer?action=UPDATE&amp;creator=factset&amp;DYN_ARGS=TRUE&amp;DOC_NAME=FAT:FQL_AUDITING_CLIENT_TEMPLATE.FAT&amp;display_string=Audit&amp;VAR:KEY=HODOLYLMPO&amp;VAR:QUERY=KEZTTF9ORVRfSU5DKE5PVyxOT1csRlNBLCxVU0QpQEZGX05FVF9JTkMoTFRNUywwLCwsLFVTRCkp&amp;WINDOW=F","IRST_POPUP&amp;HEIGHT=450&amp;WIDTH=450&amp;START_MAXIMIZED=FALSE&amp;VAR:CALENDAR=US&amp;VAR:SYMBOL=SLP&amp;VAR:INDEX=0"}</definedName>
    <definedName function="false" hidden="true" name="_2263__FDSAUDITLINK__" vbProcedure="false">{"fdsup://directions/FAT Viewer?action=UPDATE&amp;creator=factset&amp;DYN_ARGS=TRUE&amp;DOC_NAME=FAT:FQL_AUDITING_CLIENT_TEMPLATE.FAT&amp;display_string=Audit&amp;VAR:KEY=ZGVQHARWZO&amp;VAR:QUERY=KEZTTF9ORVRfSU5DKE5PVyxOT1csRlNBLCxVU0QpQEZGX05FVF9JTkMoTFRNUywwLCwsLFVTRCkp&amp;WINDOW=F","IRST_POPUP&amp;HEIGHT=450&amp;WIDTH=450&amp;START_MAXIMIZED=FALSE&amp;VAR:CALENDAR=US&amp;VAR:SYMBOL=ADAM&amp;VAR:INDEX=0"}</definedName>
    <definedName function="false" hidden="true" name="_2264__FDSAUDITLINK__" vbProcedure="false">{"fdsup://directions/FAT Viewer?action=UPDATE&amp;creator=factset&amp;DYN_ARGS=TRUE&amp;DOC_NAME=FAT:FQL_AUDITING_CLIENT_TEMPLATE.FAT&amp;display_string=Audit&amp;VAR:KEY=LYJSRYFAJM&amp;VAR:QUERY=KEZTTF9ORVRfSU5DKE5PVyxOT1csRlNBLCxVU0QpQEZGX05FVF9JTkMoTFRNUywwLCwsLFVTRCkp&amp;WINDOW=F","IRST_POPUP&amp;HEIGHT=450&amp;WIDTH=450&amp;START_MAXIMIZED=FALSE&amp;VAR:CALENDAR=US&amp;VAR:SYMBOL=B0940H&amp;VAR:INDEX=0"}</definedName>
    <definedName function="false" hidden="true" name="_2265__FDSAUDITLINK__" vbProcedure="false">{"fdsup://directions/FAT Viewer?action=UPDATE&amp;creator=factset&amp;DYN_ARGS=TRUE&amp;DOC_NAME=FAT:FQL_AUDITING_CLIENT_TEMPLATE.FAT&amp;display_string=Audit&amp;VAR:KEY=HEPAHKNMRS&amp;VAR:QUERY=KEZTTF9ORVRfSU5DKE5PVyxOT1csRlNBLCxVU0QpQEZGX05FVF9JTkMoTFRNUywwLCwsLFVTRCkp&amp;WINDOW=F","IRST_POPUP&amp;HEIGHT=450&amp;WIDTH=450&amp;START_MAXIMIZED=FALSE&amp;VAR:CALENDAR=US&amp;VAR:SYMBOL=MEDW&amp;VAR:INDEX=0"}</definedName>
    <definedName function="false" hidden="true" name="_2266__FDSAUDITLINK__" vbProcedure="false">{"fdsup://directions/FAT Viewer?action=UPDATE&amp;creator=factset&amp;DYN_ARGS=TRUE&amp;DOC_NAME=FAT:FQL_AUDITING_CLIENT_TEMPLATE.FAT&amp;display_string=Audit&amp;VAR:KEY=DUVUTQBYTO&amp;VAR:QUERY=KEZTTF9ORVRfSU5DKE5PVyxOT1csRlNBLCxVU0QpQEZGX05FVF9JTkMoTFRNUywwLCwsLFVTRCkp&amp;WINDOW=F","IRST_POPUP&amp;HEIGHT=450&amp;WIDTH=450&amp;START_MAXIMIZED=FALSE&amp;VAR:CALENDAR=US&amp;VAR:SYMBOL=HSTM&amp;VAR:INDEX=0"}</definedName>
    <definedName function="false" hidden="true" name="_2267__FDSAUDITLINK__" vbProcedure="false">{"fdsup://directions/FAT Viewer?action=UPDATE&amp;creator=factset&amp;DYN_ARGS=TRUE&amp;DOC_NAME=FAT:FQL_AUDITING_CLIENT_TEMPLATE.FAT&amp;display_string=Audit&amp;VAR:KEY=NWLQXWVSZK&amp;VAR:QUERY=KEZTTF9ORVRfSU5DKE5PVyxOT1csRlNBLCxVU0QpQEZGX05FVF9JTkMoTFRNUywwLCwsLFVTRCkp&amp;WINDOW=F","IRST_POPUP&amp;HEIGHT=450&amp;WIDTH=450&amp;START_MAXIMIZED=FALSE&amp;VAR:CALENDAR=US&amp;VAR:SYMBOL=B1G580&amp;VAR:INDEX=0"}</definedName>
    <definedName function="false" hidden="true" name="_2268__FDSAUDITLINK__" vbProcedure="false">{"fdsup://directions/FAT Viewer?action=UPDATE&amp;creator=factset&amp;DYN_ARGS=TRUE&amp;DOC_NAME=FAT:FQL_AUDITING_CLIENT_TEMPLATE.FAT&amp;display_string=Audit&amp;VAR:KEY=RCJSHYPAVQ&amp;VAR:QUERY=KEZTTF9ORVRfSU5DKE5PVyxOT1csRlNBLCxVU0QpQEZGX05FVF9JTkMoTFRNUywwLCwsLFVTRCkp&amp;WINDOW=F","IRST_POPUP&amp;HEIGHT=450&amp;WIDTH=450&amp;START_MAXIMIZED=FALSE&amp;VAR:CALENDAR=US&amp;VAR:SYMBOL=B2425G&amp;VAR:INDEX=0"}</definedName>
    <definedName function="false" hidden="true" name="_2269__FDSAUDITLINK__" vbProcedure="false">{"fdsup://directions/FAT Viewer?action=UPDATE&amp;creator=factset&amp;DYN_ARGS=TRUE&amp;DOC_NAME=FAT:FQL_AUDITING_CLIENT_TEMPLATE.FAT&amp;display_string=Audit&amp;VAR:KEY=LIRCDQLWPY&amp;VAR:QUERY=KEZTTF9ORVRfSU5DKE5PVyxOT1csRlNBLCxVU0QpQEZGX05FVF9JTkMoTFRNUywwLCwsLFVTRCkp&amp;WINDOW=F","IRST_POPUP&amp;HEIGHT=450&amp;WIDTH=450&amp;START_MAXIMIZED=FALSE&amp;VAR:CALENDAR=US&amp;VAR:SYMBOL=EM&amp;VAR:INDEX=0"}</definedName>
    <definedName function="false" hidden="true" name="_226__FDSAUDITLINK__" vbProcedure="false">{"fdsup://directions/FAT Viewer?action=UPDATE&amp;creator=factset&amp;DYN_ARGS=TRUE&amp;DOC_NAME=FAT:FQL_AUDITING_CLIENT_TEMPLATE.FAT&amp;display_string=Audit&amp;VAR:KEY=XMBSRGHAV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PA&amp;VAR:INDEX=0"}</definedName>
    <definedName function="false" hidden="true" name="_2270__FDSAUDITLINK__" vbProcedure="false">{"fdsup://directions/FAT Viewer?action=UPDATE&amp;creator=factset&amp;DYN_ARGS=TRUE&amp;DOC_NAME=FAT:FQL_AUDITING_CLIENT_TEMPLATE.FAT&amp;display_string=Audit&amp;VAR:KEY=LCXEDUJEVY&amp;VAR:QUERY=KEZTTF9ORVRfSU5DKE5PVyxOT1csRlNBLCxVU0QpQEZGX05FVF9JTkMoTFRNUywwLCwsLFVTRCkp&amp;WINDOW=F","IRST_POPUP&amp;HEIGHT=450&amp;WIDTH=450&amp;START_MAXIMIZED=FALSE&amp;VAR:CALENDAR=US&amp;VAR:SYMBOL=MDAS&amp;VAR:INDEX=0"}</definedName>
    <definedName function="false" hidden="true" name="_2271__FDSAUDITLINK__" vbProcedure="false">{"fdsup://directions/FAT Viewer?action=UPDATE&amp;creator=factset&amp;DYN_ARGS=TRUE&amp;DOC_NAME=FAT:FQL_AUDITING_CLIENT_TEMPLATE.FAT&amp;display_string=Audit&amp;VAR:KEY=NWNULILSVA&amp;VAR:QUERY=KEZTTF9ORVRfSU5DKE5PVyxOT1csRlNBLCxVU0QpQEZGX05FVF9JTkMoTFRNUywwLCwsLFVTRCkp&amp;WINDOW=F","IRST_POPUP&amp;HEIGHT=450&amp;WIDTH=450&amp;START_MAXIMIZED=FALSE&amp;VAR:CALENDAR=US&amp;VAR:SYMBOL=ATHN&amp;VAR:INDEX=0"}</definedName>
    <definedName function="false" hidden="true" name="_2272__FDSAUDITLINK__" vbProcedure="false">{"fdsup://directions/FAT Viewer?action=UPDATE&amp;creator=factset&amp;DYN_ARGS=TRUE&amp;DOC_NAME=FAT:FQL_AUDITING_CLIENT_TEMPLATE.FAT&amp;display_string=Audit&amp;VAR:KEY=RQBUNABCLO&amp;VAR:QUERY=KEZTTF9ORVRfSU5DKE5PVyxOT1csRlNBLCxVU0QpQEZGX05FVF9JTkMoTFRNUywwLCwsLFVTRCkp&amp;WINDOW=F","IRST_POPUP&amp;HEIGHT=450&amp;WIDTH=450&amp;START_MAXIMIZED=FALSE&amp;VAR:CALENDAR=US&amp;VAR:SYMBOL=QSII&amp;VAR:INDEX=0"}</definedName>
    <definedName function="false" hidden="true" name="_2273__FDSAUDITLINK__" vbProcedure="false">{"fdsup://directions/FAT Viewer?action=UPDATE&amp;creator=factset&amp;DYN_ARGS=TRUE&amp;DOC_NAME=FAT:FQL_AUDITING_CLIENT_TEMPLATE.FAT&amp;display_string=Audit&amp;VAR:KEY=JQJMFMNCRI&amp;VAR:QUERY=KEZTTF9ORVRfSU5DKE5PVyxOT1csRlNBLCxVU0QpQEZGX05FVF9JTkMoTFRNUywwLCwsLFVTRCkp&amp;WINDOW=F","IRST_POPUP&amp;HEIGHT=450&amp;WIDTH=450&amp;START_MAXIMIZED=FALSE&amp;VAR:CALENDAR=US&amp;VAR:SYMBOL=B16NZ5&amp;VAR:INDEX=0"}</definedName>
    <definedName function="false" hidden="true" name="_2274__FDSAUDITLINK__" vbProcedure="false">{"fdsup://directions/FAT Viewer?action=UPDATE&amp;creator=factset&amp;DYN_ARGS=TRUE&amp;DOC_NAME=FAT:FQL_AUDITING_CLIENT_TEMPLATE.FAT&amp;display_string=Audit&amp;VAR:KEY=PQXSJCHQNA&amp;VAR:QUERY=KEZTTF9ORVRfSU5DKE5PVyxOT1csRlNBLCxVU0QpQEZGX05FVF9JTkMoTFRNUywwLCwsLFVTRCkp&amp;WINDOW=F","IRST_POPUP&amp;HEIGHT=450&amp;WIDTH=450&amp;START_MAXIMIZED=FALSE&amp;VAR:CALENDAR=US&amp;VAR:SYMBOL=MDRX&amp;VAR:INDEX=0"}</definedName>
    <definedName function="false" hidden="true" name="_2275__FDSAUDITLINK__" vbProcedure="false">{"fdsup://directions/FAT Viewer?action=UPDATE&amp;creator=factset&amp;DYN_ARGS=TRUE&amp;DOC_NAME=FAT:FQL_AUDITING_CLIENT_TEMPLATE.FAT&amp;display_string=Audit&amp;VAR:KEY=DUPAJGVSXM&amp;VAR:QUERY=KEZTTF9ORVRfSU5DKE5PVyxOT1csRlNBLCxVU0QpQEZGX05FVF9JTkMoTFRNUywwLCwsLFVTRCkp&amp;WINDOW=F","IRST_POPUP&amp;HEIGHT=450&amp;WIDTH=450&amp;START_MAXIMIZED=FALSE&amp;VAR:CALENDAR=US&amp;VAR:SYMBOL=CERN&amp;VAR:INDEX=0"}</definedName>
    <definedName function="false" hidden="true" name="_2276__FDSAUDITLINK__" vbProcedure="false">{"fdsup://directions/FAT Viewer?action=UPDATE&amp;creator=factset&amp;DYN_ARGS=TRUE&amp;DOC_NAME=FAT:FQL_AUDITING_CLIENT_TEMPLATE.FAT&amp;display_string=Audit&amp;VAR:KEY=HOVUVUDSNA&amp;VAR:QUERY=KEZTTF9ORVRfSU5DKE5PVyxOT1csRlNBLCxVU0QpQEZGX05FVF9JTkMoTFRNUywwLCwsLFVTRCkp&amp;WINDOW=F","IRST_POPUP&amp;HEIGHT=450&amp;WIDTH=450&amp;START_MAXIMIZED=FALSE&amp;VAR:CALENDAR=US&amp;VAR:SYMBOL=MCK&amp;VAR:INDEX=0"}</definedName>
    <definedName function="false" hidden="true" name="_2277__FDSAUDITLINK__" vbProcedure="false">{"fdsup://directions/FAT Viewer?action=UPDATE&amp;creator=factset&amp;DYN_ARGS=TRUE&amp;DOC_NAME=FAT:FQL_AUDITING_CLIENT_TEMPLATE.FAT&amp;display_string=Audit&amp;VAR:KEY=NYZALEDK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FLG&amp;VAR:INDEX=0"}</definedName>
    <definedName function="false" hidden="true" name="_2278__FDSAUDITLINK__" vbProcedure="false">{"fdsup://directions/FAT Viewer?action=UPDATE&amp;creator=factset&amp;DYN_ARGS=TRUE&amp;DOC_NAME=FAT:FQL_AUDITING_CLIENT_TEMPLATE.FAT&amp;display_string=Audit&amp;VAR:KEY=HYHAPMFO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GT&amp;VAR:INDEX=0"}</definedName>
    <definedName function="false" hidden="true" name="_2279__FDSAUDITLINK__" vbProcedure="false">{"fdsup://directions/FAT Viewer?action=UPDATE&amp;creator=factset&amp;DYN_ARGS=TRUE&amp;DOC_NAME=FAT:FQL_AUDITING_CLIENT_TEMPLATE.FAT&amp;display_string=Audit&amp;VAR:KEY=PYZGRERY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TRM&amp;VAR:INDEX=0"}</definedName>
    <definedName function="false" hidden="true" name="_227__FDSAUDITLINK__" vbProcedure="false">{"fdsup://directions/FAT Viewer?action=UPDATE&amp;creator=factset&amp;DYN_ARGS=TRUE&amp;DOC_NAME=FAT:FQL_AUDITING_CLIENT_TEMPLATE.FAT&amp;display_string=Audit&amp;VAR:KEY=RYHGXWHUTK&amp;VAR:QUERY=RkZfRUJJVERBX09QRVIoTFRNLDAsLCwsVVNEKQ==&amp;WINDOW=FIRST_POPUP&amp;HEIGHT=450&amp;WIDTH=450&amp;STAR","T_MAXIMIZED=FALSE&amp;VAR:CALENDAR=US&amp;VAR:SYMBOL=SQNM&amp;VAR:INDEX=0"}</definedName>
    <definedName function="false" hidden="true" name="_2280__FDSAUDITLINK__" vbProcedure="false">{"fdsup://directions/FAT Viewer?action=UPDATE&amp;creator=factset&amp;DYN_ARGS=TRUE&amp;DOC_NAME=FAT:FQL_AUDITING_CLIENT_TEMPLATE.FAT&amp;display_string=Audit&amp;VAR:KEY=DYPSXUHA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447946&amp;VAR:INDEX=0"}</definedName>
    <definedName function="false" hidden="true" name="_2281__FDSAUDITLINK__" vbProcedure="false">{"fdsup://directions/FAT Viewer?action=UPDATE&amp;creator=factset&amp;DYN_ARGS=TRUE&amp;DOC_NAME=FAT:FQL_AUDITING_CLIENT_TEMPLATE.FAT&amp;display_string=Audit&amp;VAR:KEY=NOBIPQNG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1408Q&amp;VAR:INDEX=0"}</definedName>
    <definedName function="false" hidden="true" name="_2282__FDSAUDITLINK__" vbProcedure="false">{"fdsup://directions/FAT Viewer?action=UPDATE&amp;creator=factset&amp;DYN_ARGS=TRUE&amp;DOC_NAME=FAT:FQL_AUDITING_CLIENT_TEMPLATE.FAT&amp;display_string=Audit&amp;VAR:KEY=HMHAHCRA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P&amp;VAR:INDEX=0"}</definedName>
    <definedName function="false" hidden="true" name="_2283__FDSAUDITLINK__" vbProcedure="false">{"fdsup://directions/FAT Viewer?action=UPDATE&amp;creator=factset&amp;DYN_ARGS=TRUE&amp;DOC_NAME=FAT:FQL_AUDITING_CLIENT_TEMPLATE.FAT&amp;display_string=Audit&amp;VAR:KEY=TCPOHUPQ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AM&amp;VAR:INDEX=0"}</definedName>
    <definedName function="false" hidden="true" name="_2284__FDSAUDITLINK__" vbProcedure="false">{"fdsup://directions/FAT Viewer?action=UPDATE&amp;creator=factset&amp;DYN_ARGS=TRUE&amp;DOC_NAME=FAT:FQL_AUDITING_CLIENT_TEMPLATE.FAT&amp;display_string=Audit&amp;VAR:KEY=ZGNIDCZW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0940H&amp;VAR:INDEX=0"}</definedName>
    <definedName function="false" hidden="true" name="_2285__FDSAUDITLINK__" vbProcedure="false">{"fdsup://directions/FAT Viewer?action=UPDATE&amp;creator=factset&amp;DYN_ARGS=TRUE&amp;DOC_NAME=FAT:FQL_AUDITING_CLIENT_TEMPLATE.FAT&amp;display_string=Audit&amp;VAR:KEY=LGXKZKDIP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EDW&amp;VAR:INDEX=0"}</definedName>
    <definedName function="false" hidden="true" name="_2286__FDSAUDITLINK__" vbProcedure="false">{"fdsup://directions/FAT Viewer?action=UPDATE&amp;creator=factset&amp;DYN_ARGS=TRUE&amp;DOC_NAME=FAT:FQL_AUDITING_CLIENT_TEMPLATE.FAT&amp;display_string=Audit&amp;VAR:KEY=BYBSLOJW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STM&amp;VAR:INDEX=0"}</definedName>
    <definedName function="false" hidden="true" name="_2287__FDSAUDITLINK__" vbProcedure="false">{"fdsup://directions/FAT Viewer?action=UPDATE&amp;creator=factset&amp;DYN_ARGS=TRUE&amp;DOC_NAME=FAT:FQL_AUDITING_CLIENT_TEMPLATE.FAT&amp;display_string=Audit&amp;VAR:KEY=XQTCXELOR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G580&amp;VAR:INDEX=0"}</definedName>
    <definedName function="false" hidden="true" name="_2288__FDSAUDITLINK__" vbProcedure="false">{"fdsup://directions/FAT Viewer?action=UPDATE&amp;creator=factset&amp;DYN_ARGS=TRUE&amp;DOC_NAME=FAT:FQL_AUDITING_CLIENT_TEMPLATE.FAT&amp;display_string=Audit&amp;VAR:KEY=FEFWDQHU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2425G&amp;VAR:INDEX=0"}</definedName>
    <definedName function="false" hidden="true" name="_2289__FDSAUDITLINK__" vbProcedure="false">{"fdsup://directions/FAT Viewer?action=UPDATE&amp;creator=factset&amp;DYN_ARGS=TRUE&amp;DOC_NAME=FAT:FQL_AUDITING_CLIENT_TEMPLATE.FAT&amp;display_string=Audit&amp;VAR:KEY=PIVMXQHU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amp;VAR:INDEX=0"}</definedName>
    <definedName function="false" hidden="true" name="_228__FDSAUDITLINK__" vbProcedure="false">{"fdsup://directions/FAT Viewer?action=UPDATE&amp;creator=factset&amp;DYN_ARGS=TRUE&amp;DOC_NAME=FAT:FQL_AUDITING_CLIENT_TEMPLATE.FAT&amp;display_string=Audit&amp;VAR:KEY=JUPONYTGLQ&amp;VAR:QUERY=RkZfRUJJVERBX09QRVIoTFRNLDAsLCwsVVNEKQ==&amp;WINDOW=FIRST_POPUP&amp;HEIGHT=450&amp;WIDTH=450&amp;STAR","T_MAXIMIZED=FALSE&amp;VAR:CALENDAR=US&amp;VAR:SYMBOL=GPRE&amp;VAR:INDEX=0"}</definedName>
    <definedName function="false" hidden="true" name="_2290__FDSAUDITLINK__" vbProcedure="false">{"fdsup://directions/FAT Viewer?action=UPDATE&amp;creator=factset&amp;DYN_ARGS=TRUE&amp;DOC_NAME=FAT:FQL_AUDITING_CLIENT_TEMPLATE.FAT&amp;display_string=Audit&amp;VAR:KEY=TQTKFWDE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DAS&amp;VAR:INDEX=0"}</definedName>
    <definedName function="false" hidden="true" name="_2291__FDSAUDITLINK__" vbProcedure="false">{"fdsup://directions/FAT Viewer?action=UPDATE&amp;creator=factset&amp;DYN_ARGS=TRUE&amp;DOC_NAME=FAT:FQL_AUDITING_CLIENT_TEMPLATE.FAT&amp;display_string=Audit&amp;VAR:KEY=HYHAFIPM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HN&amp;VAR:INDEX=0"}</definedName>
    <definedName function="false" hidden="true" name="_2292__FDSAUDITLINK__" vbProcedure="false">{"fdsup://directions/FAT Viewer?action=UPDATE&amp;creator=factset&amp;DYN_ARGS=TRUE&amp;DOC_NAME=FAT:FQL_AUDITING_CLIENT_TEMPLATE.FAT&amp;display_string=Audit&amp;VAR:KEY=HWZOBWL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SII&amp;VAR:INDEX=0"}</definedName>
    <definedName function="false" hidden="true" name="_2293__FDSAUDITLINK__" vbProcedure="false">{"fdsup://directions/FAT Viewer?action=UPDATE&amp;creator=factset&amp;DYN_ARGS=TRUE&amp;DOC_NAME=FAT:FQL_AUDITING_CLIENT_TEMPLATE.FAT&amp;display_string=Audit&amp;VAR:KEY=VWNCVKZC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16NZ5&amp;VAR:INDEX=0"}</definedName>
    <definedName function="false" hidden="true" name="_2294__FDSAUDITLINK__" vbProcedure="false">{"fdsup://directions/FAT Viewer?action=UPDATE&amp;creator=factset&amp;DYN_ARGS=TRUE&amp;DOC_NAME=FAT:FQL_AUDITING_CLIENT_TEMPLATE.FAT&amp;display_string=Audit&amp;VAR:KEY=FABKZCHQ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DRX&amp;VAR:INDEX=0"}</definedName>
    <definedName function="false" hidden="true" name="_2295__FDSAUDITLINK__" vbProcedure="false">{"fdsup://directions/FAT Viewer?action=UPDATE&amp;creator=factset&amp;DYN_ARGS=TRUE&amp;DOC_NAME=FAT:FQL_AUDITING_CLIENT_TEMPLATE.FAT&amp;display_string=Audit&amp;VAR:KEY=BUVIFWBEV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ERN&amp;VAR:INDEX=0"}</definedName>
    <definedName function="false" hidden="true" name="_2296__FDSAUDITLINK__" vbProcedure="false">{"fdsup://directions/FAT Viewer?action=UPDATE&amp;creator=factset&amp;DYN_ARGS=TRUE&amp;DOC_NAME=FAT:FQL_AUDITING_CLIENT_TEMPLATE.FAT&amp;display_string=Audit&amp;VAR:KEY=RCZMLOJS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K&amp;VAR:INDEX=0"}</definedName>
    <definedName function="false" hidden="true" name="_2297__FDSAUDITLINK__" vbProcedure="false">{"fdsup://Directions/FactSet Auditing Viewer?action=AUDIT_VALUE&amp;DB=129&amp;ID1=45668X20&amp;VALUEID=02001&amp;SDATE=201002&amp;PERIODTYPE=QTR_STD&amp;window=popup_no_bar&amp;width=385&amp;height=120&amp;START_MAXIMIZED=FALSE&amp;creator=factset&amp;display_string=Audit"}</definedName>
    <definedName function="false" hidden="true" name="_2298__FDSAUDITLINK__" vbProcedure="false">{"fdsup://Directions/FactSet Auditing Viewer?action=AUDIT_VALUE&amp;DB=129&amp;ID1=55302P10&amp;VALUEID=02001&amp;SDATE=201002&amp;PERIODTYPE=QTR_STD&amp;window=popup_no_bar&amp;width=385&amp;height=120&amp;START_MAXIMIZED=FALSE&amp;creator=factset&amp;display_string=Audit"}</definedName>
    <definedName function="false" hidden="true" name="_2299__FDSAUDITLINK__" vbProcedure="false">{"fdsup://Directions/FactSet Auditing Viewer?action=AUDIT_VALUE&amp;DB=129&amp;ID1=86323X10&amp;VALUEID=02001&amp;SDATE=201002&amp;PERIODTYPE=QTR_STD&amp;window=popup_no_bar&amp;width=385&amp;height=120&amp;START_MAXIMIZED=FALSE&amp;creator=factset&amp;display_string=Audit"}</definedName>
    <definedName function="false" hidden="true" name="_229__FDSAUDITLINK__" vbProcedure="false">{"fdsup://directions/FAT Viewer?action=UPDATE&amp;creator=factset&amp;DYN_ARGS=TRUE&amp;DOC_NAME=FAT:FQL_AUDITING_CLIENT_TEMPLATE.FAT&amp;display_string=Audit&amp;VAR:KEY=FKFSDYHWJE&amp;VAR:QUERY=RkZfRUJJVERBX09QRVIoTFRNLDAsLCwsVVNEKQ==&amp;WINDOW=FIRST_POPUP&amp;HEIGHT=450&amp;WIDTH=450&amp;STAR","T_MAXIMIZED=FALSE&amp;VAR:CALENDAR=US&amp;VAR:SYMBOL=NR&amp;VAR:INDEX=0"}</definedName>
    <definedName function="false" hidden="true" name="_22__123Graph_LBL_ACHART_1" vbProcedure="false">#REF!</definedName>
    <definedName function="false" hidden="true" name="_22__123Graph_XNRET_PCE" vbProcedure="false">#REF!</definedName>
    <definedName function="false" hidden="true" name="_22__FDSAUDITLINK__" vbProcedure="false">{"fdsup://directions/FAT Viewer?action=UPDATE&amp;creator=factset&amp;DYN_ARGS=TRUE&amp;DOC_NAME=FAT:FQL_AUDITING_CLIENT_TEMPLATE.FAT&amp;display_string=Audit&amp;VAR:KEY=KNYZOXGHUL&amp;VAR:QUERY=RkZfRUJJVERBX09QRVIoTFRNLDAsLCwsVVNEKQ==&amp;WINDOW=FIRST_POPUP&amp;HEIGHT=450&amp;WIDTH=450&amp;STAR","T_MAXIMIZED=FALSE&amp;VAR:CALENDAR=US&amp;VAR:SYMBOL=NFX&amp;VAR:INDEX=0"}</definedName>
    <definedName function="false" hidden="true" name="_2300__FDSAUDITLINK__" vbProcedure="false">{"fdsup://Directions/FactSet Auditing Viewer?action=AUDIT_VALUE&amp;DB=129&amp;ID1=B1408Q&amp;VALUEID=02001&amp;SDATE=201002&amp;PERIODTYPE=QTR_STD&amp;window=popup_no_bar&amp;width=385&amp;height=120&amp;START_MAXIMIZED=FALSE&amp;creator=factset&amp;display_string=Audit"}</definedName>
    <definedName function="false" hidden="true" name="_2301__FDSAUDITLINK__" vbProcedure="false">{"fdsup://Directions/FactSet Auditing Viewer?action=AUDIT_VALUE&amp;DB=129&amp;ID1=58494610&amp;VALUEID=02001&amp;SDATE=201004&amp;PERIODTYPE=QTR_STD&amp;window=popup_no_bar&amp;width=385&amp;height=120&amp;START_MAXIMIZED=FALSE&amp;creator=factset&amp;display_string=Audit"}</definedName>
    <definedName function="false" hidden="true" name="_2302__FDSAUDITLINK__" vbProcedure="false">{"fdsup://Directions/FactSet Auditing Viewer?action=AUDIT_VALUE&amp;DB=129&amp;ID1=00088U10&amp;VALUEID=02001&amp;SDATE=201002&amp;PERIODTYPE=QTR_STD&amp;window=popup_no_bar&amp;width=385&amp;height=120&amp;START_MAXIMIZED=FALSE&amp;creator=factset&amp;display_string=Audit"}</definedName>
    <definedName function="false" hidden="true" name="_2303__FDSAUDITLINK__" vbProcedure="false">{"fdsup://Directions/FactSet Auditing Viewer?action=AUDIT_VALUE&amp;DB=129&amp;ID1=B0940H&amp;VALUEID=02001&amp;SDATE=200902&amp;PERIODTYPE=SEMI_STD&amp;window=popup_no_bar&amp;width=385&amp;height=120&amp;START_MAXIMIZED=FALSE&amp;creator=factset&amp;display_string=Audit"}</definedName>
    <definedName function="false" hidden="true" name="_2304__FDSAUDITLINK__" vbProcedure="false">{"fdsup://Directions/FactSet Auditing Viewer?action=AUDIT_VALUE&amp;DB=129&amp;ID1=58494610&amp;VALUEID=02001&amp;SDATE=201004&amp;PERIODTYPE=QTR_STD&amp;window=popup_no_bar&amp;width=385&amp;height=120&amp;START_MAXIMIZED=FALSE&amp;creator=factset&amp;display_string=Audit"}</definedName>
    <definedName function="false" hidden="true" name="_2305__FDSAUDITLINK__" vbProcedure="false">{"fdsup://Directions/FactSet Auditing Viewer?action=AUDIT_VALUE&amp;DB=129&amp;ID1=42222N10&amp;VALUEID=02001&amp;SDATE=201002&amp;PERIODTYPE=QTR_STD&amp;window=popup_no_bar&amp;width=385&amp;height=120&amp;START_MAXIMIZED=FALSE&amp;creator=factset&amp;display_string=Audit"}</definedName>
    <definedName function="false" hidden="true" name="_2306__FDSAUDITLINK__" vbProcedure="false">{"fdsup://Directions/FactSet Auditing Viewer?action=AUDIT_VALUE&amp;DB=129&amp;ID1=B1G580&amp;VALUEID=02001&amp;SDATE=200902&amp;PERIODTYPE=SEMI_STD&amp;window=popup_no_bar&amp;width=385&amp;height=120&amp;START_MAXIMIZED=FALSE&amp;creator=factset&amp;display_string=Audit"}</definedName>
    <definedName function="false" hidden="true" name="_2307__FDSAUDITLINK__" vbProcedure="false">{"fdsup://Directions/FactSet Auditing Viewer?action=AUDIT_VALUE&amp;DB=129&amp;ID1=B2425G&amp;VALUEID=02001&amp;SDATE=201002&amp;PERIODTYPE=SEMI_STD&amp;window=popup_no_bar&amp;width=385&amp;height=120&amp;START_MAXIMIZED=FALSE&amp;creator=factset&amp;display_string=Audit"}</definedName>
    <definedName function="false" hidden="true" name="_2308__FDSAUDITLINK__" vbProcedure="false">{"fdsup://directions/FAT Viewer?action=UPDATE&amp;creator=factset&amp;DYN_ARGS=TRUE&amp;DOC_NAME=FAT:FQL_AUDITING_CLIENT_TEMPLATE.FAT&amp;display_string=Audit&amp;VAR:KEY=TUHMNQPQPK&amp;VAR:QUERY=KEZTTF9ORVRfSU5DKE5PVyxOT1csRlNBLCxVU0QpQEZGX05FVF9JTkMoTFRNUywwLCwsLFVTRCkp&amp;WINDOW=F","IRST_POPUP&amp;HEIGHT=450&amp;WIDTH=450&amp;START_MAXIMIZED=FALSE&amp;VAR:CALENDAR=US&amp;VAR:SYMBOL=CHIO&amp;VAR:INDEX=0"}</definedName>
    <definedName function="false" hidden="true" name="_2309__FDSAUDITLINK__" vbProcedure="false">{"fdsup://Directions/FactSet Auditing Viewer?action=AUDIT_VALUE&amp;DB=129&amp;ID1=29084T10&amp;VALUEID=02001&amp;SDATE=201002&amp;PERIODTYPE=QTR_STD&amp;window=popup_no_bar&amp;width=385&amp;height=120&amp;START_MAXIMIZED=FALSE&amp;creator=factset&amp;display_string=Audit"}</definedName>
    <definedName function="false" hidden="true" name="_230__FDSAUDITLINK__" vbProcedure="false">{"fdsup://directions/FAT Viewer?action=UPDATE&amp;creator=factset&amp;DYN_ARGS=TRUE&amp;DOC_NAME=FAT:FQL_AUDITING_CLIENT_TEMPLATE.FAT&amp;display_string=Audit&amp;VAR:KEY=HILGDEDODU&amp;VAR:QUERY=RkZfRUJJVERBX09QRVIoTFRNLDAsLCwsVVNEKQ==&amp;WINDOW=FIRST_POPUP&amp;HEIGHT=450&amp;WIDTH=450&amp;STAR","T_MAXIMIZED=FALSE&amp;VAR:CALENDAR=US&amp;VAR:SYMBOL=AMED&amp;VAR:INDEX=0"}</definedName>
    <definedName function="false" hidden="true" name="_2310__FDSAUDITLINK__" vbProcedure="false">{"fdsup://Directions/FactSet Auditing Viewer?action=AUDIT_VALUE&amp;DB=129&amp;ID1=74758210&amp;VALUEID=02001&amp;SDATE=201001&amp;PERIODTYPE=QTR_STD&amp;window=popup_no_bar&amp;width=385&amp;height=120&amp;START_MAXIMIZED=FALSE&amp;creator=factset&amp;display_string=Audit"}</definedName>
    <definedName function="false" hidden="true" name="_2311__FDSAUDITLINK__" vbProcedure="false">{"fdsup://Directions/FactSet Auditing Viewer?action=AUDIT_VALUE&amp;DB=129&amp;ID1=B16NZ5&amp;VALUEID=02001&amp;SDATE=201002&amp;PERIODTYPE=QTR_STD&amp;window=popup_no_bar&amp;width=385&amp;height=120&amp;START_MAXIMIZED=FALSE&amp;creator=factset&amp;display_string=Audit"}</definedName>
    <definedName function="false" hidden="true" name="_2312__FDSAUDITLINK__" vbProcedure="false">{"fdsup://Directions/FactSet Auditing Viewer?action=AUDIT_VALUE&amp;DB=129&amp;ID1=01988P10&amp;VALUEID=02001&amp;SDATE=200904&amp;PERIODTYPE=QTR_STD&amp;window=popup_no_bar&amp;width=385&amp;height=120&amp;START_MAXIMIZED=FALSE&amp;creator=factset&amp;display_string=Audit"}</definedName>
    <definedName function="false" hidden="true" name="_2313__FDSAUDITLINK__" vbProcedure="false">{"fdsup://Directions/FactSet Auditing Viewer?action=AUDIT_VALUE&amp;DB=129&amp;ID1=15678210&amp;VALUEID=02001&amp;SDATE=201002&amp;PERIODTYPE=QTR_STD&amp;window=popup_no_bar&amp;width=385&amp;height=120&amp;START_MAXIMIZED=FALSE&amp;creator=factset&amp;display_string=Audit"}</definedName>
    <definedName function="false" hidden="true" name="_2314__FDSAUDITLINK__" vbProcedure="false">{"fdsup://Directions/FactSet Auditing Viewer?action=AUDIT_VALUE&amp;DB=129&amp;ID1=58155Q10&amp;VALUEID=02001&amp;SDATE=201001&amp;PERIODTYPE=QTR_STD&amp;window=popup_no_bar&amp;width=385&amp;height=120&amp;START_MAXIMIZED=FALSE&amp;creator=factset&amp;display_string=Audit"}</definedName>
    <definedName function="false" hidden="true" name="_2315__FDSAUDITLINK__" vbProcedure="false">{"fdsup://directions/FAT Viewer?action=UPDATE&amp;creator=factset&amp;DYN_ARGS=TRUE&amp;DOC_NAME=FAT:FQL_AUDITING_CLIENT_TEMPLATE.FAT&amp;display_string=Audit&amp;VAR:KEY=XWBGBATAHQ&amp;VAR:QUERY=KEZTTF9ORVRfSU5DKE5PVyxOT1csRlNBLCxVU0QpQEZGX05FVF9JTkMoTFRNUywwLCwsLFVTRCkp&amp;WINDOW=F","IRST_POPUP&amp;HEIGHT=450&amp;WIDTH=450&amp;START_MAXIMIZED=FALSE&amp;VAR:CALENDAR=US&amp;VAR:SYMBOL=WSTM&amp;VAR:INDEX=0"}</definedName>
    <definedName function="false" hidden="true" name="_2316__FDSAUDITLINK__" vbProcedure="false">{"fdsup://directions/FAT Viewer?action=UPDATE&amp;creator=factset&amp;DYN_ARGS=TRUE&amp;DOC_NAME=FAT:FQL_AUDITING_CLIENT_TEMPLATE.FAT&amp;display_string=Audit&amp;VAR:KEY=JSPGHCXADI&amp;VAR:QUERY=KEZTTF9ORVRfSU5DKE5PVyxOT1csRlNBLCxVU0QpQEZGX05FVF9JTkMoTFRNUywwLCwsLFVTRCkp&amp;WINDOW=F","IRST_POPUP&amp;HEIGHT=450&amp;WIDTH=450&amp;START_MAXIMIZED=FALSE&amp;VAR:CALENDAR=US&amp;VAR:SYMBOL=023693&amp;VAR:INDEX=0"}</definedName>
    <definedName function="false" hidden="true" name="_2317__FDSAUDITLINK__" vbProcedure="false">{"fdsup://directions/FAT Viewer?action=UPDATE&amp;creator=factset&amp;DYN_ARGS=TRUE&amp;DOC_NAME=FAT:FQL_AUDITING_CLIENT_TEMPLATE.FAT&amp;display_string=Audit&amp;VAR:KEY=TEVELUJKNO&amp;VAR:QUERY=KEZTTF9ORVRfSU5DKE5PVyxOT1csRlNBLCxVU0QpQEZGX05FVF9JTkMoTFRNUywwLCwsLFVTRCkp&amp;WINDOW=F","IRST_POPUP&amp;HEIGHT=450&amp;WIDTH=450&amp;START_MAXIMIZED=FALSE&amp;VAR:CALENDAR=US&amp;VAR:SYMBOL=SLRY&amp;VAR:INDEX=0"}</definedName>
    <definedName function="false" hidden="true" name="_2318__FDSAUDITLINK__" vbProcedure="false">{"fdsup://directions/FAT Viewer?action=UPDATE&amp;creator=factset&amp;DYN_ARGS=TRUE&amp;DOC_NAME=FAT:FQL_AUDITING_CLIENT_TEMPLATE.FAT&amp;display_string=Audit&amp;VAR:KEY=XIXUJEVCNI&amp;VAR:QUERY=KEZTTF9ORVRfSU5DKE5PVyxOT1csRlNBLCxVU0QpQEZGX05FVF9JTkMoTFRNUywwLCwsLFVTRCkp&amp;WINDOW=F","IRST_POPUP&amp;HEIGHT=450&amp;WIDTH=450&amp;START_MAXIMIZED=FALSE&amp;VAR:CALENDAR=US&amp;VAR:SYMBOL=CALD&amp;VAR:INDEX=0"}</definedName>
    <definedName function="false" hidden="true" name="_2319__FDSAUDITLINK__" vbProcedure="false">{"fdsup://directions/FAT Viewer?action=UPDATE&amp;creator=factset&amp;DYN_ARGS=TRUE&amp;DOC_NAME=FAT:FQL_AUDITING_CLIENT_TEMPLATE.FAT&amp;display_string=Audit&amp;VAR:KEY=VOBEDAXGDU&amp;VAR:QUERY=KEZTTF9ORVRfSU5DKE5PVyxOT1csRlNBLCxVU0QpQEZGX05FVF9JTkMoTFRNUywwLCwsLFVTRCkp&amp;WINDOW=F","IRST_POPUP&amp;HEIGHT=450&amp;WIDTH=450&amp;START_MAXIMIZED=FALSE&amp;VAR:CALENDAR=US&amp;VAR:SYMBOL=CNVO&amp;VAR:INDEX=0"}</definedName>
    <definedName function="false" hidden="true" name="_231__FDSAUDITLINK__" vbProcedure="false">{"fdsup://directions/FAT Viewer?action=UPDATE&amp;creator=factset&amp;DYN_ARGS=TRUE&amp;DOC_NAME=FAT:FQL_AUDITING_CLIENT_TEMPLATE.FAT&amp;display_string=Audit&amp;VAR:KEY=FWZYLALCTQ&amp;VAR:QUERY=RkZfRUJJVERBX09QRVIoTFRNLDAsLCwsVVNEKQ==&amp;WINDOW=FIRST_POPUP&amp;HEIGHT=450&amp;WIDTH=450&amp;STAR","T_MAXIMIZED=FALSE&amp;VAR:CALENDAR=US&amp;VAR:SYMBOL=MHR&amp;VAR:INDEX=0"}</definedName>
    <definedName function="false" hidden="true" name="_2320__FDSAUDITLINK__" vbProcedure="false">{"fdsup://directions/FAT Viewer?action=UPDATE&amp;creator=factset&amp;DYN_ARGS=TRUE&amp;DOC_NAME=FAT:FQL_AUDITING_CLIENT_TEMPLATE.FAT&amp;display_string=Audit&amp;VAR:KEY=TMBOJCHQVY&amp;VAR:QUERY=KEZTTF9ORVRfSU5DKE5PVyxOT1csRlNBLCxVU0QpQEZGX05FVF9JTkMoTFRNUywwLCwsLFVTRCkp&amp;WINDOW=F","IRST_POPUP&amp;HEIGHT=450&amp;WIDTH=450&amp;START_MAXIMIZED=FALSE&amp;VAR:CALENDAR=US&amp;VAR:SYMBOL=SABA&amp;VAR:INDEX=0"}</definedName>
    <definedName function="false" hidden="true" name="_2321__FDSAUDITLINK__" vbProcedure="false">{"fdsup://directions/FAT Viewer?action=UPDATE&amp;creator=factset&amp;DYN_ARGS=TRUE&amp;DOC_NAME=FAT:FQL_AUDITING_CLIENT_TEMPLATE.FAT&amp;display_string=Audit&amp;VAR:KEY=FWDOTYZSTS&amp;VAR:QUERY=KEZTTF9ORVRfSU5DKE5PVyxOT1csRlNBLCxVU0QpQEZGX05FVF9JTkMoTFRNUywwLCwsLFVTRCkp&amp;WINDOW=F","IRST_POPUP&amp;HEIGHT=450&amp;WIDTH=450&amp;START_MAXIMIZED=FALSE&amp;VAR:CALENDAR=US&amp;VAR:SYMBOL=KNXA&amp;VAR:INDEX=0"}</definedName>
    <definedName function="false" hidden="true" name="_2322__FDSAUDITLINK__" vbProcedure="false">{"fdsup://directions/FAT Viewer?action=UPDATE&amp;creator=factset&amp;DYN_ARGS=TRUE&amp;DOC_NAME=FAT:FQL_AUDITING_CLIENT_TEMPLATE.FAT&amp;display_string=Audit&amp;VAR:KEY=DMXYZWNCHK&amp;VAR:QUERY=KEZTTF9ORVRfSU5DKE5PVyxOT1csRlNBLCxVU0QpQEZGX05FVF9JTkMoTFRNUywwLCwsLFVTRCkp&amp;WINDOW=F","IRST_POPUP&amp;HEIGHT=450&amp;WIDTH=450&amp;START_MAXIMIZED=FALSE&amp;VAR:CALENDAR=US&amp;VAR:SYMBOL=ULTI&amp;VAR:INDEX=0"}</definedName>
    <definedName function="false" hidden="true" name="_2323__FDSAUDITLINK__" vbProcedure="false">{"fdsup://directions/FAT Viewer?action=UPDATE&amp;creator=factset&amp;DYN_ARGS=TRUE&amp;DOC_NAME=FAT:FQL_AUDITING_CLIENT_TEMPLATE.FAT&amp;display_string=Audit&amp;VAR:KEY=BUBAFKBOPG&amp;VAR:QUERY=KEZTTF9ORVRfSU5DKE5PVyxOT1csRlNBLCxVU0QpQEZGX05FVF9JTkMoTFRNUywwLCwsLFVTRCkp&amp;WINDOW=F","IRST_POPUP&amp;HEIGHT=450&amp;WIDTH=450&amp;START_MAXIMIZED=FALSE&amp;VAR:CALENDAR=US&amp;VAR:SYMBOL=TLEO&amp;VAR:INDEX=0"}</definedName>
    <definedName function="false" hidden="true" name="_2324__FDSAUDITLINK__" vbProcedure="false">{"fdsup://directions/FAT Viewer?action=UPDATE&amp;creator=factset&amp;DYN_ARGS=TRUE&amp;DOC_NAME=FAT:FQL_AUDITING_CLIENT_TEMPLATE.FAT&amp;display_string=Audit&amp;VAR:KEY=RARMPOLCFG&amp;VAR:QUERY=KEZTTF9ORVRfSU5DKE5PVyxOT1csRlNBLCxVU0QpQEZGX05FVF9JTkMoTFRNUywwLCwsLFVTRCkp&amp;WINDOW=F","IRST_POPUP&amp;HEIGHT=450&amp;WIDTH=450&amp;START_MAXIMIZED=FALSE&amp;VAR:CALENDAR=US&amp;VAR:SYMBOL=SFSF&amp;VAR:INDEX=0"}</definedName>
    <definedName function="false" hidden="true" name="_2325__FDSAUDITLINK__" vbProcedure="false">{"fdsup://directions/FAT Viewer?action=UPDATE&amp;creator=factset&amp;DYN_ARGS=TRUE&amp;DOC_NAME=FAT:FQL_AUDITING_CLIENT_TEMPLATE.FAT&amp;display_string=Audit&amp;VAR:KEY=VEXAZWNSFY&amp;VAR:QUERY=KEZTTF9ORVRfSU5DKE5PVyxOT1csRlNBLCxVU0QpQEZGX05FVF9JTkMoTFRNUywwLCwsLFVTRCkp&amp;WINDOW=F","IRST_POPUP&amp;HEIGHT=450&amp;WIDTH=450&amp;START_MAXIMIZED=FALSE&amp;VAR:CALENDAR=US&amp;VAR:SYMBOL=PAYX&amp;VAR:INDEX=0"}</definedName>
    <definedName function="false" hidden="true" name="_2326__FDSAUDITLINK__" vbProcedure="false">{"fdsup://directions/FAT Viewer?action=UPDATE&amp;creator=factset&amp;DYN_ARGS=TRUE&amp;DOC_NAME=FAT:FQL_AUDITING_CLIENT_TEMPLATE.FAT&amp;display_string=Audit&amp;VAR:KEY=RSPQVKRWHM&amp;VAR:QUERY=KEZTTF9ORVRfSU5DKE5PVyxOT1csRlNBLCxVU0QpQEZGX05FVF9JTkMoTFRNUywwLCwsLFVTRCkp&amp;WINDOW=F","IRST_POPUP&amp;HEIGHT=450&amp;WIDTH=450&amp;START_MAXIMIZED=FALSE&amp;VAR:CALENDAR=US&amp;VAR:SYMBOL=ADP&amp;VAR:INDEX=0"}</definedName>
    <definedName function="false" hidden="true" name="_2327__FDSAUDITLINK__" vbProcedure="false">{"fdsup://directions/FAT Viewer?action=UPDATE&amp;creator=factset&amp;DYN_ARGS=TRUE&amp;DOC_NAME=FAT:FQL_AUDITING_CLIENT_TEMPLATE.FAT&amp;display_string=Audit&amp;VAR:KEY=LINUTMTG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STM&amp;VAR:INDEX=0"}</definedName>
    <definedName function="false" hidden="true" name="_2328__FDSAUDITLINK__" vbProcedure="false">{"fdsup://directions/FAT Viewer?action=UPDATE&amp;creator=factset&amp;DYN_ARGS=TRUE&amp;DOC_NAME=FAT:FQL_AUDITING_CLIENT_TEMPLATE.FAT&amp;display_string=Audit&amp;VAR:KEY=PETIVYDK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023693&amp;VAR:INDEX=0"}</definedName>
    <definedName function="false" hidden="true" name="_2329__FDSAUDITLINK__" vbProcedure="false">{"fdsup://directions/FAT Viewer?action=UPDATE&amp;creator=factset&amp;DYN_ARGS=TRUE&amp;DOC_NAME=FAT:FQL_AUDITING_CLIENT_TEMPLATE.FAT&amp;display_string=Audit&amp;VAR:KEY=DMPQXABQ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RY&amp;VAR:INDEX=0"}</definedName>
    <definedName function="false" hidden="true" name="_232__FDSAUDITLINK__" vbProcedure="false">{"fdsup://directions/FAT Viewer?action=UPDATE&amp;creator=factset&amp;DYN_ARGS=TRUE&amp;DOC_NAME=FAT:FQL_AUDITING_CLIENT_TEMPLATE.FAT&amp;display_string=Audit&amp;VAR:KEY=TKJSNWLWRU&amp;VAR:QUERY=RkZfRUJJVERBX09QRVIoTFRNLDAsLCwsVVNEKQ==&amp;WINDOW=FIRST_POPUP&amp;HEIGHT=450&amp;WIDTH=450&amp;STAR","T_MAXIMIZED=FALSE&amp;VAR:CALENDAR=US&amp;VAR:SYMBOL=VRML&amp;VAR:INDEX=0"}</definedName>
    <definedName function="false" hidden="true" name="_2330__FDSAUDITLINK__" vbProcedure="false">{"fdsup://directions/FAT Viewer?action=UPDATE&amp;creator=factset&amp;DYN_ARGS=TRUE&amp;DOC_NAME=FAT:FQL_AUDITING_CLIENT_TEMPLATE.FAT&amp;display_string=Audit&amp;VAR:KEY=VIJONODE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LD&amp;VAR:INDEX=0"}</definedName>
    <definedName function="false" hidden="true" name="_2331__FDSAUDITLINK__" vbProcedure="false">{"fdsup://Directions/FactSet Auditing Viewer?action=AUDIT_VALUE&amp;DB=129&amp;ID1=98140210&amp;VALUEID=02001&amp;SDATE=201001&amp;PERIODTYPE=QTR_STD&amp;window=popup_no_bar&amp;width=385&amp;height=120&amp;START_MAXIMIZED=FALSE&amp;creator=factset&amp;display_string=Audit"}</definedName>
    <definedName function="false" hidden="true" name="_2332__FDSAUDITLINK__" vbProcedure="false">{"fdsup://Directions/FactSet Auditing Viewer?action=AUDIT_VALUE&amp;DB=129&amp;ID1=023693&amp;VALUEID=02001&amp;SDATE=201001&amp;PERIODTYPE=SEMI_STD&amp;window=popup_no_bar&amp;width=385&amp;height=120&amp;START_MAXIMIZED=FALSE&amp;creator=factset&amp;display_string=Audit"}</definedName>
    <definedName function="false" hidden="true" name="_2333__FDSAUDITLINK__" vbProcedure="false">{"fdsup://Directions/FactSet Auditing Viewer?action=AUDIT_VALUE&amp;DB=129&amp;ID1=79400610&amp;VALUEID=02001&amp;SDATE=201001&amp;PERIODTYPE=QTR_STD&amp;window=popup_no_bar&amp;width=385&amp;height=120&amp;START_MAXIMIZED=FALSE&amp;creator=factset&amp;display_string=Audit"}</definedName>
    <definedName function="false" hidden="true" name="_2334__FDSAUDITLINK__" vbProcedure="false">{"fdsup://Directions/FactSet Auditing Viewer?action=AUDIT_VALUE&amp;DB=129&amp;ID1=13123E50&amp;VALUEID=02001&amp;SDATE=201002&amp;PERIODTYPE=QTR_STD&amp;window=popup_no_bar&amp;width=385&amp;height=120&amp;START_MAXIMIZED=FALSE&amp;creator=factset&amp;display_string=Audit"}</definedName>
    <definedName function="false" hidden="true" name="_2335__FDSAUDITLINK__" vbProcedure="false">{"fdsup://directions/FAT Viewer?action=UPDATE&amp;creator=factset&amp;DYN_ARGS=TRUE&amp;DOC_NAME=FAT:FQL_AUDITING_CLIENT_TEMPLATE.FAT&amp;display_string=Audit&amp;VAR:KEY=NCBSRQTK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BA&amp;VAR:INDEX=0"}</definedName>
    <definedName function="false" hidden="true" name="_2336__FDSAUDITLINK__" vbProcedure="false">{"fdsup://directions/FAT Viewer?action=UPDATE&amp;creator=factset&amp;DYN_ARGS=TRUE&amp;DOC_NAME=FAT:FQL_AUDITING_CLIENT_TEMPLATE.FAT&amp;display_string=Audit&amp;VAR:KEY=HQDKPYDE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NXA&amp;VAR:INDEX=0"}</definedName>
    <definedName function="false" hidden="true" name="_2337__FDSAUDITLINK__" vbProcedure="false">{"fdsup://directions/FAT Viewer?action=UPDATE&amp;creator=factset&amp;DYN_ARGS=TRUE&amp;DOC_NAME=FAT:FQL_AUDITING_CLIENT_TEMPLATE.FAT&amp;display_string=Audit&amp;VAR:KEY=RQNANGL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TI&amp;VAR:INDEX=0"}</definedName>
    <definedName function="false" hidden="true" name="_2338__FDSAUDITLINK__" vbProcedure="false">{"fdsup://directions/FAT Viewer?action=UPDATE&amp;creator=factset&amp;DYN_ARGS=TRUE&amp;DOC_NAME=FAT:FQL_AUDITING_CLIENT_TEMPLATE.FAT&amp;display_string=Audit&amp;VAR:KEY=VEXWBYXW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LEO&amp;VAR:INDEX=0"}</definedName>
    <definedName function="false" hidden="true" name="_2339__FDSAUDITLINK__" vbProcedure="false">{"fdsup://directions/FAT Viewer?action=UPDATE&amp;creator=factset&amp;DYN_ARGS=TRUE&amp;DOC_NAME=FAT:FQL_AUDITING_CLIENT_TEMPLATE.FAT&amp;display_string=Audit&amp;VAR:KEY=RIXYXOLU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FSF&amp;VAR:INDEX=0"}</definedName>
    <definedName function="false" hidden="true" name="_233__FDSAUDITLINK__" vbProcedure="false">{"fdsup://directions/FAT Viewer?action=UPDATE&amp;creator=factset&amp;DYN_ARGS=TRUE&amp;DOC_NAME=FAT:FQL_AUDITING_CLIENT_TEMPLATE.FAT&amp;display_string=Audit&amp;VAR:KEY=TABKXQHEVC&amp;VAR:QUERY=RkZfRUJJVERBX09QRVIoTFRNLDAsLCwsVVNEKQ==&amp;WINDOW=FIRST_POPUP&amp;HEIGHT=450&amp;WIDTH=450&amp;STAR","T_MAXIMIZED=FALSE&amp;VAR:CALENDAR=US&amp;VAR:SYMBOL=MXWL&amp;VAR:INDEX=0"}</definedName>
    <definedName function="false" hidden="true" name="_2340__FDSAUDITLINK__" vbProcedure="false">{"fdsup://directions/FAT Viewer?action=UPDATE&amp;creator=factset&amp;DYN_ARGS=TRUE&amp;DOC_NAME=FAT:FQL_AUDITING_CLIENT_TEMPLATE.FAT&amp;display_string=Audit&amp;VAR:KEY=NSFYJKJKP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AYX&amp;VAR:INDEX=0"}</definedName>
    <definedName function="false" hidden="true" name="_2341__FDSAUDITLINK__" vbProcedure="false">{"fdsup://directions/FAT Viewer?action=UPDATE&amp;creator=factset&amp;DYN_ARGS=TRUE&amp;DOC_NAME=FAT:FQL_AUDITING_CLIENT_TEMPLATE.FAT&amp;display_string=Audit&amp;VAR:KEY=ZMVORARK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amp;VAR:INDEX=0"}</definedName>
    <definedName function="false" hidden="true" name="_2342__FDSAUDITLINK__" vbProcedure="false">{"fdsup://Directions/FactSet Auditing Viewer?action=AUDIT_VALUE&amp;DB=129&amp;ID1=78493260&amp;VALUEID=02001&amp;SDATE=201001&amp;PERIODTYPE=QTR_STD&amp;window=popup_no_bar&amp;width=385&amp;height=120&amp;START_MAXIMIZED=FALSE&amp;creator=factset&amp;display_string=Audit"}</definedName>
    <definedName function="false" hidden="true" name="_2343__FDSAUDITLINK__" vbProcedure="false">{"fdsup://Directions/FactSet Auditing Viewer?action=AUDIT_VALUE&amp;DB=129&amp;ID1=48887910&amp;VALUEID=02001&amp;SDATE=201002&amp;PERIODTYPE=QTR_STD&amp;window=popup_no_bar&amp;width=385&amp;height=120&amp;START_MAXIMIZED=FALSE&amp;creator=factset&amp;display_string=Audit"}</definedName>
    <definedName function="false" hidden="true" name="_2344__FDSAUDITLINK__" vbProcedure="false">{"fdsup://Directions/FactSet Auditing Viewer?action=AUDIT_VALUE&amp;DB=129&amp;ID1=90385D10&amp;VALUEID=02001&amp;SDATE=201002&amp;PERIODTYPE=QTR_STD&amp;window=popup_no_bar&amp;width=385&amp;height=120&amp;START_MAXIMIZED=FALSE&amp;creator=factset&amp;display_string=Audit"}</definedName>
    <definedName function="false" hidden="true" name="_2345__FDSAUDITLINK__" vbProcedure="false">{"fdsup://Directions/FactSet Auditing Viewer?action=AUDIT_VALUE&amp;DB=129&amp;ID1=87424N10&amp;VALUEID=02001&amp;SDATE=201002&amp;PERIODTYPE=QTR_STD&amp;window=popup_no_bar&amp;width=385&amp;height=120&amp;START_MAXIMIZED=FALSE&amp;creator=factset&amp;display_string=Audit"}</definedName>
    <definedName function="false" hidden="true" name="_2346__FDSAUDITLINK__" vbProcedure="false">{"fdsup://Directions/FactSet Auditing Viewer?action=AUDIT_VALUE&amp;DB=129&amp;ID1=86459610&amp;VALUEID=02001&amp;SDATE=201002&amp;PERIODTYPE=QTR_STD&amp;window=popup_no_bar&amp;width=385&amp;height=120&amp;START_MAXIMIZED=FALSE&amp;creator=factset&amp;display_string=Audit"}</definedName>
    <definedName function="false" hidden="true" name="_2347__FDSAUDITLINK__" vbProcedure="false">{"fdsup://Directions/FactSet Auditing Viewer?action=AUDIT_VALUE&amp;DB=129&amp;ID1=70432610&amp;VALUEID=02001&amp;SDATE=201001&amp;PERIODTYPE=QTR_STD&amp;window=popup_no_bar&amp;width=385&amp;height=120&amp;START_MAXIMIZED=FALSE&amp;creator=factset&amp;display_string=Audit"}</definedName>
    <definedName function="false" hidden="true" name="_2348__FDSAUDITLINK__" vbProcedure="false">{"fdsup://Directions/FactSet Auditing Viewer?action=AUDIT_VALUE&amp;DB=129&amp;ID1=05301510&amp;VALUEID=02001&amp;SDATE=201004&amp;PERIODTYPE=QTR_STD&amp;window=popup_no_bar&amp;width=385&amp;height=120&amp;START_MAXIMIZED=FALSE&amp;creator=factset&amp;display_string=Audit"}</definedName>
    <definedName function="false" hidden="true" name="_2349__FDSAUDITLINK__" vbProcedure="false">{"fdsup://directions/FAT Viewer?action=UPDATE&amp;creator=factset&amp;DYN_ARGS=TRUE&amp;DOC_NAME=FAT:FQL_AUDITING_CLIENT_TEMPLATE.FAT&amp;display_string=Audit&amp;VAR:KEY=JMVGNEBEXC&amp;VAR:QUERY=KEZTTF9ORVRfSU5DKE5PVyxOT1csRlNBLCxVU0QpQEZGX05FVF9JTkMoTFRNUywwLCwsLFVTRCkp&amp;WINDOW=F","IRST_POPUP&amp;HEIGHT=450&amp;WIDTH=450&amp;START_MAXIMIZED=FALSE&amp;VAR:CALENDAR=US&amp;VAR:SYMBOL=COVR&amp;VAR:INDEX=0"}</definedName>
    <definedName function="false" hidden="true" name="_234__FDSAUDITLINK__" vbProcedure="false">{"fdsup://directions/FAT Viewer?action=UPDATE&amp;creator=factset&amp;DYN_ARGS=TRUE&amp;DOC_NAME=FAT:FQL_AUDITING_CLIENT_TEMPLATE.FAT&amp;display_string=Audit&amp;VAR:KEY=BSVOBELYPU&amp;VAR:QUERY=RkZfRUJJVERBX09QRVIoTFRNLDAsLCwsVVNEKQ==&amp;WINDOW=FIRST_POPUP&amp;HEIGHT=450&amp;WIDTH=450&amp;STAR","T_MAXIMIZED=FALSE&amp;VAR:CALENDAR=US&amp;VAR:SYMBOL=AXAS&amp;VAR:INDEX=0"}</definedName>
    <definedName function="false" hidden="true" name="_2350__FDSAUDITLINK__" vbProcedure="false">{"fdsup://directions/FAT Viewer?action=UPDATE&amp;creator=factset&amp;DYN_ARGS=TRUE&amp;DOC_NAME=FAT:FQL_AUDITING_CLIENT_TEMPLATE.FAT&amp;display_string=Audit&amp;VAR:KEY=XYNMHSRATC&amp;VAR:QUERY=KEZTTF9ORVRfSU5DKE5PVyxOT1csRlNBLCxVU0QpQEZGX05FVF9JTkMoTFRNUywwLCwsLFVTRCkp&amp;WINDOW=F","IRST_POPUP&amp;HEIGHT=450&amp;WIDTH=450&amp;START_MAXIMIZED=FALSE&amp;VAR:CALENDAR=US&amp;VAR:SYMBOL=ORCC&amp;VAR:INDEX=0"}</definedName>
    <definedName function="false" hidden="true" name="_2351__FDSAUDITLINK__" vbProcedure="false">{"fdsup://directions/FAT Viewer?action=UPDATE&amp;creator=factset&amp;DYN_ARGS=TRUE&amp;DOC_NAME=FAT:FQL_AUDITING_CLIENT_TEMPLATE.FAT&amp;display_string=Audit&amp;VAR:KEY=VUNMPCXMJY&amp;VAR:QUERY=KEZTTF9ORVRfSU5DKE5PVyxOT1csRlNBLCxVU0QpQEZGX05FVF9JTkMoTFRNUywwLCwsLFVTRCkp&amp;WINDOW=F","IRST_POPUP&amp;HEIGHT=450&amp;WIDTH=450&amp;START_MAXIMIZED=FALSE&amp;VAR:CALENDAR=US&amp;VAR:SYMBOL=SEIC&amp;VAR:INDEX=0"}</definedName>
    <definedName function="false" hidden="true" name="_2352__FDSAUDITLINK__" vbProcedure="false">{"fdsup://directions/FAT Viewer?action=UPDATE&amp;creator=factset&amp;DYN_ARGS=TRUE&amp;DOC_NAME=FAT:FQL_AUDITING_CLIENT_TEMPLATE.FAT&amp;display_string=Audit&amp;VAR:KEY=PWTCDATUFA&amp;VAR:QUERY=KEZTTF9ORVRfSU5DKE5PVyxOT1csRlNBLCxVU0QpQEZGX05FVF9JTkMoTFRNUywwLCwsLFVTRCkp&amp;WINDOW=F","IRST_POPUP&amp;HEIGHT=450&amp;WIDTH=450&amp;START_MAXIMIZED=FALSE&amp;VAR:CALENDAR=US&amp;VAR:SYMBOL=CSVI&amp;VAR:INDEX=0"}</definedName>
    <definedName function="false" hidden="true" name="_2353__FDSAUDITLINK__" vbProcedure="false">{"fdsup://directions/FAT Viewer?action=UPDATE&amp;creator=factset&amp;DYN_ARGS=TRUE&amp;DOC_NAME=FAT:FQL_AUDITING_CLIENT_TEMPLATE.FAT&amp;display_string=Audit&amp;VAR:KEY=LQTGLEVOJM&amp;VAR:QUERY=KEZTTF9ORVRfSU5DKE5PVyxOT1csRlNBLCxVU0QpQEZGX05FVF9JTkMoTFRNUywwLCwsLFVTRCkp&amp;WINDOW=F","IRST_POPUP&amp;HEIGHT=450&amp;WIDTH=450&amp;START_MAXIMIZED=FALSE&amp;VAR:CALENDAR=US&amp;VAR:SYMBOL=HYC&amp;VAR:INDEX=0"}</definedName>
    <definedName function="false" hidden="true" name="_2354__FDSAUDITLINK__" vbProcedure="false">{"fdsup://directions/FAT Viewer?action=UPDATE&amp;creator=factset&amp;DYN_ARGS=TRUE&amp;DOC_NAME=FAT:FQL_AUDITING_CLIENT_TEMPLATE.FAT&amp;display_string=Audit&amp;VAR:KEY=DAJQBIDEJE&amp;VAR:QUERY=KEZTTF9ORVRfSU5DKE5PVyxOT1csRlNBLCxVU0QpQEZGX05FVF9JTkMoTFRNUywwLCwsLFVTRCkp&amp;WINDOW=F","IRST_POPUP&amp;HEIGHT=450&amp;WIDTH=450&amp;START_MAXIMIZED=FALSE&amp;VAR:CALENDAR=US&amp;VAR:SYMBOL=EPAY&amp;VAR:INDEX=0"}</definedName>
    <definedName function="false" hidden="true" name="_2355__FDSAUDITLINK__" vbProcedure="false">{"fdsup://directions/FAT Viewer?action=UPDATE&amp;creator=factset&amp;DYN_ARGS=TRUE&amp;DOC_NAME=FAT:FQL_AUDITING_CLIENT_TEMPLATE.FAT&amp;display_string=Audit&amp;VAR:KEY=HIRYJAJIXY&amp;VAR:QUERY=KEZTTF9ORVRfSU5DKE5PVyxOT1csRlNBLCxVU0QpQEZGX05FVF9JTkMoTFRNUywwLCwsLFVTRCkp&amp;WINDOW=F","IRST_POPUP&amp;HEIGHT=450&amp;WIDTH=450&amp;START_MAXIMIZED=FALSE&amp;VAR:CALENDAR=US&amp;VAR:SYMBOL=MKTX&amp;VAR:INDEX=0"}</definedName>
    <definedName function="false" hidden="true" name="_2356__FDSAUDITLINK__" vbProcedure="false">{"fdsup://directions/FAT Viewer?action=UPDATE&amp;creator=factset&amp;DYN_ARGS=TRUE&amp;DOC_NAME=FAT:FQL_AUDITING_CLIENT_TEMPLATE.FAT&amp;display_string=Audit&amp;VAR:KEY=ZWPANCFYPK&amp;VAR:QUERY=KEZTTF9ORVRfSU5DKE5PVyxOT1csRlNBLCxVU0QpQEZGX05FVF9JTkMoTFRNUywwLCwsLFVTRCkp&amp;WINDOW=F","IRST_POPUP&amp;HEIGHT=450&amp;WIDTH=450&amp;START_MAXIMIZED=FALSE&amp;VAR:CALENDAR=US&amp;VAR:SYMBOL=ITG&amp;VAR:INDEX=0"}</definedName>
    <definedName function="false" hidden="true" name="_2357__FDSAUDITLINK__" vbProcedure="false">{"fdsup://directions/FAT Viewer?action=UPDATE&amp;creator=factset&amp;DYN_ARGS=TRUE&amp;DOC_NAME=FAT:FQL_AUDITING_CLIENT_TEMPLATE.FAT&amp;display_string=Audit&amp;VAR:KEY=TCZMDWNGBC&amp;VAR:QUERY=KEZTTF9ORVRfSU5DKE5PVyxOT1csRlNBLCxVU0QpQEZGX05FVF9JTkMoTFRNUywwLCwsLFVTRCkp&amp;WINDOW=F","IRST_POPUP&amp;HEIGHT=450&amp;WIDTH=450&amp;START_MAXIMIZED=FALSE&amp;VAR:CALENDAR=US&amp;VAR:SYMBOL=ACIW&amp;VAR:INDEX=0"}</definedName>
    <definedName function="false" hidden="true" name="_2358__FDSAUDITLINK__" vbProcedure="false">{"fdsup://directions/FAT Viewer?action=UPDATE&amp;creator=factset&amp;DYN_ARGS=TRUE&amp;DOC_NAME=FAT:FQL_AUDITING_CLIENT_TEMPLATE.FAT&amp;display_string=Audit&amp;VAR:KEY=NABUPAFCJG&amp;VAR:QUERY=KEZTTF9ORVRfSU5DKE5PVyxOT1csRlNBLCxVU0QpQEZGX05FVF9JTkMoTFRNUywwLCwsLFVTRCkp&amp;WINDOW=F","IRST_POPUP&amp;HEIGHT=450&amp;WIDTH=450&amp;START_MAXIMIZED=FALSE&amp;VAR:CALENDAR=US&amp;VAR:SYMBOL=EBIX&amp;VAR:INDEX=0"}</definedName>
    <definedName function="false" hidden="true" name="_2359__FDSAUDITLINK__" vbProcedure="false">{"fdsup://directions/FAT Viewer?action=UPDATE&amp;creator=factset&amp;DYN_ARGS=TRUE&amp;DOC_NAME=FAT:FQL_AUDITING_CLIENT_TEMPLATE.FAT&amp;display_string=Audit&amp;VAR:KEY=PAZSDIVWZQ&amp;VAR:QUERY=KEZTTF9ORVRfSU5DKE5PVyxOT1csRlNBLCxVU0QpQEZGX05FVF9JTkMoTFRNUywwLCwsLFVTRCkp&amp;WINDOW=F","IRST_POPUP&amp;HEIGHT=450&amp;WIDTH=450&amp;START_MAXIMIZED=FALSE&amp;VAR:CALENDAR=US&amp;VAR:SYMBOL=FIC&amp;VAR:INDEX=0"}</definedName>
    <definedName function="false" hidden="true" name="_235__FDSAUDITLINK__" vbProcedure="false">{"fdsup://directions/FAT Viewer?action=UPDATE&amp;creator=factset&amp;DYN_ARGS=TRUE&amp;DOC_NAME=FAT:FQL_AUDITING_CLIENT_TEMPLATE.FAT&amp;display_string=Audit&amp;VAR:KEY=QPGZUJQVIH&amp;VAR:QUERY=KEZTTF9ORVRfSU5DKE5PVyxOT1csRlNBLCxVU0QpQEZGX05FVF9JTkMoTFRNUywwLCwsLFVTRCkp&amp;WINDOW=F","IRST_POPUP&amp;HEIGHT=450&amp;WIDTH=450&amp;START_MAXIMIZED=FALSE&amp;VAR:CALENDAR=US&amp;VAR:SYMBOL=03280310&amp;VAR:INDEX=0"}</definedName>
    <definedName function="false" hidden="true" name="_2360__FDSAUDITLINK__" vbProcedure="false">{"fdsup://directions/FAT Viewer?action=UPDATE&amp;creator=factset&amp;DYN_ARGS=TRUE&amp;DOC_NAME=FAT:FQL_AUDITING_CLIENT_TEMPLATE.FAT&amp;display_string=Audit&amp;VAR:KEY=DIPEHIHEVU&amp;VAR:QUERY=KEZTTF9ORVRfSU5DKE5PVyxOT1csRlNBLCxVU0QpQEZGX05FVF9JTkMoTFRNUywwLCwsLFVTRCkp&amp;WINDOW=F","IRST_POPUP&amp;HEIGHT=450&amp;WIDTH=450&amp;START_MAXIMIZED=FALSE&amp;VAR:CALENDAR=US&amp;VAR:SYMBOL=ADVS&amp;VAR:INDEX=0"}</definedName>
    <definedName function="false" hidden="true" name="_2361__FDSAUDITLINK__" vbProcedure="false">{"fdsup://directions/FAT Viewer?action=UPDATE&amp;creator=factset&amp;DYN_ARGS=TRUE&amp;DOC_NAME=FAT:FQL_AUDITING_CLIENT_TEMPLATE.FAT&amp;display_string=Audit&amp;VAR:KEY=DSBIDCLYFC&amp;VAR:QUERY=KEZTTF9ORVRfSU5DKE5PVyxOT1csRlNBLCxVU0QpQEZGX05FVF9JTkMoTFRNUywwLCwsLFVTRCkp&amp;WINDOW=F","IRST_POPUP&amp;HEIGHT=450&amp;WIDTH=450&amp;START_MAXIMIZED=FALSE&amp;VAR:CALENDAR=US&amp;VAR:SYMBOL=JKHY&amp;VAR:INDEX=0"}</definedName>
    <definedName function="false" hidden="true" name="_2362__FDSAUDITLINK__" vbProcedure="false">{"fdsup://directions/FAT Viewer?action=UPDATE&amp;creator=factset&amp;DYN_ARGS=TRUE&amp;DOC_NAME=FAT:FQL_AUDITING_CLIENT_TEMPLATE.FAT&amp;display_string=Audit&amp;VAR:KEY=PCDAFOJYZC&amp;VAR:QUERY=KEZTTF9ORVRfSU5DKE5PVyxOT1csRlNBLCxVU0QpQEZGX05FVF9JTkMoTFRNUywwLCwsLFVTRCkp&amp;WINDOW=F","IRST_POPUP&amp;HEIGHT=450&amp;WIDTH=450&amp;START_MAXIMIZED=FALSE&amp;VAR:CALENDAR=US&amp;VAR:SYMBOL=TSS&amp;VAR:INDEX=0"}</definedName>
    <definedName function="false" hidden="true" name="_2363__FDSAUDITLINK__" vbProcedure="false">{"fdsup://directions/FAT Viewer?action=UPDATE&amp;creator=factset&amp;DYN_ARGS=TRUE&amp;DOC_NAME=FAT:FQL_AUDITING_CLIENT_TEMPLATE.FAT&amp;display_string=Audit&amp;VAR:KEY=ZUHMRSBU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NE&amp;VAR:INDEX=0"}</definedName>
    <definedName function="false" hidden="true" name="_2364__FDSAUDITLINK__" vbProcedure="false">{"fdsup://directions/FAT Viewer?action=UPDATE&amp;creator=factset&amp;DYN_ARGS=TRUE&amp;DOC_NAME=FAT:FQL_AUDITING_CLIENT_TEMPLATE.FAT&amp;display_string=Audit&amp;VAR:KEY=NAHGPGJY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VI&amp;VAR:INDEX=0"}</definedName>
    <definedName function="false" hidden="true" name="_2365__FDSAUDITLINK__" vbProcedure="false">{"fdsup://directions/FAT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function="false" hidden="true" name="_2366__FDSAUDITLINK__" vbProcedure="false">{"fdsup://directions/FAT Viewer?action=UPDATE&amp;creator=factset&amp;DYN_ARGS=TRUE&amp;DOC_NAME=FAT:FQL_AUDITING_CLIENT_TEMPLATE.FAT&amp;display_string=Audit&amp;VAR:KEY=ZIXQLMDMTQ&amp;VAR:QUERY=KEZTTF9ORVRfSU5DKE5PVyxOT1csRlNBLCxVU0QpQEZGX05FVF9JTkMoTFRNUywwLCwsLFVTRCkp&amp;WINDOW=F","IRST_POPUP&amp;HEIGHT=450&amp;WIDTH=450&amp;START_MAXIMIZED=FALSE&amp;VAR:CALENDAR=US&amp;VAR:SYMBOL=FIS&amp;VAR:INDEX=0"}</definedName>
    <definedName function="false" hidden="true" name="_2367__FDSAUDITLINK__" vbProcedure="false">{"fdsup://directions/FAT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function="false" hidden="true" name="_2368__FDSAUDITLINK__" vbProcedure="false">{"fdsup://directions/FAT Viewer?action=UPDATE&amp;creator=factset&amp;DYN_ARGS=TRUE&amp;DOC_NAME=FAT:FQL_AUDITING_CLIENT_TEMPLATE.FAT&amp;display_string=Audit&amp;VAR:KEY=LSDEZWJU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VR&amp;VAR:INDEX=0"}</definedName>
    <definedName function="false" hidden="true" name="_2369__FDSAUDITLINK__" vbProcedure="false">{"fdsup://directions/FAT Viewer?action=UPDATE&amp;creator=factset&amp;DYN_ARGS=TRUE&amp;DOC_NAME=FAT:FQL_AUDITING_CLIENT_TEMPLATE.FAT&amp;display_string=Audit&amp;VAR:KEY=NQFKBONW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C&amp;VAR:INDEX=0"}</definedName>
    <definedName function="false" hidden="true" name="_236__FDSAUDITLINK__" vbProcedure="false">{"fdsup://directions/FAT Viewer?action=UPDATE&amp;creator=factset&amp;DYN_ARGS=TRUE&amp;DOC_NAME=FAT:FQL_AUDITING_CLIENT_TEMPLATE.FAT&amp;display_string=Audit&amp;VAR:KEY=LOFIXWDCDW&amp;VAR:QUERY=RkZfRUJJVERBX09QRVIoTFRNLDAsLCwsVVNEKQ==&amp;WINDOW=FIRST_POPUP&amp;HEIGHT=450&amp;WIDTH=450&amp;STAR","T_MAXIMIZED=FALSE&amp;VAR:CALENDAR=US&amp;VAR:SYMBOL=BAS&amp;VAR:INDEX=0"}</definedName>
    <definedName function="false" hidden="true" name="_2370__FDSAUDITLINK__" vbProcedure="false">{"fdsup://Directions/FactSet Auditing Viewer?action=AUDIT_VALUE&amp;DB=129&amp;ID1=78463B10&amp;VALUEID=02001&amp;SDATE=201002&amp;PERIODTYPE=QTR_STD&amp;window=popup_no_bar&amp;width=385&amp;height=120&amp;START_MAXIMIZED=FALSE&amp;creator=factset&amp;display_string=Audit"}</definedName>
    <definedName function="false" hidden="true" name="_2371__FDSAUDITLINK__" vbProcedure="false">{"fdsup://directions/FAT Viewer?action=UPDATE&amp;creator=factset&amp;DYN_ARGS=TRUE&amp;DOC_NAME=FAT:FQL_AUDITING_CLIENT_TEMPLATE.FAT&amp;display_string=Audit&amp;VAR:KEY=HWPAFKZK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NDT&amp;VAR:INDEX=0"}</definedName>
    <definedName function="false" hidden="true" name="_2372__FDSAUDITLINK__" vbProcedure="false">{"fdsup://directions/FAT Viewer?action=UPDATE&amp;creator=factset&amp;DYN_ARGS=TRUE&amp;DOC_NAME=FAT:FQL_AUDITING_CLIENT_TEMPLATE.FAT&amp;display_string=Audit&amp;VAR:KEY=FUDOLYTG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YC&amp;VAR:INDEX=0"}</definedName>
    <definedName function="false" hidden="true" name="_2373__FDSAUDITLINK__" vbProcedure="false">{"fdsup://directions/FAT Viewer?action=UPDATE&amp;creator=factset&amp;DYN_ARGS=TRUE&amp;DOC_NAME=FAT:FQL_AUDITING_CLIENT_TEMPLATE.FAT&amp;display_string=Audit&amp;VAR:KEY=NWTUZKJQ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AY&amp;VAR:INDEX=0"}</definedName>
    <definedName function="false" hidden="true" name="_2374__FDSAUDITLINK__" vbProcedure="false">{"fdsup://Directions/FactSet Auditing Viewer?action=AUDIT_VALUE&amp;DB=129&amp;ID1=22289210&amp;VALUEID=02001&amp;SDATE=201002&amp;PERIODTYPE=QTR_STD&amp;window=popup_no_bar&amp;width=385&amp;height=120&amp;START_MAXIMIZED=FALSE&amp;creator=factset&amp;display_string=Audit"}</definedName>
    <definedName function="false" hidden="true" name="_2375__FDSAUDITLINK__" vbProcedure="false">{"fdsup://Directions/FactSet Auditing Viewer?action=AUDIT_VALUE&amp;DB=129&amp;ID1=68273G10&amp;VALUEID=02001&amp;SDATE=201002&amp;PERIODTYPE=QTR_STD&amp;window=popup_no_bar&amp;width=385&amp;height=120&amp;START_MAXIMIZED=FALSE&amp;creator=factset&amp;display_string=Audit"}</definedName>
    <definedName function="false" hidden="true" name="_2376__FDSAUDITLINK__" vbProcedure="false">{"fdsup://directions/FAT Viewer?action=UPDATE&amp;creator=factset&amp;DYN_ARGS=TRUE&amp;DOC_NAME=FAT:FQL_AUDITING_CLIENT_TEMPLATE.FAT&amp;display_string=Audit&amp;VAR:KEY=FKJOTCBELI&amp;VAR:QUERY=KEZTTF9ORVRfSU5DKE5PVyxOT1csRlNBLCxVU0QpQEZGX05FVF9JTkMoTFRNUywwLCwsLFVTRCkp&amp;WINDOW=F","IRST_POPUP&amp;HEIGHT=450&amp;WIDTH=450&amp;START_MAXIMIZED=FALSE&amp;VAR:CALENDAR=US&amp;VAR:SYMBOL=SONE&amp;VAR:INDEX=0"}</definedName>
    <definedName function="false" hidden="true" name="_2377__FDSAUDITLINK__" vbProcedure="false">{"fdsup://directions/FAT Viewer?action=UPDATE&amp;creator=factset&amp;DYN_ARGS=TRUE&amp;DOC_NAME=FAT:FQL_AUDITING_CLIENT_TEMPLATE.FAT&amp;display_string=Audit&amp;VAR:KEY=RMHMVAZADS&amp;VAR:QUERY=KEZTTF9ORVRfSU5DKE5PVyxOT1csRlNBLCxVU0QpQEZGX05FVF9JTkMoTFRNUywwLCwsLFVTRCkp&amp;WINDOW=F","IRST_POPUP&amp;HEIGHT=450&amp;WIDTH=450&amp;START_MAXIMIZED=FALSE&amp;VAR:CALENDAR=US&amp;VAR:SYMBOL=FDS&amp;VAR:INDEX=0"}</definedName>
    <definedName function="false" hidden="true" name="_2378__FDSAUDITLINK__" vbProcedure="false">{"fdsup://Directions/FactSet Auditing Viewer?action=AUDIT_VALUE&amp;DB=129&amp;ID1=44913M10&amp;VALUEID=02001&amp;SDATE=201002&amp;PERIODTYPE=QTR_STD&amp;window=popup_no_bar&amp;width=385&amp;height=120&amp;START_MAXIMIZED=FALSE&amp;creator=factset&amp;display_string=Audit"}</definedName>
    <definedName function="false" hidden="true" name="_2379__FDSAUDITLINK__" vbProcedure="false">{"fdsup://Directions/FactSet Auditing Viewer?action=AUDIT_VALUE&amp;DB=129&amp;ID1=10138810&amp;VALUEID=02001&amp;SDATE=201004&amp;PERIODTYPE=QTR_STD&amp;window=popup_no_bar&amp;width=385&amp;height=120&amp;START_MAXIMIZED=FALSE&amp;creator=factset&amp;display_string=Audit"}</definedName>
    <definedName function="false" hidden="true" name="_237__FDSAUDITLINK__" vbProcedure="false">{"fdsup://directions/FAT Viewer?action=UPDATE&amp;creator=factset&amp;DYN_ARGS=TRUE&amp;DOC_NAME=FAT:FQL_AUDITING_CLIENT_TEMPLATE.FAT&amp;display_string=Audit&amp;VAR:KEY=VMPKVQTWFW&amp;VAR:QUERY=RkZfRUJJVERBX09QRVIoTFRNLDAsLCwsVVNEKQ==&amp;WINDOW=FIRST_POPUP&amp;HEIGHT=450&amp;WIDTH=450&amp;STAR","T_MAXIMIZED=FALSE&amp;VAR:CALENDAR=US&amp;VAR:SYMBOL=SPRT&amp;VAR:INDEX=0"}</definedName>
    <definedName function="false" hidden="true" name="_2380__FDSAUDITLINK__" vbProcedure="false">{"fdsup://Directions/FactSet Auditing Viewer?action=AUDIT_VALUE&amp;DB=129&amp;ID1=57060D10&amp;VALUEID=02001&amp;SDATE=201002&amp;PERIODTYPE=QTR_STD&amp;window=popup_no_bar&amp;width=385&amp;height=120&amp;START_MAXIMIZED=FALSE&amp;creator=factset&amp;display_string=Audit"}</definedName>
    <definedName function="false" hidden="true" name="_2381__FDSAUDITLINK__" vbProcedure="false">{"fdsup://Directions/FactSet Auditing Viewer?action=AUDIT_VALUE&amp;DB=129&amp;ID1=46145F10&amp;VALUEID=02001&amp;SDATE=201002&amp;PERIODTYPE=QTR_STD&amp;window=popup_no_bar&amp;width=385&amp;height=120&amp;START_MAXIMIZED=FALSE&amp;creator=factset&amp;display_string=Audit"}</definedName>
    <definedName function="false" hidden="true" name="_2382__FDSAUDITLINK__" vbProcedure="false">{"fdsup://Directions/FactSet Auditing Viewer?action=AUDIT_VALUE&amp;DB=129&amp;ID1=00449810&amp;VALUEID=02001&amp;SDATE=201002&amp;PERIODTYPE=QTR_STD&amp;window=popup_no_bar&amp;width=385&amp;height=120&amp;START_MAXIMIZED=FALSE&amp;creator=factset&amp;display_string=Audit"}</definedName>
    <definedName function="false" hidden="true" name="_2383__FDSAUDITLINK__" vbProcedure="false">{"fdsup://Directions/FactSet Auditing Viewer?action=AUDIT_VALUE&amp;DB=129&amp;ID1=27871520&amp;VALUEID=02001&amp;SDATE=201002&amp;PERIODTYPE=QTR_STD&amp;window=popup_no_bar&amp;width=385&amp;height=120&amp;START_MAXIMIZED=FALSE&amp;creator=factset&amp;display_string=Audit"}</definedName>
    <definedName function="false" hidden="true" name="_2384__FDSAUDITLINK__" vbProcedure="false">{"fdsup://Directions/FactSet Auditing Viewer?action=AUDIT_VALUE&amp;DB=129&amp;ID1=30325010&amp;VALUEID=02001&amp;SDATE=201003&amp;PERIODTYPE=QTR_STD&amp;window=popup_no_bar&amp;width=385&amp;height=120&amp;START_MAXIMIZED=FALSE&amp;creator=factset&amp;display_string=Audit"}</definedName>
    <definedName function="false" hidden="true" name="_2385__FDSAUDITLINK__" vbProcedure="false">{"fdsup://Directions/FactSet Auditing Viewer?action=AUDIT_VALUE&amp;DB=129&amp;ID1=00797410&amp;VALUEID=02001&amp;SDATE=201002&amp;PERIODTYPE=QTR_STD&amp;window=popup_no_bar&amp;width=385&amp;height=120&amp;START_MAXIMIZED=FALSE&amp;creator=factset&amp;display_string=Audit"}</definedName>
    <definedName function="false" hidden="true" name="_2386__FDSAUDITLINK__" vbProcedure="false">{"fdsup://Directions/FactSet Auditing Viewer?action=AUDIT_VALUE&amp;DB=129&amp;ID1=42628110&amp;VALUEID=02001&amp;SDATE=201004&amp;PERIODTYPE=QTR_STD&amp;window=popup_no_bar&amp;width=385&amp;height=120&amp;START_MAXIMIZED=FALSE&amp;creator=factset&amp;display_string=Audit"}</definedName>
    <definedName function="false" hidden="true" name="_2387__FDSAUDITLINK__" vbProcedure="false">{"fdsup://Directions/FactSet Auditing Viewer?action=AUDIT_VALUE&amp;DB=129&amp;ID1=89190610&amp;VALUEID=02001&amp;SDATE=201003&amp;PERIODTYPE=QTR_STD&amp;window=popup_no_bar&amp;width=385&amp;height=120&amp;START_MAXIMIZED=FALSE&amp;creator=factset&amp;display_string=Audit"}</definedName>
    <definedName function="false" hidden="true" name="_2388__FDSAUDITLINK__" vbProcedure="false">{"fdsup://Directions/FactSet Auditing Viewer?action=AUDIT_VALUE&amp;DB=129&amp;ID1=30307510&amp;VALUEID=02001&amp;SDATE=201004&amp;PERIODTYPE=QTR_STD&amp;window=popup_no_bar&amp;width=385&amp;height=120&amp;START_MAXIMIZED=FALSE&amp;creator=factset&amp;display_string=Audit"}</definedName>
    <definedName function="false" hidden="true" name="_2389__FDSAUDITLINK__" vbProcedure="false">{"fdsup://directions/FAT Viewer?action=UPDATE&amp;creator=factset&amp;DYN_ARGS=TRUE&amp;DOC_NAME=FAT:FQL_AUDITING_CLIENT_TEMPLATE.FAT&amp;display_string=Audit&amp;VAR:KEY=FEHOPYJE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DS&amp;VAR:INDEX=0"}</definedName>
    <definedName function="false" hidden="true" name="_238__FDSAUDITLINK__" vbProcedure="false">{"fdsup://directions/FAT Viewer?action=UPDATE&amp;creator=factset&amp;DYN_ARGS=TRUE&amp;DOC_NAME=FAT:FQL_AUDITING_CLIENT_TEMPLATE.FAT&amp;display_string=Audit&amp;VAR:KEY=XWZCXUFERG&amp;VAR:QUERY=RkZfRUJJVERBX09QRVIoTFRNLDAsLCwsVVNEKQ==&amp;WINDOW=FIRST_POPUP&amp;HEIGHT=450&amp;WIDTH=450&amp;STAR","T_MAXIMIZED=FALSE&amp;VAR:CALENDAR=US&amp;VAR:SYMBOL=NOA&amp;VAR:INDEX=0"}</definedName>
    <definedName function="false" hidden="true" name="_2390__FDSAUDITLINK__" vbProcedure="false">{"fdsup://Directions/FactSet Auditing Viewer?action=AUDIT_VALUE&amp;DB=129&amp;ID1=33773810&amp;VALUEID=02001&amp;SDATE=201002&amp;PERIODTYPE=QTR_STD&amp;window=popup_no_bar&amp;width=385&amp;height=120&amp;START_MAXIMIZED=FALSE&amp;creator=factset&amp;display_string=Audit"}</definedName>
    <definedName function="false" hidden="true" name="_2391__FDSAUDITLINK__" vbProcedure="false">{"fdsup://Directions/FactSet Auditing Viewer?action=AUDIT_VALUE&amp;DB=129&amp;ID1=31620M10&amp;VALUEID=02001&amp;SDATE=201002&amp;PERIODTYPE=QTR_STD&amp;window=popup_no_bar&amp;width=385&amp;height=120&amp;START_MAXIMIZED=FALSE&amp;creator=factset&amp;display_string=Audit"}</definedName>
    <definedName function="false" hidden="true" name="_2392__FDSAUDITLINK__" vbProcedure="false">{"fdsup://directions/FAT Viewer?action=UPDATE&amp;creator=factset&amp;DYN_ARGS=TRUE&amp;DOC_NAME=FAT:FQL_AUDITING_CLIENT_TEMPLATE.FAT&amp;display_string=Audit&amp;VAR:KEY=JEFUJSNS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IW&amp;VAR:INDEX=0"}</definedName>
    <definedName function="false" hidden="true" name="_2393__FDSAUDITLINK__" vbProcedure="false">{"fdsup://directions/FAT Viewer?action=UPDATE&amp;creator=factset&amp;DYN_ARGS=TRUE&amp;DOC_NAME=FAT:FQL_AUDITING_CLIENT_TEMPLATE.FAT&amp;display_string=Audit&amp;VAR:KEY=VEFEJANU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BIX&amp;VAR:INDEX=0"}</definedName>
    <definedName function="false" hidden="true" name="_2394__FDSAUDITLINK__" vbProcedure="false">{"fdsup://directions/FAT Viewer?action=UPDATE&amp;creator=factset&amp;DYN_ARGS=TRUE&amp;DOC_NAME=FAT:FQL_AUDITING_CLIENT_TEMPLATE.FAT&amp;display_string=Audit&amp;VAR:KEY=DUTGXSZY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C&amp;VAR:INDEX=0"}</definedName>
    <definedName function="false" hidden="true" name="_2395__FDSAUDITLINK__" vbProcedure="false">{"fdsup://directions/FAT Viewer?action=UPDATE&amp;creator=factset&amp;DYN_ARGS=TRUE&amp;DOC_NAME=FAT:FQL_AUDITING_CLIENT_TEMPLATE.FAT&amp;display_string=Audit&amp;VAR:KEY=LOHGPGXA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VS&amp;VAR:INDEX=0"}</definedName>
    <definedName function="false" hidden="true" name="_2396__FDSAUDITLINK__" vbProcedure="false">{"fdsup://directions/FAT Viewer?action=UPDATE&amp;creator=factset&amp;DYN_ARGS=TRUE&amp;DOC_NAME=FAT:FQL_AUDITING_CLIENT_TEMPLATE.FAT&amp;display_string=Audit&amp;VAR:KEY=PMROZSHC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KHY&amp;VAR:INDEX=0"}</definedName>
    <definedName function="false" hidden="true" name="_2397__FDSAUDITLINK__" vbProcedure="false">{"fdsup://directions/FAT Viewer?action=UPDATE&amp;creator=factset&amp;DYN_ARGS=TRUE&amp;DOC_NAME=FAT:FQL_AUDITING_CLIENT_TEMPLATE.FAT&amp;display_string=Audit&amp;VAR:KEY=DIVYRUPA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S&amp;VAR:INDEX=0"}</definedName>
    <definedName function="false" hidden="true" name="_2398__FDSAUDITLINK__" vbProcedure="false">{"fdsup://directions/FAT Viewer?action=UPDATE&amp;creator=factset&amp;DYN_ARGS=TRUE&amp;DOC_NAME=FAT:FQL_AUDITING_CLIENT_TEMPLATE.FAT&amp;display_string=Audit&amp;VAR:KEY=PYNQXOHGNO&amp;VAR:QUERY=KEZTTF9ORVRfSU5DKE5PVyxOT1csRlNBLCxVU0QpQEZGX05FVF9JTkMoTFRNUywwLCwsLFVTRCkp&amp;WINDOW=F","IRST_POPUP&amp;HEIGHT=450&amp;WIDTH=450&amp;START_MAXIMIZED=FALSE&amp;VAR:CALENDAR=US&amp;VAR:SYMBOL=FNDT&amp;VAR:INDEX=0"}</definedName>
    <definedName function="false" hidden="true" name="_2399__FDSAUDITLINK__" vbProcedure="false">{"fdsup://directions/FAT Viewer?action=UPDATE&amp;creator=factset&amp;DYN_ARGS=TRUE&amp;DOC_NAME=FAT:FQL_AUDITING_CLIENT_TEMPLATE.FAT&amp;display_string=Audit&amp;VAR:KEY=HEJUTGHG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EIC&amp;VAR:INDEX=0"}</definedName>
    <definedName function="false" hidden="true" name="_239__FDSAUDITLINK__" vbProcedure="false">{"fdsup://directions/FAT Viewer?action=UPDATE&amp;creator=factset&amp;DYN_ARGS=TRUE&amp;DOC_NAME=FAT:FQL_AUDITING_CLIENT_TEMPLATE.FAT&amp;display_string=Audit&amp;VAR:KEY=HQTYFKZEJQ&amp;VAR:QUERY=RkZfRUJJVERBX09QRVIoTFRNLDAsLCwsVVNEKQ==&amp;WINDOW=FIRST_POPUP&amp;HEIGHT=450&amp;WIDTH=450&amp;STAR","T_MAXIMIZED=FALSE&amp;VAR:CALENDAR=US&amp;VAR:SYMBOL=FLIR&amp;VAR:INDEX=0"}</definedName>
    <definedName function="false" hidden="true" name="_23__123Graph_LBL_ACHART_3" vbProcedure="false">#REF!</definedName>
    <definedName function="false" hidden="true" name="_23__123Graph_XNRET_RS" vbProcedure="false">#REF!</definedName>
    <definedName function="false" hidden="true" name="_23__FDSAUDITLINK__" vbProcedure="false">{"fdsup://directions/FAT Viewer?action=UPDATE&amp;creator=factset&amp;DYN_ARGS=TRUE&amp;DOC_NAME=FAT:FQL_AUDITING_CLIENT_TEMPLATE.FAT&amp;display_string=Audit&amp;VAR:KEY=QFQXQBEZOZ&amp;VAR:QUERY=RkZfRUJJVERBX09QRVIoTFRNLDAsLCwsVVNEKQ==&amp;WINDOW=FIRST_POPUP&amp;HEIGHT=450&amp;WIDTH=450&amp;STAR","T_MAXIMIZED=FALSE&amp;VAR:CALENDAR=US&amp;VAR:SYMBOL=KEG&amp;VAR:INDEX=0"}</definedName>
    <definedName function="false" hidden="true" name="_2400__FDSAUDITLINK__" vbProcedure="false">{"fdsup://directions/FAT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function="false" hidden="true" name="_2401__FDSAUDITLINK__" vbProcedure="false">{"fdsup://directions/FAT Viewer?action=UPDATE&amp;creator=factset&amp;DYN_ARGS=TRUE&amp;DOC_NAME=FAT:FQL_AUDITING_CLIENT_TEMPLATE.FAT&amp;display_string=Audit&amp;VAR:KEY=LKHKRGZO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amp;VAR:INDEX=0"}</definedName>
    <definedName function="false" hidden="true" name="_2402__FDSAUDITLINK__" vbProcedure="false">{"fdsup://directions/FAT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function="false" hidden="true" name="_2403__FDSAUDITLINK__" vbProcedure="false">{"fdsup://directions/FAT Viewer?action=UPDATE&amp;creator=factset&amp;DYN_ARGS=TRUE&amp;DOC_NAME=FAT:FQL_AUDITING_CLIENT_TEMPLATE.FAT&amp;display_string=Audit&amp;VAR:KEY=TWBGJELQJQ&amp;VAR:QUERY=KEZTTF9ORVRfSU5DKE5PVyxOT1csRlNBLCxVU0QpQEZGX05FVF9JTkMoTFRNUywwLCwsLFVTRCkp&amp;WINDOW=F","IRST_POPUP&amp;HEIGHT=450&amp;WIDTH=450&amp;START_MAXIMIZED=FALSE&amp;VAR:CALENDAR=US&amp;VAR:SYMBOL=SLTC&amp;VAR:INDEX=0"}</definedName>
    <definedName function="false" hidden="true" name="_2404__FDSAUDITLINK__" vbProcedure="false">{"fdsup://directions/FAT Viewer?action=UPDATE&amp;creator=factset&amp;DYN_ARGS=TRUE&amp;DOC_NAME=FAT:FQL_AUDITING_CLIENT_TEMPLATE.FAT&amp;display_string=Audit&amp;VAR:KEY=DSXUVMFEFQ&amp;VAR:QUERY=KEZTTF9ORVRfSU5DKE5PVyxOT1csRlNBLCxVU0QpQEZGX05FVF9JTkMoTFRNUywwLCwsLFVTRCkp&amp;WINDOW=F","IRST_POPUP&amp;HEIGHT=450&amp;WIDTH=450&amp;START_MAXIMIZED=FALSE&amp;VAR:CALENDAR=US&amp;VAR:SYMBOL=408188&amp;VAR:INDEX=0"}</definedName>
    <definedName function="false" hidden="true" name="_2405__FDSAUDITLINK__" vbProcedure="false">{"fdsup://directions/FAT Viewer?action=UPDATE&amp;creator=factset&amp;DYN_ARGS=TRUE&amp;DOC_NAME=FAT:FQL_AUDITING_CLIENT_TEMPLATE.FAT&amp;display_string=Audit&amp;VAR:KEY=JIRGHKJGBK&amp;VAR:QUERY=KEZTTF9ORVRfSU5DKE5PVyxOT1csRlNBLCxVU0QpQEZGX05FVF9JTkMoTFRNUywwLCwsLFVTRCkp&amp;WINDOW=F","IRST_POPUP&amp;HEIGHT=450&amp;WIDTH=450&amp;START_MAXIMIZED=FALSE&amp;VAR:CALENDAR=US&amp;VAR:SYMBOL=577592&amp;VAR:INDEX=0"}</definedName>
    <definedName function="false" hidden="true" name="_2406__FDSAUDITLINK__" vbProcedure="false">{"fdsup://directions/FAT Viewer?action=UPDATE&amp;creator=factset&amp;DYN_ARGS=TRUE&amp;DOC_NAME=FAT:FQL_AUDITING_CLIENT_TEMPLATE.FAT&amp;display_string=Audit&amp;VAR:KEY=XCFMXCHAXS&amp;VAR:QUERY=KEZTTF9ORVRfSU5DKE5PVyxOT1csRlNBLCxVU0QpQEZGX05FVF9JTkMoTFRNUywwLCwsLFVTRCkp&amp;WINDOW=F","IRST_POPUP&amp;HEIGHT=450&amp;WIDTH=450&amp;START_MAXIMIZED=FALSE&amp;VAR:CALENDAR=US&amp;VAR:SYMBOL=B034R7&amp;VAR:INDEX=0"}</definedName>
    <definedName function="false" hidden="true" name="_2407__FDSAUDITLINK__" vbProcedure="false">{"fdsup://directions/FAT Viewer?action=UPDATE&amp;creator=factset&amp;DYN_ARGS=TRUE&amp;DOC_NAME=FAT:FQL_AUDITING_CLIENT_TEMPLATE.FAT&amp;display_string=Audit&amp;VAR:KEY=DWLCBQRKFU&amp;VAR:QUERY=KEZTTF9ORVRfSU5DKE5PVyxOT1csRlNBLCxVU0QpQEZGX05FVF9JTkMoTFRNUywwLCwsLFVTRCkp&amp;WINDOW=F","IRST_POPUP&amp;HEIGHT=450&amp;WIDTH=450&amp;START_MAXIMIZED=FALSE&amp;VAR:CALENDAR=US&amp;VAR:SYMBOL=580098&amp;VAR:INDEX=0"}</definedName>
    <definedName function="false" hidden="true" name="_2408__FDSAUDITLINK__" vbProcedure="false">{"fdsup://directions/FAT Viewer?action=UPDATE&amp;creator=factset&amp;DYN_ARGS=TRUE&amp;DOC_NAME=FAT:FQL_AUDITING_CLIENT_TEMPLATE.FAT&amp;display_string=Audit&amp;VAR:KEY=BYZABGNGJO&amp;VAR:QUERY=KEZTTF9ORVRfSU5DKE5PVyxOT1csRlNBLCxVU0QpQEZGX05FVF9JTkMoTFRNUywwLCwsLFVTRCkp&amp;WINDOW=F","IRST_POPUP&amp;HEIGHT=450&amp;WIDTH=450&amp;START_MAXIMIZED=FALSE&amp;VAR:CALENDAR=US&amp;VAR:SYMBOL=CDCS&amp;VAR:INDEX=0"}</definedName>
    <definedName function="false" hidden="true" name="_2409__FDSAUDITLINK__" vbProcedure="false">{"fdsup://directions/FAT Viewer?action=UPDATE&amp;creator=factset&amp;DYN_ARGS=TRUE&amp;DOC_NAME=FAT:FQL_AUDITING_CLIENT_TEMPLATE.FAT&amp;display_string=Audit&amp;VAR:KEY=NUHWPGJQPS&amp;VAR:QUERY=KEZTTF9ORVRfSU5DKE5PVyxOT1csRlNBLCxVU0QpQEZGX05FVF9JTkMoTFRNUywwLCwsLFVTRCkp&amp;WINDOW=F","IRST_POPUP&amp;HEIGHT=450&amp;WIDTH=450&amp;START_MAXIMIZED=FALSE&amp;VAR:CALENDAR=US&amp;VAR:SYMBOL=B282VW&amp;VAR:INDEX=0"}</definedName>
    <definedName function="false" hidden="true" name="_240__123Graph_XCHART_1" vbProcedure="false">#REF!</definedName>
    <definedName function="false" hidden="true" name="_240__FDSAUDITLINK__" vbProcedure="false">{"fdsup://directions/FAT Viewer?action=UPDATE&amp;creator=factset&amp;DYN_ARGS=TRUE&amp;DOC_NAME=FAT:FQL_AUDITING_CLIENT_TEMPLATE.FAT&amp;display_string=Audit&amp;VAR:KEY=DCLMDKXYXY&amp;VAR:QUERY=RkZfRUJJVERBX09QRVIoTFRNLDAsLCwsVVNEKQ==&amp;WINDOW=FIRST_POPUP&amp;HEIGHT=450&amp;WIDTH=450&amp;STAR","T_MAXIMIZED=FALSE&amp;VAR:CALENDAR=US&amp;VAR:SYMBOL=CVTI&amp;VAR:INDEX=0"}</definedName>
    <definedName function="false" hidden="true" name="_2410__FDSAUDITLINK__" vbProcedure="false">{"fdsup://directions/FAT Viewer?action=UPDATE&amp;creator=factset&amp;DYN_ARGS=TRUE&amp;DOC_NAME=FAT:FQL_AUDITING_CLIENT_TEMPLATE.FAT&amp;display_string=Audit&amp;VAR:KEY=JOPWFQFAXY&amp;VAR:QUERY=KEZTTF9ORVRfSU5DKE5PVyxOT1csRlNBLCxVU0QpQEZGX05FVF9JTkMoTFRNUywwLCwsLFVTRCkp&amp;WINDOW=F","IRST_POPUP&amp;HEIGHT=450&amp;WIDTH=450&amp;START_MAXIMIZED=FALSE&amp;VAR:CALENDAR=US&amp;VAR:SYMBOL=596091&amp;VAR:INDEX=0"}</definedName>
    <definedName function="false" hidden="true" name="_2411__FDSAUDITLINK__" vbProcedure="false">{"fdsup://directions/FAT Viewer?action=UPDATE&amp;creator=factset&amp;DYN_ARGS=TRUE&amp;DOC_NAME=FAT:FQL_AUDITING_CLIENT_TEMPLATE.FAT&amp;display_string=Audit&amp;VAR:KEY=TMHGTUPYLO&amp;VAR:QUERY=KEZTTF9ORVRfSU5DKE5PVyxOT1csRlNBLCxVU0QpQEZGX05FVF9JTkMoTFRNUywwLCwsLFVTRCkp&amp;WINDOW=F","IRST_POPUP&amp;HEIGHT=450&amp;WIDTH=450&amp;START_MAXIMIZED=FALSE&amp;VAR:CALENDAR=US&amp;VAR:SYMBOL=SPSC&amp;VAR:INDEX=0"}</definedName>
    <definedName function="false" hidden="true" name="_2412__FDSAUDITLINK__" vbProcedure="false">{"fdsup://directions/FAT Viewer?action=UPDATE&amp;creator=factset&amp;DYN_ARGS=TRUE&amp;DOC_NAME=FAT:FQL_AUDITING_CLIENT_TEMPLATE.FAT&amp;display_string=Audit&amp;VAR:KEY=HIRGBWVABA&amp;VAR:QUERY=KEZTTF9ORVRfSU5DKE5PVyxOT1csRlNBLCxVU0QpQEZGX05FVF9JTkMoTFRNUywwLCwsLFVTRCkp&amp;WINDOW=F","IRST_POPUP&amp;HEIGHT=450&amp;WIDTH=450&amp;START_MAXIMIZED=FALSE&amp;VAR:CALENDAR=US&amp;VAR:SYMBOL=594245&amp;VAR:INDEX=0"}</definedName>
    <definedName function="false" hidden="true" name="_2413__FDSAUDITLINK__" vbProcedure="false">{"fdsup://directions/FAT Viewer?action=UPDATE&amp;creator=factset&amp;DYN_ARGS=TRUE&amp;DOC_NAME=FAT:FQL_AUDITING_CLIENT_TEMPLATE.FAT&amp;display_string=Audit&amp;VAR:KEY=XWJMHEFWPI&amp;VAR:QUERY=KEZTTF9ORVRfSU5DKE5PVyxOT1csRlNBLCxVU0QpQEZGX05FVF9JTkMoTFRNUywwLCwsLFVTRCkp&amp;WINDOW=F","IRST_POPUP&amp;HEIGHT=450&amp;WIDTH=450&amp;START_MAXIMIZED=FALSE&amp;VAR:CALENDAR=US&amp;VAR:SYMBOL=420904&amp;VAR:INDEX=0"}</definedName>
    <definedName function="false" hidden="true" name="_2414__FDSAUDITLINK__" vbProcedure="false">{"fdsup://directions/FAT Viewer?action=UPDATE&amp;creator=factset&amp;DYN_ARGS=TRUE&amp;DOC_NAME=FAT:FQL_AUDITING_CLIENT_TEMPLATE.FAT&amp;display_string=Audit&amp;VAR:KEY=DWBSRCPIRW&amp;VAR:QUERY=KEZTTF9ORVRfSU5DKE5PVyxOT1csRlNBLCxVU0QpQEZGX05FVF9JTkMoTFRNUywwLCwsLFVTRCkp&amp;WINDOW=F","IRST_POPUP&amp;HEIGHT=450&amp;WIDTH=450&amp;START_MAXIMIZED=FALSE&amp;VAR:CALENDAR=US&amp;VAR:SYMBOL=703513&amp;VAR:INDEX=0"}</definedName>
    <definedName function="false" hidden="true" name="_2415__FDSAUDITLINK__" vbProcedure="false">{"fdsup://directions/FAT Viewer?action=UPDATE&amp;creator=factset&amp;DYN_ARGS=TRUE&amp;DOC_NAME=FAT:FQL_AUDITING_CLIENT_TEMPLATE.FAT&amp;display_string=Audit&amp;VAR:KEY=FSVQBOXERO&amp;VAR:QUERY=KEZTTF9ORVRfSU5DKE5PVyxOT1csRlNBLCxVU0QpQEZGX05FVF9JTkMoTFRNUywwLCwsLFVTRCkp&amp;WINDOW=F","IRST_POPUP&amp;HEIGHT=450&amp;WIDTH=450&amp;START_MAXIMIZED=FALSE&amp;VAR:CALENDAR=US&amp;VAR:SYMBOL=434973&amp;VAR:INDEX=0"}</definedName>
    <definedName function="false" hidden="true" name="_2416__FDSAUDITLINK__" vbProcedure="false">{"fdsup://directions/FAT Viewer?action=UPDATE&amp;creator=factset&amp;DYN_ARGS=TRUE&amp;DOC_NAME=FAT:FQL_AUDITING_CLIENT_TEMPLATE.FAT&amp;display_string=Audit&amp;VAR:KEY=FMRWBGZENG&amp;VAR:QUERY=KEZTTF9ORVRfSU5DKE5PVyxOT1csRlNBLCxVU0QpQEZGX05FVF9JTkMoTFRNUywwLCwsLFVTRCkp&amp;WINDOW=F","IRST_POPUP&amp;HEIGHT=450&amp;WIDTH=450&amp;START_MAXIMIZED=FALSE&amp;VAR:CALENDAR=US&amp;VAR:SYMBOL=B04TRX&amp;VAR:INDEX=0"}</definedName>
    <definedName function="false" hidden="true" name="_2417__FDSAUDITLINK__" vbProcedure="false">{"fdsup://directions/FAT Viewer?action=UPDATE&amp;creator=factset&amp;DYN_ARGS=TRUE&amp;DOC_NAME=FAT:FQL_AUDITING_CLIENT_TEMPLATE.FAT&amp;display_string=Audit&amp;VAR:KEY=DQZSBGFKNS&amp;VAR:QUERY=KEZTTF9ORVRfSU5DKE5PVyxOT1csRlNBLCxVU0QpQEZGX05FVF9JTkMoTFRNUywwLCwsLFVTRCkp&amp;WINDOW=F","IRST_POPUP&amp;HEIGHT=450&amp;WIDTH=450&amp;START_MAXIMIZED=FALSE&amp;VAR:CALENDAR=US&amp;VAR:SYMBOL=NTWK&amp;VAR:INDEX=0"}</definedName>
    <definedName function="false" hidden="true" name="_2418__FDSAUDITLINK__" vbProcedure="false">{"fdsup://directions/FAT Viewer?action=UPDATE&amp;creator=factset&amp;DYN_ARGS=TRUE&amp;DOC_NAME=FAT:FQL_AUDITING_CLIENT_TEMPLATE.FAT&amp;display_string=Audit&amp;VAR:KEY=NYPULODAVY&amp;VAR:QUERY=KEZTTF9ORVRfSU5DKE5PVyxOT1csRlNBLCxVU0QpQEZGX05FVF9JTkMoTFRNUywwLCwsLFVTRCkp&amp;WINDOW=F","IRST_POPUP&amp;HEIGHT=450&amp;WIDTH=450&amp;START_MAXIMIZED=FALSE&amp;VAR:CALENDAR=US&amp;VAR:SYMBOL=PTC&amp;VAR:INDEX=0"}</definedName>
    <definedName function="false" hidden="true" name="_2419__FDSAUDITLINK__" vbProcedure="false">{"fdsup://directions/FAT Viewer?action=UPDATE&amp;creator=factset&amp;DYN_ARGS=TRUE&amp;DOC_NAME=FAT:FQL_AUDITING_CLIENT_TEMPLATE.FAT&amp;display_string=Audit&amp;VAR:KEY=LMDSVEBCLC&amp;VAR:QUERY=KEZTTF9ORVRfSU5DKE5PVyxOT1csRlNBLCxVU0QpQEZGX05FVF9JTkMoTFRNUywwLCwsLFVTRCkp&amp;WINDOW=F","IRST_POPUP&amp;HEIGHT=450&amp;WIDTH=450&amp;START_MAXIMIZED=FALSE&amp;VAR:CALENDAR=US&amp;VAR:SYMBOL=594327&amp;VAR:INDEX=0"}</definedName>
    <definedName function="false" hidden="true" name="_241__FDSAUDITLINK__" vbProcedure="false">{"fdsup://directions/FAT Viewer?action=UPDATE&amp;creator=factset&amp;DYN_ARGS=TRUE&amp;DOC_NAME=FAT:FQL_AUDITING_CLIENT_TEMPLATE.FAT&amp;display_string=Audit&amp;VAR:KEY=VAJGZCZAXK&amp;VAR:QUERY=RkZfRUJJVERBX09QRVIoTFRNLDAsLCwsVVNEKQ==&amp;WINDOW=FIRST_POPUP&amp;HEIGHT=450&amp;WIDTH=450&amp;STAR","T_MAXIMIZED=FALSE&amp;VAR:CALENDAR=US&amp;VAR:SYMBOL=QNST&amp;VAR:INDEX=0"}</definedName>
    <definedName function="false" hidden="true" name="_2420__FDSAUDITLINK__" vbProcedure="false">{"fdsup://directions/FAT Viewer?action=UPDATE&amp;creator=factset&amp;DYN_ARGS=TRUE&amp;DOC_NAME=FAT:FQL_AUDITING_CLIENT_TEMPLATE.FAT&amp;display_string=Audit&amp;VAR:KEY=TWVYBITOVI&amp;VAR:QUERY=KEZTTF9ORVRfSU5DKE5PVyxOT1csRlNBLCxVU0QpQEZGX05FVF9JTkMoTFRNUywwLCwsLFVTRCkp&amp;WINDOW=F","IRST_POPUP&amp;HEIGHT=450&amp;WIDTH=450&amp;START_MAXIMIZED=FALSE&amp;VAR:CALENDAR=US&amp;VAR:SYMBOL=SAAS&amp;VAR:INDEX=0"}</definedName>
    <definedName function="false" hidden="true" name="_2421__FDSAUDITLINK__" vbProcedure="false">{"fdsup://directions/FAT Viewer?action=UPDATE&amp;creator=factset&amp;DYN_ARGS=TRUE&amp;DOC_NAME=FAT:FQL_AUDITING_CLIENT_TEMPLATE.FAT&amp;display_string=Audit&amp;VAR:KEY=HKHWRETQ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594245&amp;VAR:INDEX=0"}</definedName>
    <definedName function="false" hidden="true" name="_2422__FDSAUDITLINK__" vbProcedure="false">{"fdsup://directions/FAT Viewer?action=UPDATE&amp;creator=factset&amp;DYN_ARGS=TRUE&amp;DOC_NAME=FAT:FQL_AUDITING_CLIENT_TEMPLATE.FAT&amp;display_string=Audit&amp;VAR:KEY=NQHETATEDS&amp;VAR:QUERY=KEZTTF9ORVRfSU5DKE5PVyxOT1csRlNBLCxVU0QpQEZGX05FVF9JTkMoTFRNUywwLCwsLFVTRCkp&amp;WINDOW=F","IRST_POPUP&amp;HEIGHT=450&amp;WIDTH=450&amp;START_MAXIMIZED=FALSE&amp;VAR:CALENDAR=US&amp;VAR:SYMBOL=QADI&amp;VAR:INDEX=0"}</definedName>
    <definedName function="false" hidden="true" name="_2423__FDSAUDITLINK__" vbProcedure="false">{"fdsup://directions/FAT Viewer?action=UPDATE&amp;creator=factset&amp;DYN_ARGS=TRUE&amp;DOC_NAME=FAT:FQL_AUDITING_CLIENT_TEMPLATE.FAT&amp;display_string=Audit&amp;VAR:KEY=FGBOBATSDE&amp;VAR:QUERY=KEZTTF9ORVRfSU5DKE5PVyxOT1csRlNBLCxVU0QpQEZGX05FVF9JTkMoTFRNUywwLCwsLFVTRCkp&amp;WINDOW=F","IRST_POPUP&amp;HEIGHT=450&amp;WIDTH=450&amp;START_MAXIMIZED=FALSE&amp;VAR:CALENDAR=US&amp;VAR:SYMBOL=073833&amp;VAR:INDEX=0"}</definedName>
    <definedName function="false" hidden="true" name="_2424__FDSAUDITLINK__" vbProcedure="false">{"fdsup://directions/FAT Viewer?action=UPDATE&amp;creator=factset&amp;DYN_ARGS=TRUE&amp;DOC_NAME=FAT:FQL_AUDITING_CLIENT_TEMPLATE.FAT&amp;display_string=Audit&amp;VAR:KEY=ZEJGTGBQFI&amp;VAR:QUERY=KEZTTF9ORVRfSU5DKE5PVyxOT1csRlNBLCxVU0QpQEZGX05FVF9JTkMoTFRNUywwLCwsLFVTRCkp&amp;WINDOW=F","IRST_POPUP&amp;HEIGHT=450&amp;WIDTH=450&amp;START_MAXIMIZED=FALSE&amp;VAR:CALENDAR=US&amp;VAR:SYMBOL=AMSWA&amp;VAR:INDEX=0"}</definedName>
    <definedName function="false" hidden="true" name="_2425__FDSAUDITLINK__" vbProcedure="false">{"fdsup://directions/FAT Viewer?action=UPDATE&amp;creator=factset&amp;DYN_ARGS=TRUE&amp;DOC_NAME=FAT:FQL_AUDITING_CLIENT_TEMPLATE.FAT&amp;display_string=Audit&amp;VAR:KEY=ZQHKXCJM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TC&amp;VAR:INDEX=0"}</definedName>
    <definedName function="false" hidden="true" name="_2426__FDSAUDITLINK__" vbProcedure="false">{"fdsup://directions/FAT Viewer?action=UPDATE&amp;creator=factset&amp;DYN_ARGS=TRUE&amp;DOC_NAME=FAT:FQL_AUDITING_CLIENT_TEMPLATE.FAT&amp;display_string=Audit&amp;VAR:KEY=FAHQNWRYVU&amp;VAR:QUERY=KEZTTF9ORVRfSU5DKE5PVyxOT1csRlNBLCxVU0QpQEZGX05FVF9JTkMoTFRNUywwLCwsLFVTRCkp&amp;WINDOW=F","IRST_POPUP&amp;HEIGHT=450&amp;WIDTH=450&amp;START_MAXIMIZED=FALSE&amp;VAR:CALENDAR=US&amp;VAR:SYMBOL=PROJ&amp;VAR:INDEX=0"}</definedName>
    <definedName function="false" hidden="true" name="_2427__FDSAUDITLINK__" vbProcedure="false">{"fdsup://directions/FAT Viewer?action=UPDATE&amp;creator=factset&amp;DYN_ARGS=TRUE&amp;DOC_NAME=FAT:FQL_AUDITING_CLIENT_TEMPLATE.FAT&amp;display_string=Audit&amp;VAR:KEY=ZQPYJMZKZW&amp;VAR:QUERY=KEZTTF9ORVRfSU5DKE5PVyxOT1csRlNBLCxVU0QpQEZGX05FVF9JTkMoTFRNUywwLCwsLFVTRCkp&amp;WINDOW=F","IRST_POPUP&amp;HEIGHT=450&amp;WIDTH=450&amp;START_MAXIMIZED=FALSE&amp;VAR:CALENDAR=US&amp;VAR:SYMBOL=536488&amp;VAR:INDEX=0"}</definedName>
    <definedName function="false" hidden="true" name="_2428__FDSAUDITLINK__" vbProcedure="false">{"fdsup://directions/FAT Viewer?action=UPDATE&amp;creator=factset&amp;DYN_ARGS=TRUE&amp;DOC_NAME=FAT:FQL_AUDITING_CLIENT_TEMPLATE.FAT&amp;display_string=Audit&amp;VAR:KEY=PMFKZGFQPW&amp;VAR:QUERY=KEZTTF9ORVRfSU5DKE5PVyxOT1csRlNBLCxVU0QpQEZGX05FVF9JTkMoTFRNUywwLCwsLFVTRCkp&amp;WINDOW=F","IRST_POPUP&amp;HEIGHT=450&amp;WIDTH=450&amp;START_MAXIMIZED=FALSE&amp;VAR:CALENDAR=US&amp;VAR:SYMBOL=068720&amp;VAR:INDEX=0"}</definedName>
    <definedName function="false" hidden="true" name="_2429__FDSAUDITLINK__" vbProcedure="false">{"fdsup://directions/FAT Viewer?action=UPDATE&amp;creator=factset&amp;DYN_ARGS=TRUE&amp;DOC_NAME=FAT:FQL_AUDITING_CLIENT_TEMPLATE.FAT&amp;display_string=Audit&amp;VAR:KEY=ZERGNKPCHK&amp;VAR:QUERY=KEZTTF9ORVRfSU5DKE5PVyxOT1csRlNBLCxVU0QpQEZGX05FVF9JTkMoTFRNUywwLCwsLFVTRCkp&amp;WINDOW=F","IRST_POPUP&amp;HEIGHT=450&amp;WIDTH=450&amp;START_MAXIMIZED=FALSE&amp;VAR:CALENDAR=US&amp;VAR:SYMBOL=DMAN&amp;VAR:INDEX=0"}</definedName>
    <definedName function="false" hidden="true" name="_242__FDSAUDITLINK__" vbProcedure="false">{"fdsup://directions/FAT Viewer?action=UPDATE&amp;creator=factset&amp;DYN_ARGS=TRUE&amp;DOC_NAME=FAT:FQL_AUDITING_CLIENT_TEMPLATE.FAT&amp;display_string=Audit&amp;VAR:KEY=PSXUBYRORW&amp;VAR:QUERY=RkZfRUJJVERBX09QRVIoTFRNLDAsLCwsVVNEKQ==&amp;WINDOW=FIRST_POPUP&amp;HEIGHT=450&amp;WIDTH=450&amp;STAR","T_MAXIMIZED=FALSE&amp;VAR:CALENDAR=US&amp;VAR:SYMBOL=CBEY&amp;VAR:INDEX=0"}</definedName>
    <definedName function="false" hidden="true" name="_2430__FDSAUDITLINK__" vbProcedure="false">{"fdsup://directions/FAT Viewer?action=UPDATE&amp;creator=factset&amp;DYN_ARGS=TRUE&amp;DOC_NAME=FAT:FQL_AUDITING_CLIENT_TEMPLATE.FAT&amp;display_string=Audit&amp;VAR:KEY=TYPSBILMRK&amp;VAR:QUERY=KEZTTF9ORVRfSU5DKE5PVyxOT1csRlNBLCxVU0QpQEZGX05FVF9JTkMoTFRNUywwLCwsLFVTRCkp&amp;WINDOW=F","IRST_POPUP&amp;HEIGHT=450&amp;WIDTH=450&amp;START_MAXIMIZED=FALSE&amp;VAR:CALENDAR=US&amp;VAR:SYMBOL=PRO&amp;VAR:INDEX=0"}</definedName>
    <definedName function="false" hidden="true" name="_2431__FDSAUDITLINK__" vbProcedure="false">{"fdsup://directions/FAT Viewer?action=UPDATE&amp;creator=factset&amp;DYN_ARGS=TRUE&amp;DOC_NAME=FAT:FQL_AUDITING_CLIENT_TEMPLATE.FAT&amp;display_string=Audit&amp;VAR:KEY=LIZGLOZEJQ&amp;VAR:QUERY=KEZTTF9ORVRfSU5DKE5PVyxOT1csRlNBLCxVU0QpQEZGX05FVF9JTkMoTFRNUywwLCwsLFVTRCkp&amp;WINDOW=F","IRST_POPUP&amp;HEIGHT=450&amp;WIDTH=450&amp;START_MAXIMIZED=FALSE&amp;VAR:CALENDAR=US&amp;VAR:SYMBOL=774372&amp;VAR:INDEX=0"}</definedName>
    <definedName function="false" hidden="true" name="_2432__FDSAUDITLINK__" vbProcedure="false">{"fdsup://directions/FAT Viewer?action=UPDATE&amp;creator=factset&amp;DYN_ARGS=TRUE&amp;DOC_NAME=FAT:FQL_AUDITING_CLIENT_TEMPLATE.FAT&amp;display_string=Audit&amp;VAR:KEY=JUTMVKLM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ANH&amp;VAR:INDEX=0"}</definedName>
    <definedName function="false" hidden="true" name="_2433__FDSAUDITLINK__" vbProcedure="false">{"fdsup://directions/FAT Viewer?action=UPDATE&amp;creator=factset&amp;DYN_ARGS=TRUE&amp;DOC_NAME=FAT:FQL_AUDITING_CLIENT_TEMPLATE.FAT&amp;display_string=Audit&amp;VAR:KEY=VMPYFOTGPU&amp;VAR:QUERY=KEZTTF9ORVRfSU5DKE5PVyxOT1csRlNBLCxVU0QpQEZGX05FVF9JTkMoTFRNUywwLCwsLFVTRCkp&amp;WINDOW=F","IRST_POPUP&amp;HEIGHT=450&amp;WIDTH=450&amp;START_MAXIMIZED=FALSE&amp;VAR:CALENDAR=US&amp;VAR:SYMBOL=CNQR&amp;VAR:INDEX=0"}</definedName>
    <definedName function="false" hidden="true" name="_2434__FDSAUDITLINK__" vbProcedure="false">{"fdsup://directions/FAT Viewer?action=UPDATE&amp;creator=factset&amp;DYN_ARGS=TRUE&amp;DOC_NAME=FAT:FQL_AUDITING_CLIENT_TEMPLATE.FAT&amp;display_string=Audit&amp;VAR:KEY=ZGLONEBMLO&amp;VAR:QUERY=KEZTTF9ORVRfSU5DKE5PVyxOT1csRlNBLCxVU0QpQEZGX05FVF9JTkMoTFRNUywwLCwsLFVTRCkp&amp;WINDOW=F","IRST_POPUP&amp;HEIGHT=450&amp;WIDTH=450&amp;START_MAXIMIZED=FALSE&amp;VAR:CALENDAR=US&amp;VAR:SYMBOL=MCRS&amp;VAR:INDEX=0"}</definedName>
    <definedName function="false" hidden="true" name="_2435__FDSAUDITLINK__" vbProcedure="false">{"fdsup://directions/FAT Viewer?action=UPDATE&amp;creator=factset&amp;DYN_ARGS=TRUE&amp;DOC_NAME=FAT:FQL_AUDITING_CLIENT_TEMPLATE.FAT&amp;display_string=Audit&amp;VAR:KEY=TODEVIJY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TC&amp;VAR:INDEX=0"}</definedName>
    <definedName function="false" hidden="true" name="_2436__FDSAUDITLINK__" vbProcedure="false">{"fdsup://directions/FAT Viewer?action=UPDATE&amp;creator=factset&amp;DYN_ARGS=TRUE&amp;DOC_NAME=FAT:FQL_AUDITING_CLIENT_TEMPLATE.FAT&amp;display_string=Audit&amp;VAR:KEY=NWVOXODQD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408188&amp;VAR:INDEX=0"}</definedName>
    <definedName function="false" hidden="true" name="_2437__FDSAUDITLINK__" vbProcedure="false">{"fdsup://directions/FAT Viewer?action=UPDATE&amp;creator=factset&amp;DYN_ARGS=TRUE&amp;DOC_NAME=FAT:FQL_AUDITING_CLIENT_TEMPLATE.FAT&amp;display_string=Audit&amp;VAR:KEY=TIDIBIZIX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577592&amp;VAR:INDEX=0"}</definedName>
    <definedName function="false" hidden="true" name="_2438__FDSAUDITLINK__" vbProcedure="false">{"fdsup://directions/FAT Viewer?action=UPDATE&amp;creator=factset&amp;DYN_ARGS=TRUE&amp;DOC_NAME=FAT:FQL_AUDITING_CLIENT_TEMPLATE.FAT&amp;display_string=Audit&amp;VAR:KEY=NYPONELQ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034R7&amp;VAR:INDEX=0"}</definedName>
    <definedName function="false" hidden="true" name="_2439__FDSAUDITLINK__" vbProcedure="false">{"fdsup://directions/FAT Viewer?action=UPDATE&amp;creator=factset&amp;DYN_ARGS=TRUE&amp;DOC_NAME=FAT:FQL_AUDITING_CLIENT_TEMPLATE.FAT&amp;display_string=Audit&amp;VAR:KEY=PWLUDETQH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MSWA&amp;VAR:INDEX=0"}</definedName>
    <definedName function="false" hidden="true" name="_243__FDSAUDITLINK__" vbProcedure="false">{"fdsup://directions/FAT Viewer?action=UPDATE&amp;creator=factset&amp;DYN_ARGS=TRUE&amp;DOC_NAME=FAT:FQL_AUDITING_CLIENT_TEMPLATE.FAT&amp;display_string=Audit&amp;VAR:KEY=HWTKTMDCLI&amp;VAR:QUERY=RkZfRUJJVERBX09QRVIoTFRNLDAsLCwsVVNEKQ==&amp;WINDOW=FIRST_POPUP&amp;HEIGHT=450&amp;WIDTH=450&amp;STAR","T_MAXIMIZED=FALSE&amp;VAR:CALENDAR=US&amp;VAR:SYMBOL=KEG&amp;VAR:INDEX=0"}</definedName>
    <definedName function="false" hidden="true" name="_2440__FDSAUDITLINK__" vbProcedure="false">{"fdsup://directions/FAT Viewer?action=UPDATE&amp;creator=factset&amp;DYN_ARGS=TRUE&amp;DOC_NAME=FAT:FQL_AUDITING_CLIENT_TEMPLATE.FAT&amp;display_string=Audit&amp;VAR:KEY=JEHQNUDI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CS&amp;VAR:INDEX=0"}</definedName>
    <definedName function="false" hidden="true" name="_2441__FDSAUDITLINK__" vbProcedure="false">{"fdsup://directions/FAT Viewer?action=UPDATE&amp;creator=factset&amp;DYN_ARGS=TRUE&amp;DOC_NAME=FAT:FQL_AUDITING_CLIENT_TEMPLATE.FAT&amp;display_string=Audit&amp;VAR:KEY=BMFOXYBYL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282VW&amp;VAR:INDEX=0"}</definedName>
    <definedName function="false" hidden="true" name="_2442__FDSAUDITLINK__" vbProcedure="false">{"fdsup://directions/FAT Viewer?action=UPDATE&amp;creator=factset&amp;DYN_ARGS=TRUE&amp;DOC_NAME=FAT:FQL_AUDITING_CLIENT_TEMPLATE.FAT&amp;display_string=Audit&amp;VAR:KEY=ROJYLQXU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596091&amp;VAR:INDEX=0"}</definedName>
    <definedName function="false" hidden="true" name="_2443__FDSAUDITLINK__" vbProcedure="false">{"fdsup://directions/FAT Viewer?action=UPDATE&amp;creator=factset&amp;DYN_ARGS=TRUE&amp;DOC_NAME=FAT:FQL_AUDITING_CLIENT_TEMPLATE.FAT&amp;display_string=Audit&amp;VAR:KEY=JALIZSDITU&amp;VAR:QUERY=KEZTTF9ORVRfSU5DKE5PVyxOT1csRlNBLCxVU0QpQEZGX05FVF9JTkMoTFRNUywwLCwsLFVTRCkp&amp;WINDOW=F","IRST_POPUP&amp;HEIGHT=450&amp;WIDTH=450&amp;START_MAXIMIZED=FALSE&amp;VAR:CALENDAR=US&amp;VAR:SYMBOL=073833&amp;VAR:INDEX=0"}</definedName>
    <definedName function="false" hidden="true" name="_2444__FDSAUDITLINK__" vbProcedure="false">{"fdsup://directions/FAT Viewer?action=UPDATE&amp;creator=factset&amp;DYN_ARGS=TRUE&amp;DOC_NAME=FAT:FQL_AUDITING_CLIENT_TEMPLATE.FAT&amp;display_string=Audit&amp;VAR:KEY=HCPGDMVKPI&amp;VAR:QUERY=KEZTTF9ORVRfSU5DKE5PVyxOT1csRlNBLCxVU0QpQEZGX05FVF9JTkMoTFRNUywwLCwsLFVTRCkp&amp;WINDOW=F","IRST_POPUP&amp;HEIGHT=450&amp;WIDTH=450&amp;START_MAXIMIZED=FALSE&amp;VAR:CALENDAR=US&amp;VAR:SYMBOL=214194&amp;VAR:INDEX=0"}</definedName>
    <definedName function="false" hidden="true" name="_2445__FDSAUDITLINK__" vbProcedure="false">{"fdsup://directions/FAT Viewer?action=UPDATE&amp;creator=factset&amp;DYN_ARGS=TRUE&amp;DOC_NAME=FAT:FQL_AUDITING_CLIENT_TEMPLATE.FAT&amp;display_string=Audit&amp;VAR:KEY=LQDQBINO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420904&amp;VAR:INDEX=0"}</definedName>
    <definedName function="false" hidden="true" name="_2446__FDSAUDITLINK__" vbProcedure="false">{"fdsup://Directions/FactSet Auditing Viewer?action=AUDIT_VALUE&amp;DB=129&amp;ID1=81628820&amp;VALUEID=02001&amp;SDATE=201001&amp;PERIODTYPE=QTR_STD&amp;window=popup_no_bar&amp;width=385&amp;height=120&amp;START_MAXIMIZED=FALSE&amp;creator=factset&amp;display_string=Audit"}</definedName>
    <definedName function="false" hidden="true" name="_2447__FDSAUDITLINK__" vbProcedure="false">{"fdsup://Directions/FactSet Auditing Viewer?action=AUDIT_VALUE&amp;DB=129&amp;ID1=408188&amp;VALUEID=02001&amp;SDATE=201002&amp;PERIODTYPE=QTR_STD&amp;window=popup_no_bar&amp;width=385&amp;height=120&amp;START_MAXIMIZED=FALSE&amp;creator=factset&amp;display_string=Audit"}</definedName>
    <definedName function="false" hidden="true" name="_2448__FDSAUDITLINK__" vbProcedure="false">{"fdsup://Directions/FactSet Auditing Viewer?action=AUDIT_VALUE&amp;DB=129&amp;ID1=577592&amp;VALUEID=02001&amp;SDATE=201001&amp;PERIODTYPE=QTR_STD&amp;window=popup_no_bar&amp;width=385&amp;height=120&amp;START_MAXIMIZED=FALSE&amp;creator=factset&amp;display_string=Audit"}</definedName>
    <definedName function="false" hidden="true" name="_2449__FDSAUDITLINK__" vbProcedure="false">{"fdsup://Directions/FactSet Auditing Viewer?action=AUDIT_VALUE&amp;DB=129&amp;ID1=B034R7&amp;VALUEID=02001&amp;SDATE=200902&amp;PERIODTYPE=SEMI_STD&amp;window=popup_no_bar&amp;width=385&amp;height=120&amp;START_MAXIMIZED=FALSE&amp;creator=factset&amp;display_string=Audit"}</definedName>
    <definedName function="false" hidden="true" name="_244__FDSAUDITLINK__" vbProcedure="false">{"fdsup://Directions/FactSet Auditing Viewer?action=AUDIT_VALUE&amp;DB=129&amp;ID1=45840J10&amp;VALUEID=02001&amp;SDATE=201002&amp;PERIODTYPE=QTR_STD&amp;window=popup_no_bar&amp;width=385&amp;height=120&amp;START_MAXIMIZED=FALSE&amp;creator=factset&amp;display_string=Audit"}</definedName>
    <definedName function="false" hidden="true" name="_2450__FDSAUDITLINK__" vbProcedure="false">{"fdsup://Directions/FactSet Auditing Viewer?action=AUDIT_VALUE&amp;DB=129&amp;ID1=569496&amp;VALUEID=02001&amp;SDATE=201001&amp;PERIODTYPE=SEMI_STD&amp;window=popup_no_bar&amp;width=385&amp;height=120&amp;START_MAXIMIZED=FALSE&amp;creator=factset&amp;display_string=Audit"}</definedName>
    <definedName function="false" hidden="true" name="_2451__FDSAUDITLINK__" vbProcedure="false">{"fdsup://directions/FAT Viewer?action=UPDATE&amp;creator=factset&amp;DYN_ARGS=TRUE&amp;DOC_NAME=FAT:FQL_AUDITING_CLIENT_TEMPLATE.FAT&amp;display_string=Audit&amp;VAR:KEY=REPYFQTKF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WK&amp;VAR:INDEX=0"}</definedName>
    <definedName function="false" hidden="true" name="_2452__FDSAUDITLINK__" vbProcedure="false">{"fdsup://Directions/FactSet Auditing Viewer?action=AUDIT_VALUE&amp;DB=129&amp;ID1=B282VW&amp;VALUEID=02001&amp;SDATE=201001&amp;PERIODTYPE=SEMI_STD&amp;window=popup_no_bar&amp;width=385&amp;height=120&amp;START_MAXIMIZED=FALSE&amp;creator=factset&amp;display_string=Audit"}</definedName>
    <definedName function="false" hidden="true" name="_2453__FDSAUDITLINK__" vbProcedure="false">{"fdsup://Directions/FactSet Auditing Viewer?action=AUDIT_VALUE&amp;DB=129&amp;ID1=596091&amp;VALUEID=02001&amp;SDATE=201002&amp;PERIODTYPE=QTR_STD&amp;window=popup_no_bar&amp;width=385&amp;height=120&amp;START_MAXIMIZED=FALSE&amp;creator=factset&amp;display_string=Audit"}</definedName>
    <definedName function="false" hidden="true" name="_2454__FDSAUDITLINK__" vbProcedure="false">{"fdsup://Directions/FactSet Auditing Viewer?action=AUDIT_VALUE&amp;DB=129&amp;ID1=594245&amp;VALUEID=02001&amp;SDATE=201002&amp;PERIODTYPE=QTR_STD&amp;window=popup_no_bar&amp;width=385&amp;height=120&amp;START_MAXIMIZED=FALSE&amp;creator=factset&amp;display_string=Audit"}</definedName>
    <definedName function="false" hidden="true" name="_2455__FDSAUDITLINK__" vbProcedure="false">{"fdsup://directions/FAT Viewer?action=UPDATE&amp;creator=factset&amp;DYN_ARGS=TRUE&amp;DOC_NAME=FAT:FQL_AUDITING_CLIENT_TEMPLATE.FAT&amp;display_string=Audit&amp;VAR:KEY=TELKFGPUXQ&amp;VAR:QUERY=KEZTTF9ORVRfSU5DKE5PVyxOT1csRlNBLCxVU0QpQEZGX05FVF9JTkMoTFRNUywwLCwsLFVTRCkp&amp;WINDOW=F","IRST_POPUP&amp;HEIGHT=450&amp;WIDTH=450&amp;START_MAXIMIZED=FALSE&amp;VAR:CALENDAR=US&amp;VAR:SYMBOL=MANH&amp;VAR:INDEX=0"}</definedName>
    <definedName function="false" hidden="true" name="_2456__FDSAUDITLINK__" vbProcedure="false">{"fdsup://Directions/FactSet Auditing Viewer?action=AUDIT_VALUE&amp;DB=129&amp;ID1=B04TRX&amp;VALUEID=02001&amp;SDATE=201003&amp;PERIODTYPE=QTR_STD&amp;window=popup_no_bar&amp;width=385&amp;height=120&amp;START_MAXIMIZED=FALSE&amp;creator=factset&amp;display_string=Audit"}</definedName>
    <definedName function="false" hidden="true" name="_2457__FDSAUDITLINK__" vbProcedure="false">{"fdsup://Directions/FactSet Auditing Viewer?action=AUDIT_VALUE&amp;DB=129&amp;ID1=64115A20&amp;VALUEID=02001&amp;SDATE=201004&amp;PERIODTYPE=QTR_STD&amp;window=popup_no_bar&amp;width=385&amp;height=120&amp;START_MAXIMIZED=FALSE&amp;creator=factset&amp;display_string=Audit"}</definedName>
    <definedName function="false" hidden="true" name="_2458__FDSAUDITLINK__" vbProcedure="false">{"fdsup://Directions/FactSet Auditing Viewer?action=AUDIT_VALUE&amp;DB=129&amp;ID1=68372A10&amp;VALUEID=02001&amp;SDATE=201002&amp;PERIODTYPE=QTR_STD&amp;window=popup_no_bar&amp;width=385&amp;height=120&amp;START_MAXIMIZED=FALSE&amp;creator=factset&amp;display_string=Audit"}</definedName>
    <definedName function="false" hidden="true" name="_2459__FDSAUDITLINK__" vbProcedure="false">{"fdsup://Directions/FactSet Auditing Viewer?action=AUDIT_VALUE&amp;DB=129&amp;ID1=594327&amp;VALUEID=02001&amp;SDATE=201002&amp;PERIODTYPE=QTR_STD&amp;window=popup_no_bar&amp;width=385&amp;height=120&amp;START_MAXIMIZED=FALSE&amp;creator=factset&amp;display_string=Audit"}</definedName>
    <definedName function="false" hidden="true" name="_245__FDSAUDITLINK__" vbProcedure="false">{"fdsup://directions/FAT Viewer?action=UPDATE&amp;creator=factset&amp;DYN_ARGS=TRUE&amp;DOC_NAME=FAT:FQL_AUDITING_CLIENT_TEMPLATE.FAT&amp;display_string=Audit&amp;VAR:KEY=VGJWLKFSDM&amp;VAR:QUERY=RkZfRUJJVERBX09QRVIoTFRNLDAsLCwsVVNEKQ==&amp;WINDOW=FIRST_POPUP&amp;HEIGHT=450&amp;WIDTH=450&amp;STAR","T_MAXIMIZED=FALSE&amp;VAR:CALENDAR=US&amp;VAR:SYMBOL=SUNH&amp;VAR:INDEX=0"}</definedName>
    <definedName function="false" hidden="true" name="_2460__FDSAUDITLINK__" vbProcedure="false">{"fdsup://Directions/FactSet Auditing Viewer?action=AUDIT_VALUE&amp;DB=129&amp;ID1=64118Q10&amp;VALUEID=02001&amp;SDATE=201002&amp;PERIODTYPE=QTR_STD&amp;window=popup_no_bar&amp;width=385&amp;height=120&amp;START_MAXIMIZED=FALSE&amp;creator=factset&amp;display_string=Audit"}</definedName>
    <definedName function="false" hidden="true" name="_2461__FDSAUDITLINK__" vbProcedure="false">{"fdsup://Directions/FactSet Auditing Viewer?action=AUDIT_VALUE&amp;DB=129&amp;ID1=69888410&amp;VALUEID=02001&amp;SDATE=201002&amp;PERIODTYPE=QTR_STD&amp;window=popup_no_bar&amp;width=385&amp;height=120&amp;START_MAXIMIZED=FALSE&amp;creator=factset&amp;display_string=Audit"}</definedName>
    <definedName function="false" hidden="true" name="_2462__FDSAUDITLINK__" vbProcedure="false">{"fdsup://Directions/FactSet Auditing Viewer?action=AUDIT_VALUE&amp;DB=129&amp;ID1=74727D10&amp;VALUEID=02001&amp;SDATE=201002&amp;PERIODTYPE=QTR_STD&amp;window=popup_no_bar&amp;width=385&amp;height=120&amp;START_MAXIMIZED=FALSE&amp;creator=factset&amp;display_string=Audit"}</definedName>
    <definedName function="false" hidden="true" name="_2463__FDSAUDITLINK__" vbProcedure="false">{"fdsup://directions/FAT Viewer?action=UPDATE&amp;creator=factset&amp;DYN_ARGS=TRUE&amp;DOC_NAME=FAT:FQL_AUDITING_CLIENT_TEMPLATE.FAT&amp;display_string=Audit&amp;VAR:KEY=PQHCZMVC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O&amp;VAR:INDEX=0"}</definedName>
    <definedName function="false" hidden="true" name="_2464__FDSAUDITLINK__" vbProcedure="false">{"fdsup://directions/FAT Viewer?action=UPDATE&amp;creator=factset&amp;DYN_ARGS=TRUE&amp;DOC_NAME=FAT:FQL_AUDITING_CLIENT_TEMPLATE.FAT&amp;display_string=Audit&amp;VAR:KEY=TEHKRINIJO&amp;VAR:QUERY=KEZTTF9ORVRfSU5DKE5PVyxOT1csRlNBLCxVU0QpQEZGX05FVF9JTkMoTFRNUywwLCwsLFVTRCkp&amp;WINDOW=F","IRST_POPUP&amp;HEIGHT=450&amp;WIDTH=450&amp;START_MAXIMIZED=FALSE&amp;VAR:CALENDAR=US&amp;VAR:SYMBOL=473247&amp;VAR:INDEX=0"}</definedName>
    <definedName function="false" hidden="true" name="_2465__FDSAUDITLINK__" vbProcedure="false">{"fdsup://directions/FAT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function="false" hidden="true" name="_2466__FDSAUDITLINK__" vbProcedure="false">{"fdsup://Directions/FactSet Auditing Viewer?action=AUDIT_VALUE&amp;DB=129&amp;ID1=78463M10&amp;VALUEID=02001&amp;SDATE=201002&amp;PERIODTYPE=QTR_STD&amp;window=popup_no_bar&amp;width=385&amp;height=120&amp;START_MAXIMIZED=FALSE&amp;creator=factset&amp;display_string=Audit"}</definedName>
    <definedName function="false" hidden="true" name="_2467__FDSAUDITLINK__" vbProcedure="false">{"fdsup://Directions/FactSet Auditing Viewer?action=AUDIT_VALUE&amp;DB=129&amp;ID1=536488&amp;VALUEID=02001&amp;SDATE=201002&amp;PERIODTYPE=QTR_STD&amp;window=popup_no_bar&amp;width=385&amp;height=120&amp;START_MAXIMIZED=FALSE&amp;creator=factset&amp;display_string=Audit"}</definedName>
    <definedName function="false" hidden="true" name="_2468__FDSAUDITLINK__" vbProcedure="false">{"fdsup://directions/FAT Viewer?action=UPDATE&amp;creator=factset&amp;DYN_ARGS=TRUE&amp;DOC_NAME=FAT:FQL_AUDITING_CLIENT_TEMPLATE.FAT&amp;display_string=Audit&amp;VAR:KEY=VKVQJOXKRA&amp;VAR:QUERY=KEZTTF9ORVRfSU5DKE5PVyxOT1csRlNBLCxVU0QpQEZGX05FVF9JTkMoTFRNUywwLCwsLFVTRCkp&amp;WINDOW=F","IRST_POPUP&amp;HEIGHT=450&amp;WIDTH=450&amp;START_MAXIMIZED=FALSE&amp;VAR:CALENDAR=US&amp;VAR:SYMBOL=SQI&amp;VAR:INDEX=0"}</definedName>
    <definedName function="false" hidden="true" name="_2469__FDSAUDITLINK__" vbProcedure="false">{"fdsup://Directions/FactSet Auditing Viewer?action=AUDIT_VALUE&amp;DB=129&amp;ID1=45336E10&amp;VALUEID=02001&amp;SDATE=201002&amp;PERIODTYPE=QTR_STD&amp;window=popup_no_bar&amp;width=385&amp;height=120&amp;START_MAXIMIZED=FALSE&amp;creator=factset&amp;display_string=Audit"}</definedName>
    <definedName function="false" hidden="true" name="_246__FDSAUDITLINK__" vbProcedure="false">{"fdsup://directions/FAT Viewer?action=UPDATE&amp;creator=factset&amp;DYN_ARGS=TRUE&amp;DOC_NAME=FAT:FQL_AUDITING_CLIENT_TEMPLATE.FAT&amp;display_string=Audit&amp;VAR:KEY=PGLIPSJWDW&amp;VAR:QUERY=RkZfRUJJVERBX09QRVIoTFRNLDAsLCwsVVNEKQ==&amp;WINDOW=FIRST_POPUP&amp;HEIGHT=450&amp;WIDTH=450&amp;STAR","T_MAXIMIZED=FALSE&amp;VAR:CALENDAR=US&amp;VAR:SYMBOL=MANT&amp;VAR:INDEX=0"}</definedName>
    <definedName function="false" hidden="true" name="_2470__FDSAUDITLINK__" vbProcedure="false">{"fdsup://Directions/FactSet Auditing Viewer?action=AUDIT_VALUE&amp;DB=129&amp;ID1=74346Y10&amp;VALUEID=02001&amp;SDATE=201002&amp;PERIODTYPE=QTR_STD&amp;window=popup_no_bar&amp;width=385&amp;height=120&amp;START_MAXIMIZED=FALSE&amp;creator=factset&amp;display_string=Audit"}</definedName>
    <definedName function="false" hidden="true" name="_2471__FDSAUDITLINK__" vbProcedure="false">{"fdsup://Directions/FactSet Auditing Viewer?action=AUDIT_VALUE&amp;DB=129&amp;ID1=774372&amp;VALUEID=02001&amp;SDATE=201001&amp;PERIODTYPE=SEMI_STD&amp;window=popup_no_bar&amp;width=385&amp;height=120&amp;START_MAXIMIZED=FALSE&amp;creator=factset&amp;display_string=Audit"}</definedName>
    <definedName function="false" hidden="true" name="_2472__FDSAUDITLINK__" vbProcedure="false">{"fdsup://Directions/FactSet Auditing Viewer?action=AUDIT_VALUE&amp;DB=129&amp;ID1=52078P10&amp;VALUEID=02001&amp;SDATE=201001&amp;PERIODTYPE=QTR_STD&amp;window=popup_no_bar&amp;width=385&amp;height=120&amp;START_MAXIMIZED=FALSE&amp;creator=factset&amp;display_string=Audit"}</definedName>
    <definedName function="false" hidden="true" name="_2473__FDSAUDITLINK__" vbProcedure="false">{"fdsup://Directions/FactSet Auditing Viewer?action=AUDIT_VALUE&amp;DB=129&amp;ID1=20670810&amp;VALUEID=02001&amp;SDATE=201003&amp;PERIODTYPE=QTR_STD&amp;window=popup_no_bar&amp;width=385&amp;height=120&amp;START_MAXIMIZED=FALSE&amp;creator=factset&amp;display_string=Audit"}</definedName>
    <definedName function="false" hidden="true" name="_2474__FDSAUDITLINK__" vbProcedure="false">{"fdsup://Directions/FactSet Auditing Viewer?action=AUDIT_VALUE&amp;DB=129&amp;ID1=59490110&amp;VALUEID=02001&amp;SDATE=201004&amp;PERIODTYPE=QTR_STD&amp;window=popup_no_bar&amp;width=385&amp;height=120&amp;START_MAXIMIZED=FALSE&amp;creator=factset&amp;display_string=Audit"}</definedName>
    <definedName function="false" hidden="true" name="_2475__FDSAUDITLINK__" vbProcedure="false">{"fdsup://directions/FAT Viewer?action=UPDATE&amp;creator=factset&amp;DYN_ARGS=TRUE&amp;DOC_NAME=FAT:FQL_AUDITING_CLIENT_TEMPLATE.FAT&amp;display_string=Audit&amp;VAR:KEY=JIBEZILW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434973&amp;VAR:INDEX=0"}</definedName>
    <definedName function="false" hidden="true" name="_2476__FDSAUDITLINK__" vbProcedure="false">{"fdsup://directions/FAT Viewer?action=UPDATE&amp;creator=factset&amp;DYN_ARGS=TRUE&amp;DOC_NAME=FAT:FQL_AUDITING_CLIENT_TEMPLATE.FAT&amp;display_string=Audit&amp;VAR:KEY=TUVWZUFI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04TRX&amp;VAR:INDEX=0"}</definedName>
    <definedName function="false" hidden="true" name="_2477__FDSAUDITLINK__" vbProcedure="false">{"fdsup://Directions/FactSet Auditing Viewer?action=AUDIT_VALUE&amp;DB=129&amp;ID1=214194&amp;VALUEID=02001&amp;SDATE=201002&amp;PERIODTYPE=QTR_STD&amp;window=popup_no_bar&amp;width=385&amp;height=120&amp;START_MAXIMIZED=FALSE&amp;creator=factset&amp;display_string=Audit"}</definedName>
    <definedName function="false" hidden="true" name="_2478__FDSAUDITLINK__" vbProcedure="false">{"fdsup://directions/FAT Viewer?action=UPDATE&amp;creator=factset&amp;DYN_ARGS=TRUE&amp;DOC_NAME=FAT:FQL_AUDITING_CLIENT_TEMPLATE.FAT&amp;display_string=Audit&amp;VAR:KEY=BGZCPAJS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473247&amp;VAR:INDEX=0"}</definedName>
    <definedName function="false" hidden="true" name="_2479__FDSAUDITLINK__" vbProcedure="false">{"fdsup://directions/FAT Viewer?action=UPDATE&amp;creator=factset&amp;DYN_ARGS=TRUE&amp;DOC_NAME=FAT:FQL_AUDITING_CLIENT_TEMPLATE.FAT&amp;display_string=Audit&amp;VAR:KEY=BMTQTYXKX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594327&amp;VAR:INDEX=0"}</definedName>
    <definedName function="false" hidden="true" name="_247__FDSAUDITLINK__" vbProcedure="false">{"fdsup://directions/FAT Viewer?action=UPDATE&amp;creator=factset&amp;DYN_ARGS=TRUE&amp;DOC_NAME=FAT:FQL_AUDITING_CLIENT_TEMPLATE.FAT&amp;display_string=Audit&amp;VAR:KEY=NMXYXOLIBQ&amp;VAR:QUERY=RkZfRUJJVERBX09QRVIoTFRNLDAsLCwsVVNEKQ==&amp;WINDOW=FIRST_POPUP&amp;HEIGHT=450&amp;WIDTH=450&amp;STAR","T_MAXIMIZED=FALSE&amp;VAR:CALENDAR=US&amp;VAR:SYMBOL=TPX&amp;VAR:INDEX=0"}</definedName>
    <definedName function="false" hidden="true" name="_2480__FDSAUDITLINK__" vbProcedure="false">{"fdsup://directions/FAT Viewer?action=UPDATE&amp;creator=factset&amp;DYN_ARGS=TRUE&amp;DOC_NAME=FAT:FQL_AUDITING_CLIENT_TEMPLATE.FAT&amp;display_string=Audit&amp;VAR:KEY=DSRKHOBM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AS&amp;VAR:INDEX=0"}</definedName>
    <definedName function="false" hidden="true" name="_2481__FDSAUDITLINK__" vbProcedure="false">{"fdsup://directions/FAT Viewer?action=UPDATE&amp;creator=factset&amp;DYN_ARGS=TRUE&amp;DOC_NAME=FAT:FQL_AUDITING_CLIENT_TEMPLATE.FAT&amp;display_string=Audit&amp;VAR:KEY=HORONQDC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ADI&amp;VAR:INDEX=0"}</definedName>
    <definedName function="false" hidden="true" name="_2482__FDSAUDITLINK__" vbProcedure="false">{"fdsup://directions/FAT Viewer?action=UPDATE&amp;creator=factset&amp;DYN_ARGS=TRUE&amp;DOC_NAME=FAT:FQL_AUDITING_CLIENT_TEMPLATE.FAT&amp;display_string=Audit&amp;VAR:KEY=TMDCJGHWZS&amp;VAR:QUERY=KEZTTF9ORVRfSU5DKE5PVyxOT1csRlNBLCxVU0QpQEZGX05FVF9JTkMoTFRNUywwLCwsLFVTRCkp&amp;WINDOW=F","IRST_POPUP&amp;HEIGHT=450&amp;WIDTH=450&amp;START_MAXIMIZED=FALSE&amp;VAR:CALENDAR=US&amp;VAR:SYMBOL=PCYG&amp;VAR:INDEX=0"}</definedName>
    <definedName function="false" hidden="true" name="_2483__FDSAUDITLINK__" vbProcedure="false">{"fdsup://directions/FAT Viewer?action=UPDATE&amp;creator=factset&amp;DYN_ARGS=TRUE&amp;DOC_NAME=FAT:FQL_AUDITING_CLIENT_TEMPLATE.FAT&amp;display_string=Audit&amp;VAR:KEY=PMLCTCFM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073833&amp;VAR:INDEX=0"}</definedName>
    <definedName function="false" hidden="true" name="_2484__FDSAUDITLINK__" vbProcedure="false">{"fdsup://Directions/FactSet Auditing Viewer?action=AUDIT_VALUE&amp;DB=129&amp;ID1=24784L10&amp;VALUEID=02001&amp;SDATE=201002&amp;PERIODTYPE=QTR_STD&amp;window=popup_no_bar&amp;width=385&amp;height=120&amp;START_MAXIMIZED=FALSE&amp;creator=factset&amp;display_string=Audit"}</definedName>
    <definedName function="false" hidden="true" name="_2485__FDSAUDITLINK__" vbProcedure="false">{"fdsup://directions/FAT Viewer?action=UPDATE&amp;creator=factset&amp;DYN_ARGS=TRUE&amp;DOC_NAME=FAT:FQL_AUDITING_CLIENT_TEMPLATE.FAT&amp;display_string=Audit&amp;VAR:KEY=BQPKVMJK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073833&amp;VAR:INDEX=0"}</definedName>
    <definedName function="false" hidden="true" name="_2486__FDSAUDITLINK__" vbProcedure="false">{"fdsup://directions/FAT Viewer?action=UPDATE&amp;creator=factset&amp;DYN_ARGS=TRUE&amp;DOC_NAME=FAT:FQL_AUDITING_CLIENT_TEMPLATE.FAT&amp;display_string=Audit&amp;VAR:KEY=LCTWFGHC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function="false" hidden="true" name="_2487__FDSAUDITLINK__" vbProcedure="false">{"fdsup://directions/FAT Viewer?action=UPDATE&amp;creator=factset&amp;DYN_ARGS=TRUE&amp;DOC_NAME=FAT:FQL_AUDITING_CLIENT_TEMPLATE.FAT&amp;display_string=Audit&amp;VAR:KEY=ZGTSFADAF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536488&amp;VAR:INDEX=0"}</definedName>
    <definedName function="false" hidden="true" name="_2488__FDSAUDITLINK__" vbProcedure="false">{"fdsup://directions/FAT Viewer?action=UPDATE&amp;creator=factset&amp;DYN_ARGS=TRUE&amp;DOC_NAME=FAT:FQL_AUDITING_CLIENT_TEMPLATE.FAT&amp;display_string=Audit&amp;VAR:KEY=ZGZSJWBWL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068720&amp;VAR:INDEX=0"}</definedName>
    <definedName function="false" hidden="true" name="_2489__FDSAUDITLINK__" vbProcedure="false">{"fdsup://directions/FAT Viewer?action=UPDATE&amp;creator=factset&amp;DYN_ARGS=TRUE&amp;DOC_NAME=FAT:FQL_AUDITING_CLIENT_TEMPLATE.FAT&amp;display_string=Audit&amp;VAR:KEY=YXYTSZIPG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WSN&amp;VAR:INDEX=0"}</definedName>
    <definedName function="false" hidden="true" name="_248__FDSAUDITLINK__" vbProcedure="false">{"fdsup://directions/FAT Viewer?action=UPDATE&amp;creator=factset&amp;DYN_ARGS=TRUE&amp;DOC_NAME=FAT:FQL_AUDITING_CLIENT_TEMPLATE.FAT&amp;display_string=Audit&amp;VAR:KEY=LIDKROLSDK&amp;VAR:QUERY=RkZfRUJJVERBX09QRVIoTFRNLDAsLCwsVVNEKQ==&amp;WINDOW=FIRST_POPUP&amp;HEIGHT=450&amp;WIDTH=450&amp;STAR","T_MAXIMIZED=FALSE&amp;VAR:CALENDAR=US&amp;VAR:SYMBOL=SKH&amp;VAR:INDEX=0"}</definedName>
    <definedName function="false" hidden="true" name="_2490__FDSAUDITLINK__" vbProcedure="false">{"fdsup://Directions/FactSet Auditing Viewer?action=AUDIT_VALUE&amp;DB=129&amp;ID1=46612K10&amp;VALUEID=02001&amp;SDATE=201002&amp;PERIODTYPE=QTR_STD&amp;window=popup_no_bar&amp;width=385&amp;height=120&amp;START_MAXIMIZED=FALSE&amp;creator=factset&amp;display_string=Audit"}</definedName>
    <definedName function="false" hidden="true" name="_2491__FDSAUDITLINK__" vbProcedure="false">{"fdsup://directions/FAT Viewer?action=UPDATE&amp;creator=factset&amp;DYN_ARGS=TRUE&amp;DOC_NAME=FAT:FQL_AUDITING_CLIENT_TEMPLATE.FAT&amp;display_string=Audit&amp;VAR:KEY=FSTCZYVY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774372&amp;VAR:INDEX=0"}</definedName>
    <definedName function="false" hidden="true" name="_2492__FDSAUDITLINK__" vbProcedure="false">{"fdsup://directions/FAT Viewer?action=UPDATE&amp;creator=factset&amp;DYN_ARGS=TRUE&amp;DOC_NAME=FAT:FQL_AUDITING_CLIENT_TEMPLATE.FAT&amp;display_string=Audit&amp;VAR:KEY=FSTAVQDO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BA&amp;VAR:INDEX=0"}</definedName>
    <definedName function="false" hidden="true" name="_2493__FDSAUDITLINK__" vbProcedure="false">{"fdsup://directions/FAT Viewer?action=UPDATE&amp;creator=factset&amp;DYN_ARGS=TRUE&amp;DOC_NAME=FAT:FQL_AUDITING_CLIENT_TEMPLATE.FAT&amp;display_string=Audit&amp;VAR:KEY=JYJAHCL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QR&amp;VAR:INDEX=0"}</definedName>
    <definedName function="false" hidden="true" name="_2494__FDSAUDITLINK__" vbProcedure="false">{"fdsup://directions/FAT Viewer?action=UPDATE&amp;creator=factset&amp;DYN_ARGS=TRUE&amp;DOC_NAME=FAT:FQL_AUDITING_CLIENT_TEMPLATE.FAT&amp;display_string=Audit&amp;VAR:KEY=FQDUTAJI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RS&amp;VAR:INDEX=0"}</definedName>
    <definedName function="false" hidden="true" name="_2495__FDSAUDITLINK__" vbProcedure="false">{"fdsup://directions/FAT Viewer?action=UPDATE&amp;creator=factset&amp;DYN_ARGS=TRUE&amp;DOC_NAME=FAT:FQL_AUDITING_CLIENT_TEMPLATE.FAT&amp;display_string=Audit&amp;VAR:KEY=LAPUNEL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RN&amp;VAR:INDEX=0"}</definedName>
    <definedName function="false" hidden="true" name="_2496__FDSAUDITLINK__" vbProcedure="false">{"fdsup://directions/FAT Viewer?action=UPDATE&amp;creator=factset&amp;DYN_ARGS=TRUE&amp;DOC_NAME=FAT:FQL_AUDITING_CLIENT_TEMPLATE.FAT&amp;display_string=Audit&amp;VAR:KEY=HOPQRQRWLG&amp;VAR:QUERY=KEZTTF9ORVRfSU5DKE5PVyxOT1csRlNBLCxVU0QpQEZGX05FVF9JTkMoTFRNUywwLCwsLFVTRCkp&amp;WINDOW=F","IRST_POPUP&amp;HEIGHT=450&amp;WIDTH=450&amp;START_MAXIMIZED=FALSE&amp;VAR:CALENDAR=US&amp;VAR:SYMBOL=GVP&amp;VAR:INDEX=0"}</definedName>
    <definedName function="false" hidden="true" name="_2497__FDSAUDITLINK__" vbProcedure="false">{"fdsup://directions/FAT Viewer?action=UPDATE&amp;creator=factset&amp;DYN_ARGS=TRUE&amp;DOC_NAME=FAT:FQL_AUDITING_CLIENT_TEMPLATE.FAT&amp;display_string=Audit&amp;VAR:KEY=REZSDYBUXI&amp;VAR:QUERY=KEZTTF9ORVRfSU5DKE5PVyxOT1csRlNBLCxVU0QpQEZGX05FVF9JTkMoTFRNUywwLCwsLFVTRCkp&amp;WINDOW=F","IRST_POPUP&amp;HEIGHT=450&amp;WIDTH=450&amp;START_MAXIMIZED=FALSE&amp;VAR:CALENDAR=US&amp;VAR:SYMBOL=403191&amp;VAR:INDEX=0"}</definedName>
    <definedName function="false" hidden="true" name="_2498__FDSAUDITLINK__" vbProcedure="false">{"fdsup://directions/FAT Viewer?action=UPDATE&amp;creator=factset&amp;DYN_ARGS=TRUE&amp;DOC_NAME=FAT:FQL_AUDITING_CLIENT_TEMPLATE.FAT&amp;display_string=Audit&amp;VAR:KEY=PCNMJSPWTO&amp;VAR:QUERY=KEZTTF9ORVRfSU5DKE5PVyxOT1csRlNBLCxVU0QpQEZGX05FVF9JTkMoTFRNUywwLCwsLFVTRCkp&amp;WINDOW=F","IRST_POPUP&amp;HEIGHT=450&amp;WIDTH=450&amp;START_MAXIMIZED=FALSE&amp;VAR:CALENDAR=US&amp;VAR:SYMBOL=PDFS&amp;VAR:INDEX=0"}</definedName>
    <definedName function="false" hidden="true" name="_2499__FDSAUDITLINK__" vbProcedure="false">{"fdsup://directions/FAT Viewer?action=UPDATE&amp;creator=factset&amp;DYN_ARGS=TRUE&amp;DOC_NAME=FAT:FQL_AUDITING_CLIENT_TEMPLATE.FAT&amp;display_string=Audit&amp;VAR:KEY=BIFQRWNQLS&amp;VAR:QUERY=KEZTTF9ORVRfSU5DKE5PVyxOT1csRlNBLCxVU0QpQEZGX05FVF9JTkMoTFRNUywwLCwsLFVTRCkp&amp;WINDOW=F","IRST_POPUP&amp;HEIGHT=450&amp;WIDTH=450&amp;START_MAXIMIZED=FALSE&amp;VAR:CALENDAR=US&amp;VAR:SYMBOL=212419&amp;VAR:INDEX=0"}</definedName>
    <definedName function="false" hidden="true" name="_249__FDSAUDITLINK__" vbProcedure="false">{"fdsup://directions/FAT Viewer?action=UPDATE&amp;creator=factset&amp;DYN_ARGS=TRUE&amp;DOC_NAME=FAT:FQL_AUDITING_CLIENT_TEMPLATE.FAT&amp;display_string=Audit&amp;VAR:KEY=HKZCFUTGXC&amp;VAR:QUERY=RkZfRUJJVERBX09QRVIoTFRNLDAsLCwsVVNEKQ==&amp;WINDOW=FIRST_POPUP&amp;HEIGHT=450&amp;WIDTH=450&amp;STAR","T_MAXIMIZED=FALSE&amp;VAR:CALENDAR=US&amp;VAR:SYMBOL=SAI&amp;VAR:INDEX=0"}</definedName>
    <definedName function="false" hidden="true" name="_24__123Graph_BCHART_1" vbProcedure="false">#REF!</definedName>
    <definedName function="false" hidden="true" name="_24__123Graph_XCHART_1" vbProcedure="false">#REF!</definedName>
    <definedName function="false" hidden="true" name="_24__123Graph_XNRT_PCE" vbProcedure="false">#REF!</definedName>
    <definedName function="false" hidden="true" name="_24__FDSAUDITLINK__" vbProcedure="false">{"fdsup://directions/FAT Viewer?action=UPDATE&amp;creator=factset&amp;DYN_ARGS=TRUE&amp;DOC_NAME=FAT:FQL_AUDITING_CLIENT_TEMPLATE.FAT&amp;display_string=Audit&amp;VAR:KEY=YXKNIHILET&amp;VAR:QUERY=RkZfRUJJVERBX09QRVIoTFRNLDAsLCwsVVNEKQ==&amp;WINDOW=FIRST_POPUP&amp;HEIGHT=450&amp;WIDTH=450&amp;STAR","T_MAXIMIZED=FALSE&amp;VAR:CALENDAR=US&amp;VAR:SYMBOL=CRR&amp;VAR:INDEX=0"}</definedName>
    <definedName function="false" hidden="true" name="_2500__FDSAUDITLINK__" vbProcedure="false">{"fdsup://directions/FAT Viewer?action=UPDATE&amp;creator=factset&amp;DYN_ARGS=TRUE&amp;DOC_NAME=FAT:FQL_AUDITING_CLIENT_TEMPLATE.FAT&amp;display_string=Audit&amp;VAR:KEY=POHOFOVOZC&amp;VAR:QUERY=KEZTTF9ORVRfSU5DKE5PVyxOT1csRlNBLCxVU0QpQEZGX05FVF9JTkMoTFRNUywwLCwsLFVTRCkp&amp;WINDOW=F","IRST_POPUP&amp;HEIGHT=450&amp;WIDTH=450&amp;START_MAXIMIZED=FALSE&amp;VAR:CALENDAR=US&amp;VAR:SYMBOL=GRB&amp;VAR:INDEX=0"}</definedName>
    <definedName function="false" hidden="true" name="_2501__FDSAUDITLINK__" vbProcedure="false">{"fdsup://directions/FAT Viewer?action=UPDATE&amp;creator=factset&amp;DYN_ARGS=TRUE&amp;DOC_NAME=FAT:FQL_AUDITING_CLIENT_TEMPLATE.FAT&amp;display_string=Audit&amp;VAR:KEY=NSLSNGXKHC&amp;VAR:QUERY=KEZTTF9ORVRfSU5DKE5PVyxOT1csRlNBLCxVU0QpQEZGX05FVF9JTkMoTFRNUywwLCwsLFVTRCkp&amp;WINDOW=F","IRST_POPUP&amp;HEIGHT=450&amp;WIDTH=450&amp;START_MAXIMIZED=FALSE&amp;VAR:CALENDAR=US&amp;VAR:SYMBOL=LAVA&amp;VAR:INDEX=0"}</definedName>
    <definedName function="false" hidden="true" name="_2502__FDSAUDITLINK__" vbProcedure="false">{"fdsup://directions/FAT Viewer?action=UPDATE&amp;creator=factset&amp;DYN_ARGS=TRUE&amp;DOC_NAME=FAT:FQL_AUDITING_CLIENT_TEMPLATE.FAT&amp;display_string=Audit&amp;VAR:KEY=DSPERYVAJS&amp;VAR:QUERY=KEZTTF9ORVRfSU5DKE5PVyxOT1csRlNBLCxVU0QpQEZGX05FVF9JTkMoTFRNUywwLCwsLFVTRCkp&amp;WINDOW=F","IRST_POPUP&amp;HEIGHT=450&amp;WIDTH=450&amp;START_MAXIMIZED=FALSE&amp;VAR:CALENDAR=US&amp;VAR:SYMBOL=597791&amp;VAR:INDEX=0"}</definedName>
    <definedName function="false" hidden="true" name="_2503__FDSAUDITLINK__" vbProcedure="false">{"fdsup://directions/FAT Viewer?action=UPDATE&amp;creator=factset&amp;DYN_ARGS=TRUE&amp;DOC_NAME=FAT:FQL_AUDITING_CLIENT_TEMPLATE.FAT&amp;display_string=Audit&amp;VAR:KEY=FOLEZORCTE&amp;VAR:QUERY=KEZTTF9ORVRfSU5DKE5PVyxOT1csRlNBLCxVU0QpQEZGX05FVF9JTkMoTFRNUywwLCwsLFVTRCkp&amp;WINDOW=F","IRST_POPUP&amp;HEIGHT=450&amp;WIDTH=450&amp;START_MAXIMIZED=FALSE&amp;VAR:CALENDAR=US&amp;VAR:SYMBOL=563396&amp;VAR:INDEX=0"}</definedName>
    <definedName function="false" hidden="true" name="_2504__FDSAUDITLINK__" vbProcedure="false">{"fdsup://directions/FAT Viewer?action=UPDATE&amp;creator=factset&amp;DYN_ARGS=TRUE&amp;DOC_NAME=FAT:FQL_AUDITING_CLIENT_TEMPLATE.FAT&amp;display_string=Audit&amp;VAR:KEY=XQFQFGJCRS&amp;VAR:QUERY=KEZTTF9ORVRfSU5DKE5PVyxOT1csRlNBLCxVU0QpQEZGX05FVF9JTkMoTFRNUywwLCwsLFVTRCkp&amp;WINDOW=F","IRST_POPUP&amp;HEIGHT=450&amp;WIDTH=450&amp;START_MAXIMIZED=FALSE&amp;VAR:CALENDAR=US&amp;VAR:SYMBOL=ACCL&amp;VAR:INDEX=0"}</definedName>
    <definedName function="false" hidden="true" name="_2505__FDSAUDITLINK__" vbProcedure="false">{"fdsup://directions/FAT Viewer?action=UPDATE&amp;creator=factset&amp;DYN_ARGS=TRUE&amp;DOC_NAME=FAT:FQL_AUDITING_CLIENT_TEMPLATE.FAT&amp;display_string=Audit&amp;VAR:KEY=NUPETKFWRO&amp;VAR:QUERY=KEZTTF9ORVRfSU5DKE5PVyxOT1csRlNBLCxVU0QpQEZGX05FVF9JTkMoTFRNUywwLCwsLFVTRCkp&amp;WINDOW=F","IRST_POPUP&amp;HEIGHT=450&amp;WIDTH=450&amp;START_MAXIMIZED=FALSE&amp;VAR:CALENDAR=US&amp;VAR:SYMBOL=TDSC&amp;VAR:INDEX=0"}</definedName>
    <definedName function="false" hidden="true" name="_2506__FDSAUDITLINK__" vbProcedure="false">{"fdsup://directions/FAT Viewer?action=UPDATE&amp;creator=factset&amp;DYN_ARGS=TRUE&amp;DOC_NAME=FAT:FQL_AUDITING_CLIENT_TEMPLATE.FAT&amp;display_string=Audit&amp;VAR:KEY=VSHOBOBYXI&amp;VAR:QUERY=KEZTTF9ORVRfSU5DKE5PVyxOT1csRlNBLCxVU0QpQEZGX05FVF9JTkMoTFRNUywwLCwsLFVTRCkp&amp;WINDOW=F","IRST_POPUP&amp;HEIGHT=450&amp;WIDTH=450&amp;START_MAXIMIZED=FALSE&amp;VAR:CALENDAR=US&amp;VAR:SYMBOL=AVID&amp;VAR:INDEX=0"}</definedName>
    <definedName function="false" hidden="true" name="_2507__FDSAUDITLINK__" vbProcedure="false">{"fdsup://Directions/FactSet Auditing Viewer?action=AUDIT_VALUE&amp;DB=129&amp;ID1=21031310&amp;VALUEID=02001&amp;SDATE=201002&amp;PERIODTYPE=QTR_STD&amp;window=popup_no_bar&amp;width=385&amp;height=120&amp;START_MAXIMIZED=FALSE&amp;creator=factset&amp;display_string=Audit"}</definedName>
    <definedName function="false" hidden="true" name="_2508__FDSAUDITLINK__" vbProcedure="false">{"fdsup://directions/FAT Viewer?action=UPDATE&amp;creator=factset&amp;DYN_ARGS=TRUE&amp;DOC_NAME=FAT:FQL_AUDITING_CLIENT_TEMPLATE.FAT&amp;display_string=Audit&amp;VAR:KEY=FGNEZAJIXA&amp;VAR:QUERY=KEZTTF9ORVRfSU5DKE5PVyxOT1csRlNBLCxVU0QpQEZGX05FVF9JTkMoTFRNUywwLCwsLFVTRCkp&amp;WINDOW=F","IRST_POPUP&amp;HEIGHT=450&amp;WIDTH=450&amp;START_MAXIMIZED=FALSE&amp;VAR:CALENDAR=US&amp;VAR:SYMBOL=MENT&amp;VAR:INDEX=0"}</definedName>
    <definedName function="false" hidden="true" name="_2509__FDSAUDITLINK__" vbProcedure="false">{"fdsup://directions/FAT Viewer?action=UPDATE&amp;creator=factset&amp;DYN_ARGS=TRUE&amp;DOC_NAME=FAT:FQL_AUDITING_CLIENT_TEMPLATE.FAT&amp;display_string=Audit&amp;VAR:KEY=LYJYPSFQZ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15CMQ&amp;VAR:INDEX=0"}</definedName>
    <definedName function="false" hidden="true" name="_250__FDSAUDITLINK__" vbProcedure="false">{"fdsup://directions/FAT Viewer?action=UPDATE&amp;creator=factset&amp;DYN_ARGS=TRUE&amp;DOC_NAME=FAT:FQL_AUDITING_CLIENT_TEMPLATE.FAT&amp;display_string=Audit&amp;VAR:KEY=HSRAZEVKTS&amp;VAR:QUERY=RkZfRUJJVERBX09QRVIoTFRNLDAsLCwsVVNEKQ==&amp;WINDOW=FIRST_POPUP&amp;HEIGHT=450&amp;WIDTH=450&amp;STAR","T_MAXIMIZED=FALSE&amp;VAR:CALENDAR=US&amp;VAR:SYMBOL=ABFS&amp;VAR:INDEX=0"}</definedName>
    <definedName function="false" hidden="true" name="_2510__FDSAUDITLINK__" vbProcedure="false">{"fdsup://directions/FAT Viewer?action=UPDATE&amp;creator=factset&amp;DYN_ARGS=TRUE&amp;DOC_NAME=FAT:FQL_AUDITING_CLIENT_TEMPLATE.FAT&amp;display_string=Audit&amp;VAR:KEY=HIFIVGZOPC&amp;VAR:QUERY=KEZTTF9ORVRfSU5DKE5PVyxOT1csRlNBLCxVU0QpQEZGX05FVF9JTkMoTFRNUywwLCwsLFVTRCkp&amp;WINDOW=F","IRST_POPUP&amp;HEIGHT=450&amp;WIDTH=450&amp;START_MAXIMIZED=FALSE&amp;VAR:CALENDAR=US&amp;VAR:SYMBOL=CDNS&amp;VAR:INDEX=0"}</definedName>
    <definedName function="false" hidden="true" name="_2511__FDSAUDITLINK__" vbProcedure="false">{"fdsup://directions/FAT Viewer?action=UPDATE&amp;creator=factset&amp;DYN_ARGS=TRUE&amp;DOC_NAME=FAT:FQL_AUDITING_CLIENT_TEMPLATE.FAT&amp;display_string=Audit&amp;VAR:KEY=ZYBYDYJERW&amp;VAR:QUERY=KEZTTF9ORVRfSU5DKE5PVyxOT1csRlNBLCxVU0QpQEZGX05FVF9JTkMoTFRNUywwLCwsLFVTRCkp&amp;WINDOW=F","IRST_POPUP&amp;HEIGHT=450&amp;WIDTH=450&amp;START_MAXIMIZED=FALSE&amp;VAR:CALENDAR=US&amp;VAR:SYMBOL=PMTC&amp;VAR:INDEX=0"}</definedName>
    <definedName function="false" hidden="true" name="_2512__FDSAUDITLINK__" vbProcedure="false">{"fdsup://directions/FAT Viewer?action=UPDATE&amp;creator=factset&amp;DYN_ARGS=TRUE&amp;DOC_NAME=FAT:FQL_AUDITING_CLIENT_TEMPLATE.FAT&amp;display_string=Audit&amp;VAR:KEY=LYJYJUHKFU&amp;VAR:QUERY=KEZTTF9ORVRfSU5DKE5PVyxOT1csRlNBLCxVU0QpQEZGX05FVF9JTkMoTFRNUywwLCwsLFVTRCkp&amp;WINDOW=F","IRST_POPUP&amp;HEIGHT=450&amp;WIDTH=450&amp;START_MAXIMIZED=FALSE&amp;VAR:CALENDAR=US&amp;VAR:SYMBOL=SNPS&amp;VAR:INDEX=0"}</definedName>
    <definedName function="false" hidden="true" name="_2513__FDSAUDITLINK__" vbProcedure="false">{"fdsup://directions/FAT Viewer?action=UPDATE&amp;creator=factset&amp;DYN_ARGS=TRUE&amp;DOC_NAME=FAT:FQL_AUDITING_CLIENT_TEMPLATE.FAT&amp;display_string=Audit&amp;VAR:KEY=FYFEBWDOBE&amp;VAR:QUERY=KEZTTF9ORVRfSU5DKE5PVyxOT1csRlNBLCxVU0QpQEZGX05FVF9JTkMoTFRNUywwLCwsLFVTRCkp&amp;WINDOW=F","IRST_POPUP&amp;HEIGHT=450&amp;WIDTH=450&amp;START_MAXIMIZED=FALSE&amp;VAR:CALENDAR=US&amp;VAR:SYMBOL=ANSS&amp;VAR:INDEX=0"}</definedName>
    <definedName function="false" hidden="true" name="_2514__FDSAUDITLINK__" vbProcedure="false">{"fdsup://directions/FAT Viewer?action=UPDATE&amp;creator=factset&amp;DYN_ARGS=TRUE&amp;DOC_NAME=FAT:FQL_AUDITING_CLIENT_TEMPLATE.FAT&amp;display_string=Audit&amp;VAR:KEY=DCRSNMFKPY&amp;VAR:QUERY=KEZTTF9ORVRfSU5DKE5PVyxOT1csRlNBLCxVU0QpQEZGX05FVF9JTkMoTFRNUywwLCwsLFVTRCkp&amp;WINDOW=F","IRST_POPUP&amp;HEIGHT=450&amp;WIDTH=450&amp;START_MAXIMIZED=FALSE&amp;VAR:CALENDAR=US&amp;VAR:SYMBOL=ADSK&amp;VAR:INDEX=0"}</definedName>
    <definedName function="false" hidden="true" name="_2515__FDSAUDITLINK__" vbProcedure="false">{"fdsup://directions/FAT Viewer?action=UPDATE&amp;creator=factset&amp;DYN_ARGS=TRUE&amp;DOC_NAME=FAT:FQL_AUDITING_CLIENT_TEMPLATE.FAT&amp;display_string=Audit&amp;VAR:KEY=ROVGXMBCVU&amp;VAR:QUERY=KEZTTF9ORVRfSU5DKE5PVyxOT1csRlNBLCxVU0QpQEZGX05FVF9JTkMoTFRNUywwLCwsLFVTRCkp&amp;WINDOW=F","IRST_POPUP&amp;HEIGHT=450&amp;WIDTH=450&amp;START_MAXIMIZED=FALSE&amp;VAR:CALENDAR=US&amp;VAR:SYMBOL=LRN&amp;VAR:INDEX=0"}</definedName>
    <definedName function="false" hidden="true" name="_2516__FDSAUDITLINK__" vbProcedure="false">{"fdsup://Directions/FactSet Auditing Viewer?action=AUDIT_VALUE&amp;DB=129&amp;ID1=04532710&amp;VALUEID=02001&amp;SDATE=201004&amp;PERIODTYPE=QTR_STD&amp;window=popup_no_bar&amp;width=385&amp;height=120&amp;START_MAXIMIZED=FALSE&amp;creator=factset&amp;display_string=Audit"}</definedName>
    <definedName function="false" hidden="true" name="_2517__FDSAUDITLINK__" vbProcedure="false">{"fdsup://directions/FAT Viewer?action=UPDATE&amp;creator=factset&amp;DYN_ARGS=TRUE&amp;DOC_NAME=FAT:FQL_AUDITING_CLIENT_TEMPLATE.FAT&amp;display_string=Audit&amp;VAR:KEY=XOVUVANSD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VP&amp;VAR:INDEX=0"}</definedName>
    <definedName function="false" hidden="true" name="_2518__FDSAUDITLINK__" vbProcedure="false">{"fdsup://directions/FAT Viewer?action=UPDATE&amp;creator=factset&amp;DYN_ARGS=TRUE&amp;DOC_NAME=FAT:FQL_AUDITING_CLIENT_TEMPLATE.FAT&amp;display_string=Audit&amp;VAR:KEY=LULMVQPI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403191&amp;VAR:INDEX=0"}</definedName>
    <definedName function="false" hidden="true" name="_2519__FDSAUDITLINK__" vbProcedure="false">{"fdsup://directions/FAT Viewer?action=UPDATE&amp;creator=factset&amp;DYN_ARGS=TRUE&amp;DOC_NAME=FAT:FQL_AUDITING_CLIENT_TEMPLATE.FAT&amp;display_string=Audit&amp;VAR:KEY=JKZOXMLY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DFS&amp;VAR:INDEX=0"}</definedName>
    <definedName function="false" hidden="true" name="_251__FDSAUDITLINK__" vbProcedure="false">{"fdsup://directions/FAT Viewer?action=UPDATE&amp;creator=factset&amp;DYN_ARGS=TRUE&amp;DOC_NAME=FAT:FQL_AUDITING_CLIENT_TEMPLATE.FAT&amp;display_string=Audit&amp;VAR:KEY=RYDKLIHOFE&amp;VAR:QUERY=RkZfRUJJVERBX09QRVIoTFRNLDAsLCwsVVNEKQ==&amp;WINDOW=FIRST_POPUP&amp;HEIGHT=450&amp;WIDTH=450&amp;STAR","T_MAXIMIZED=FALSE&amp;VAR:CALENDAR=US&amp;VAR:SYMBOL=VTNC&amp;VAR:INDEX=0"}</definedName>
    <definedName function="false" hidden="true" name="_2520__FDSAUDITLINK__" vbProcedure="false">{"fdsup://directions/FAT Viewer?action=UPDATE&amp;creator=factset&amp;DYN_ARGS=TRUE&amp;DOC_NAME=FAT:FQL_AUDITING_CLIENT_TEMPLATE.FAT&amp;display_string=Audit&amp;VAR:KEY=HGTINQFW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212419&amp;VAR:INDEX=0"}</definedName>
    <definedName function="false" hidden="true" name="_2521__FDSAUDITLINK__" vbProcedure="false">{"fdsup://directions/FAT Viewer?action=UPDATE&amp;creator=factset&amp;DYN_ARGS=TRUE&amp;DOC_NAME=FAT:FQL_AUDITING_CLIENT_TEMPLATE.FAT&amp;display_string=Audit&amp;VAR:KEY=FMXMBIVE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RB&amp;VAR:INDEX=0"}</definedName>
    <definedName function="false" hidden="true" name="_2522__FDSAUDITLINK__" vbProcedure="false">{"fdsup://directions/FAT Viewer?action=UPDATE&amp;creator=factset&amp;DYN_ARGS=TRUE&amp;DOC_NAME=FAT:FQL_AUDITING_CLIENT_TEMPLATE.FAT&amp;display_string=Audit&amp;VAR:KEY=RWZWXGZU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AVA&amp;VAR:INDEX=0"}</definedName>
    <definedName function="false" hidden="true" name="_2523__FDSAUDITLINK__" vbProcedure="false">{"fdsup://directions/FAT Viewer?action=UPDATE&amp;creator=factset&amp;DYN_ARGS=TRUE&amp;DOC_NAME=FAT:FQL_AUDITING_CLIENT_TEMPLATE.FAT&amp;display_string=Audit&amp;VAR:KEY=BYPKLIPO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597791&amp;VAR:INDEX=0"}</definedName>
    <definedName function="false" hidden="true" name="_2524__FDSAUDITLINK__" vbProcedure="false">{"fdsup://directions/FAT Viewer?action=UPDATE&amp;creator=factset&amp;DYN_ARGS=TRUE&amp;DOC_NAME=FAT:FQL_AUDITING_CLIENT_TEMPLATE.FAT&amp;display_string=Audit&amp;VAR:KEY=BWZWTUHC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563396&amp;VAR:INDEX=0"}</definedName>
    <definedName function="false" hidden="true" name="_2525__FDSAUDITLINK__" vbProcedure="false">{"fdsup://directions/FAT Viewer?action=UPDATE&amp;creator=factset&amp;DYN_ARGS=TRUE&amp;DOC_NAME=FAT:FQL_AUDITING_CLIENT_TEMPLATE.FAT&amp;display_string=Audit&amp;VAR:KEY=XIXEZQTM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CL&amp;VAR:INDEX=0"}</definedName>
    <definedName function="false" hidden="true" name="_2526__FDSAUDITLINK__" vbProcedure="false">{"fdsup://directions/FAT Viewer?action=UPDATE&amp;creator=factset&amp;DYN_ARGS=TRUE&amp;DOC_NAME=FAT:FQL_AUDITING_CLIENT_TEMPLATE.FAT&amp;display_string=Audit&amp;VAR:KEY=VINUNUXQ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SC&amp;VAR:INDEX=0"}</definedName>
    <definedName function="false" hidden="true" name="_2527__FDSAUDITLINK__" vbProcedure="false">{"fdsup://directions/FAT Viewer?action=UPDATE&amp;creator=factset&amp;DYN_ARGS=TRUE&amp;DOC_NAME=FAT:FQL_AUDITING_CLIENT_TEMPLATE.FAT&amp;display_string=Audit&amp;VAR:KEY=PGNOJQXQ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ID&amp;VAR:INDEX=0"}</definedName>
    <definedName function="false" hidden="true" name="_2528__FDSAUDITLINK__" vbProcedure="false">{"fdsup://directions/FAT Viewer?action=UPDATE&amp;creator=factset&amp;DYN_ARGS=TRUE&amp;DOC_NAME=FAT:FQL_AUDITING_CLIENT_TEMPLATE.FAT&amp;display_string=Audit&amp;VAR:KEY=NMZEFIHKHE&amp;VAR:QUERY=KEZTTF9ORVRfSU5DKE5PVyxOT1csRlNBLCxVU0QpQEZGX05FVF9JTkMoTFRNUywwLCwsLFVTRCkp&amp;WINDOW=F","IRST_POPUP&amp;HEIGHT=450&amp;WIDTH=450&amp;START_MAXIMIZED=FALSE&amp;VAR:CALENDAR=US&amp;VAR:SYMBOL=ADBE&amp;VAR:INDEX=0"}</definedName>
    <definedName function="false" hidden="true" name="_2529__FDSAUDITLINK__" vbProcedure="false">{"fdsup://directions/FAT Viewer?action=UPDATE&amp;creator=factset&amp;DYN_ARGS=TRUE&amp;DOC_NAME=FAT:FQL_AUDITING_CLIENT_TEMPLATE.FAT&amp;display_string=Audit&amp;VAR:KEY=FULUBCZY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ENT&amp;VAR:INDEX=0"}</definedName>
    <definedName function="false" hidden="true" name="_252__FDSAUDITLINK__" vbProcedure="false">{"fdsup://directions/FAT Viewer?action=UPDATE&amp;creator=factset&amp;DYN_ARGS=TRUE&amp;DOC_NAME=FAT:FQL_AUDITING_CLIENT_TEMPLATE.FAT&amp;display_string=Audit&amp;VAR:KEY=ZUBEPGJCRA&amp;VAR:QUERY=RkZfRUJJVERBX09QRVIoTFRNLDAsLCwsVVNEKQ==&amp;WINDOW=FIRST_POPUP&amp;HEIGHT=450&amp;WIDTH=450&amp;STAR","T_MAXIMIZED=FALSE&amp;VAR:CALENDAR=US&amp;VAR:SYMBOL=CRZO&amp;VAR:INDEX=0"}</definedName>
    <definedName function="false" hidden="true" name="_2530__FDSAUDITLINK__" vbProcedure="false">{"fdsup://directions/FAT Viewer?action=UPDATE&amp;creator=factset&amp;DYN_ARGS=TRUE&amp;DOC_NAME=FAT:FQL_AUDITING_CLIENT_TEMPLATE.FAT&amp;display_string=Audit&amp;VAR:KEY=VKXWHWLA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ZPN&amp;VAR:INDEX=0"}</definedName>
    <definedName function="false" hidden="true" name="_2531__FDSAUDITLINK__" vbProcedure="false">{"fdsup://directions/FAT Viewer?action=UPDATE&amp;creator=factset&amp;DYN_ARGS=TRUE&amp;DOC_NAME=FAT:FQL_AUDITING_CLIENT_TEMPLATE.FAT&amp;display_string=Audit&amp;VAR:KEY=ZSRYHOBU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NS&amp;VAR:INDEX=0"}</definedName>
    <definedName function="false" hidden="true" name="_2532__FDSAUDITLINK__" vbProcedure="false">{"fdsup://directions/FAT Viewer?action=UPDATE&amp;creator=factset&amp;DYN_ARGS=TRUE&amp;DOC_NAME=FAT:FQL_AUDITING_CLIENT_TEMPLATE.FAT&amp;display_string=Audit&amp;VAR:KEY=NYZYTWZK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MTC&amp;VAR:INDEX=0"}</definedName>
    <definedName function="false" hidden="true" name="_2533__FDSAUDITLINK__" vbProcedure="false">{"fdsup://directions/FAT Viewer?action=UPDATE&amp;creator=factset&amp;DYN_ARGS=TRUE&amp;DOC_NAME=FAT:FQL_AUDITING_CLIENT_TEMPLATE.FAT&amp;display_string=Audit&amp;VAR:KEY=PUBGLCXQ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PS&amp;VAR:INDEX=0"}</definedName>
    <definedName function="false" hidden="true" name="_2534__FDSAUDITLINK__" vbProcedure="false">{"fdsup://directions/FAT Viewer?action=UPDATE&amp;creator=factset&amp;DYN_ARGS=TRUE&amp;DOC_NAME=FAT:FQL_AUDITING_CLIENT_TEMPLATE.FAT&amp;display_string=Audit&amp;VAR:KEY=ZKDIRIVI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SS&amp;VAR:INDEX=0"}</definedName>
    <definedName function="false" hidden="true" name="_2535__FDSAUDITLINK__" vbProcedure="false">{"fdsup://directions/FAT Viewer?action=UPDATE&amp;creator=factset&amp;DYN_ARGS=TRUE&amp;DOC_NAME=FAT:FQL_AUDITING_CLIENT_TEMPLATE.FAT&amp;display_string=Audit&amp;VAR:KEY=PUFMRMZAJ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SK&amp;VAR:INDEX=0"}</definedName>
    <definedName function="false" hidden="true" name="_2536__FDSAUDITLINK__" vbProcedure="false">{"fdsup://directions/FAT Viewer?action=UPDATE&amp;creator=factset&amp;DYN_ARGS=TRUE&amp;DOC_NAME=FAT:FQL_AUDITING_CLIENT_TEMPLATE.FAT&amp;display_string=Audit&amp;VAR:KEY=DAHIFOPWLQ&amp;VAR:QUERY=KEZTTF9ORVRfSU5DKE5PVyxOT1csRlNBLCxVU0QpQEZGX05FVF9JTkMoTFRNUywwLCwsLFVTRCkp&amp;WINDOW=F","IRST_POPUP&amp;HEIGHT=450&amp;WIDTH=450&amp;START_MAXIMIZED=FALSE&amp;VAR:CALENDAR=US&amp;VAR:SYMBOL=005305&amp;VAR:INDEX=0"}</definedName>
    <definedName function="false" hidden="true" name="_2537__FDSAUDITLINK__" vbProcedure="false">{"fdsup://Directions/FactSet Auditing Viewer?action=AUDIT_VALUE&amp;DB=129&amp;ID1=005305&amp;VALUEID=02001&amp;SDATE=201001&amp;PERIODTYPE=SEMI_STD&amp;window=popup_no_bar&amp;width=385&amp;height=120&amp;START_MAXIMIZED=FALSE&amp;creator=factset&amp;display_string=Audit"}</definedName>
    <definedName function="false" hidden="true" name="_2538__FDSAUDITLINK__" vbProcedure="false">{"fdsup://Directions/FactSet Auditing Viewer?action=AUDIT_VALUE&amp;DB=129&amp;ID1=36227K10&amp;VALUEID=02001&amp;SDATE=201002&amp;PERIODTYPE=QTR_STD&amp;window=popup_no_bar&amp;width=385&amp;height=120&amp;START_MAXIMIZED=FALSE&amp;creator=factset&amp;display_string=Audit"}</definedName>
    <definedName function="false" hidden="true" name="_2539__FDSAUDITLINK__" vbProcedure="false">{"fdsup://Directions/FactSet Auditing Viewer?action=AUDIT_VALUE&amp;DB=129&amp;ID1=403191&amp;VALUEID=02001&amp;SDATE=201001&amp;PERIODTYPE=SEMI_STD&amp;window=popup_no_bar&amp;width=385&amp;height=120&amp;START_MAXIMIZED=FALSE&amp;creator=factset&amp;display_string=Audit"}</definedName>
    <definedName function="false" hidden="true" name="_253__FDSAUDITLINK__" vbProcedure="false">{"fdsup://directions/FAT Viewer?action=UPDATE&amp;creator=factset&amp;DYN_ARGS=TRUE&amp;DOC_NAME=FAT:FQL_AUDITING_CLIENT_TEMPLATE.FAT&amp;display_string=Audit&amp;VAR:KEY=LMFMTAXMBY&amp;VAR:QUERY=RkZfRUJJVERBX09QRVIoTFRNLDAsLCwsVVNEKQ==&amp;WINDOW=FIRST_POPUP&amp;HEIGHT=450&amp;WIDTH=450&amp;STAR","T_MAXIMIZED=FALSE&amp;VAR:CALENDAR=US&amp;VAR:SYMBOL=COMV&amp;VAR:INDEX=0"}</definedName>
    <definedName function="false" hidden="true" name="_2540__FDSAUDITLINK__" vbProcedure="false">{"fdsup://Directions/FactSet Auditing Viewer?action=AUDIT_VALUE&amp;DB=129&amp;ID1=69328210&amp;VALUEID=02001&amp;SDATE=201002&amp;PERIODTYPE=QTR_STD&amp;window=popup_no_bar&amp;width=385&amp;height=120&amp;START_MAXIMIZED=FALSE&amp;creator=factset&amp;display_string=Audit"}</definedName>
    <definedName function="false" hidden="true" name="_2541__FDSAUDITLINK__" vbProcedure="false">{"fdsup://Directions/FactSet Auditing Viewer?action=AUDIT_VALUE&amp;DB=129&amp;ID1=212419&amp;VALUEID=02001&amp;SDATE=201001&amp;PERIODTYPE=QTR_STD&amp;window=popup_no_bar&amp;width=385&amp;height=120&amp;START_MAXIMIZED=FALSE&amp;creator=factset&amp;display_string=Audit"}</definedName>
    <definedName function="false" hidden="true" name="_2542__FDSAUDITLINK__" vbProcedure="false">{"fdsup://Directions/FactSet Auditing Viewer?action=AUDIT_VALUE&amp;DB=129&amp;ID1=37373010&amp;VALUEID=02001&amp;SDATE=201001&amp;PERIODTYPE=QTR_STD&amp;window=popup_no_bar&amp;width=385&amp;height=120&amp;START_MAXIMIZED=FALSE&amp;creator=factset&amp;display_string=Audit"}</definedName>
    <definedName function="false" hidden="true" name="_2543__FDSAUDITLINK__" vbProcedure="false">{"fdsup://Directions/FactSet Auditing Viewer?action=AUDIT_VALUE&amp;DB=129&amp;ID1=55918110&amp;VALUEID=02001&amp;SDATE=201001&amp;PERIODTYPE=QTR_STD&amp;window=popup_no_bar&amp;width=385&amp;height=120&amp;START_MAXIMIZED=FALSE&amp;creator=factset&amp;display_string=Audit"}</definedName>
    <definedName function="false" hidden="true" name="_2544__FDSAUDITLINK__" vbProcedure="false">{"fdsup://Directions/FactSet Auditing Viewer?action=AUDIT_VALUE&amp;DB=129&amp;ID1=597791&amp;VALUEID=02001&amp;SDATE=201002&amp;PERIODTYPE=QTR_STD&amp;window=popup_no_bar&amp;width=385&amp;height=120&amp;START_MAXIMIZED=FALSE&amp;creator=factset&amp;display_string=Audit"}</definedName>
    <definedName function="false" hidden="true" name="_2545__FDSAUDITLINK__" vbProcedure="false">{"fdsup://Directions/FactSet Auditing Viewer?action=AUDIT_VALUE&amp;DB=129&amp;ID1=563396&amp;VALUEID=02001&amp;SDATE=201002&amp;PERIODTYPE=QTR_STD&amp;window=popup_no_bar&amp;width=385&amp;height=120&amp;START_MAXIMIZED=FALSE&amp;creator=factset&amp;display_string=Audit"}</definedName>
    <definedName function="false" hidden="true" name="_2546__FDSAUDITLINK__" vbProcedure="false">{"fdsup://Directions/FactSet Auditing Viewer?action=AUDIT_VALUE&amp;DB=129&amp;ID1=00430U10&amp;VALUEID=02001&amp;SDATE=201001&amp;PERIODTYPE=QTR_STD&amp;window=popup_no_bar&amp;width=385&amp;height=120&amp;START_MAXIMIZED=FALSE&amp;creator=factset&amp;display_string=Audit"}</definedName>
    <definedName function="false" hidden="true" name="_2547__FDSAUDITLINK__" vbProcedure="false">{"fdsup://Directions/FactSet Auditing Viewer?action=AUDIT_VALUE&amp;DB=129&amp;ID1=88554D20&amp;VALUEID=02001&amp;SDATE=201002&amp;PERIODTYPE=QTR_STD&amp;window=popup_no_bar&amp;width=385&amp;height=120&amp;START_MAXIMIZED=FALSE&amp;creator=factset&amp;display_string=Audit"}</definedName>
    <definedName function="false" hidden="true" name="_2548__FDSAUDITLINK__" vbProcedure="false">{"fdsup://Directions/FactSet Auditing Viewer?action=AUDIT_VALUE&amp;DB=129&amp;ID1=05367P10&amp;VALUEID=02001&amp;SDATE=201003&amp;PERIODTYPE=QTR_STD&amp;window=popup_no_bar&amp;width=385&amp;height=120&amp;START_MAXIMIZED=FALSE&amp;creator=factset&amp;display_string=Audit"}</definedName>
    <definedName function="false" hidden="true" name="_2549__FDSAUDITLINK__" vbProcedure="false">{"fdsup://directions/FAT Viewer?action=UPDATE&amp;creator=factset&amp;DYN_ARGS=TRUE&amp;DOC_NAME=FAT:FQL_AUDITING_CLIENT_TEMPLATE.FAT&amp;display_string=Audit&amp;VAR:KEY=TENGLQFCNO&amp;VAR:QUERY=KEZTTF9ORVRfSU5DKE5PVyxOT1csRlNBLCxVU0QpQEZGX05FVF9JTkMoTFRNUywwLCwsLFVTRCkp&amp;WINDOW=F","IRST_POPUP&amp;HEIGHT=450&amp;WIDTH=450&amp;START_MAXIMIZED=FALSE&amp;VAR:CALENDAR=US&amp;VAR:SYMBOL=B15CMQ&amp;VAR:INDEX=0"}</definedName>
    <definedName function="false" hidden="true" name="_254__FDSAUDITLINK__" vbProcedure="false">{"fdsup://directions/FAT Viewer?action=UPDATE&amp;creator=factset&amp;DYN_ARGS=TRUE&amp;DOC_NAME=FAT:FQL_AUDITING_CLIENT_TEMPLATE.FAT&amp;display_string=Audit&amp;VAR:KEY=NCZQBYVIFG&amp;VAR:QUERY=RkZfRUJJVERBX09QRVIoTFRNLDAsLCwsVVNEKQ==&amp;WINDOW=FIRST_POPUP&amp;HEIGHT=450&amp;WIDTH=450&amp;STAR","T_MAXIMIZED=FALSE&amp;VAR:CALENDAR=US&amp;VAR:SYMBOL=PQ&amp;VAR:INDEX=0"}</definedName>
    <definedName function="false" hidden="true" name="_2550__FDSAUDITLINK__" vbProcedure="false">{"fdsup://Directions/FactSet Auditing Viewer?action=AUDIT_VALUE&amp;DB=129&amp;ID1=58720010&amp;VALUEID=02001&amp;SDATE=201002&amp;PERIODTYPE=QTR_STD&amp;window=popup_no_bar&amp;width=385&amp;height=120&amp;START_MAXIMIZED=FALSE&amp;creator=factset&amp;display_string=Audit"}</definedName>
    <definedName function="false" hidden="true" name="_2551__FDSAUDITLINK__" vbProcedure="false">{"fdsup://Directions/FactSet Auditing Viewer?action=AUDIT_VALUE&amp;DB=129&amp;ID1=12738710&amp;VALUEID=02001&amp;SDATE=201002&amp;PERIODTYPE=QTR_STD&amp;window=popup_no_bar&amp;width=385&amp;height=120&amp;START_MAXIMIZED=FALSE&amp;creator=factset&amp;display_string=Audit"}</definedName>
    <definedName function="false" hidden="true" name="_2552__FDSAUDITLINK__" vbProcedure="false">{"fdsup://Directions/FactSet Auditing Viewer?action=AUDIT_VALUE&amp;DB=129&amp;ID1=69917320&amp;VALUEID=02001&amp;SDATE=201003&amp;PERIODTYPE=QTR_STD&amp;window=popup_no_bar&amp;width=385&amp;height=120&amp;START_MAXIMIZED=FALSE&amp;creator=factset&amp;display_string=Audit"}</definedName>
    <definedName function="false" hidden="true" name="_2553__FDSAUDITLINK__" vbProcedure="false">{"fdsup://Directions/FactSet Auditing Viewer?action=AUDIT_VALUE&amp;DB=129&amp;ID1=87160710&amp;VALUEID=02001&amp;SDATE=201003&amp;PERIODTYPE=QTR_STD&amp;window=popup_no_bar&amp;width=385&amp;height=120&amp;START_MAXIMIZED=FALSE&amp;creator=factset&amp;display_string=Audit"}</definedName>
    <definedName function="false" hidden="true" name="_2554__FDSAUDITLINK__" vbProcedure="false">{"fdsup://Directions/FactSet Auditing Viewer?action=AUDIT_VALUE&amp;DB=129&amp;ID1=03662Q10&amp;VALUEID=02001&amp;SDATE=201002&amp;PERIODTYPE=QTR_STD&amp;window=popup_no_bar&amp;width=385&amp;height=120&amp;START_MAXIMIZED=FALSE&amp;creator=factset&amp;display_string=Audit"}</definedName>
    <definedName function="false" hidden="true" name="_2555__FDSAUDITLINK__" vbProcedure="false">{"fdsup://Directions/FactSet Auditing Viewer?action=AUDIT_VALUE&amp;DB=129&amp;ID1=05276910&amp;VALUEID=02001&amp;SDATE=201002&amp;PERIODTYPE=QTR_STD&amp;window=popup_no_bar&amp;width=385&amp;height=120&amp;START_MAXIMIZED=FALSE&amp;creator=factset&amp;display_string=Audit"}</definedName>
    <definedName function="false" hidden="true" name="_2556__FDSAUDITLINK__" vbProcedure="false">{"fdsup://Directions/FactSet Auditing Viewer?action=AUDIT_VALUE&amp;DB=129&amp;ID1=533004&amp;VALUEID=02001&amp;SDATE=201002&amp;PERIODTYPE=QTR_STD&amp;window=popup_no_bar&amp;width=385&amp;height=120&amp;START_MAXIMIZED=FALSE&amp;creator=factset&amp;display_string=Audit"}</definedName>
    <definedName function="false" hidden="true" name="_2557__FDSAUDITLINK__" vbProcedure="false">{"fdsup://directions/FAT Viewer?action=UPDATE&amp;creator=factset&amp;DYN_ARGS=TRUE&amp;DOC_NAME=FAT:FQL_AUDITING_CLIENT_TEMPLATE.FAT&amp;display_string=Audit&amp;VAR:KEY=FMTMHQREPW&amp;VAR:QUERY=KEZTTF9ORVRfSU5DKE5PVyxOT1csRlNBLCxVU0QpQEZGX05FVF9JTkMoTFRNUywwLCwsLFVTRCkp&amp;WINDOW=F","IRST_POPUP&amp;HEIGHT=450&amp;WIDTH=450&amp;START_MAXIMIZED=FALSE&amp;VAR:CALENDAR=US&amp;VAR:SYMBOL=MMUS&amp;VAR:INDEX=0"}</definedName>
    <definedName function="false" hidden="true" name="_2558__FDSAUDITLINK__" vbProcedure="false">{"fdsup://directions/FAT Viewer?action=UPDATE&amp;creator=factset&amp;DYN_ARGS=TRUE&amp;DOC_NAME=FAT:FQL_AUDITING_CLIENT_TEMPLATE.FAT&amp;display_string=Audit&amp;VAR:KEY=BWPKNAHONG&amp;VAR:QUERY=KEZTTF9ORVRfSU5DKE5PVyxOT1csRlNBLCxVU0QpQEZGX05FVF9JTkMoTFRNUywwLCwsLFVTRCkp&amp;WINDOW=F","IRST_POPUP&amp;HEIGHT=450&amp;WIDTH=450&amp;START_MAXIMIZED=FALSE&amp;VAR:CALENDAR=US&amp;VAR:SYMBOL=SOFO&amp;VAR:INDEX=0"}</definedName>
    <definedName function="false" hidden="true" name="_2559__FDSAUDITLINK__" vbProcedure="false">{"fdsup://directions/FAT Viewer?action=UPDATE&amp;creator=factset&amp;DYN_ARGS=TRUE&amp;DOC_NAME=FAT:FQL_AUDITING_CLIENT_TEMPLATE.FAT&amp;display_string=Audit&amp;VAR:KEY=VKNOZIZMFQ&amp;VAR:QUERY=KEZTTF9ORVRfSU5DKE5PVyxOT1csRlNBLCxVU0QpQEZGX05FVF9JTkMoTFRNUywwLCwsLFVTRCkp&amp;WINDOW=F","IRST_POPUP&amp;HEIGHT=450&amp;WIDTH=450&amp;START_MAXIMIZED=FALSE&amp;VAR:CALENDAR=US&amp;VAR:SYMBOL=SCIL&amp;VAR:INDEX=0"}</definedName>
    <definedName function="false" hidden="true" name="_255__FDSAUDITLINK__" vbProcedure="false">{"fdsup://directions/FAT Viewer?action=UPDATE&amp;creator=factset&amp;DYN_ARGS=TRUE&amp;DOC_NAME=FAT:FQL_AUDITING_CLIENT_TEMPLATE.FAT&amp;display_string=Audit&amp;VAR:KEY=BUBKVURAXQ&amp;VAR:QUERY=RkZfRUJJVERBX09QRVIoTFRNLDAsLCwsVVNEKQ==&amp;WINDOW=FIRST_POPUP&amp;HEIGHT=450&amp;WIDTH=450&amp;STAR","T_MAXIMIZED=FALSE&amp;VAR:CALENDAR=US&amp;VAR:SYMBOL=CRR&amp;VAR:INDEX=0"}</definedName>
    <definedName function="false" hidden="true" name="_2560__FDSAUDITLINK__" vbProcedure="false">{"fdsup://directions/FAT Viewer?action=UPDATE&amp;creator=factset&amp;DYN_ARGS=TRUE&amp;DOC_NAME=FAT:FQL_AUDITING_CLIENT_TEMPLATE.FAT&amp;display_string=Audit&amp;VAR:KEY=LGVOLCBIFA&amp;VAR:QUERY=KEZTTF9ORVRfSU5DKE5PVyxOT1csRlNBLCxVU0QpQEZGX05FVF9JTkMoTFRNUywwLCwsLFVTRCkp&amp;WINDOW=F","IRST_POPUP&amp;HEIGHT=450&amp;WIDTH=450&amp;START_MAXIMIZED=FALSE&amp;VAR:CALENDAR=US&amp;VAR:SYMBOL=028704&amp;VAR:INDEX=0"}</definedName>
    <definedName function="false" hidden="true" name="_2561__FDSAUDITLINK__" vbProcedure="false">{"fdsup://directions/FAT Viewer?action=UPDATE&amp;creator=factset&amp;DYN_ARGS=TRUE&amp;DOC_NAME=FAT:FQL_AUDITING_CLIENT_TEMPLATE.FAT&amp;display_string=Audit&amp;VAR:KEY=ZEDSNMZKJY&amp;VAR:QUERY=KEZTTF9ORVRfSU5DKE5PVyxOT1csRlNBLCxVU0QpQEZGX05FVF9JTkMoTFRNUywwLCwsLFVTRCkp&amp;WINDOW=F","IRST_POPUP&amp;HEIGHT=450&amp;WIDTH=450&amp;START_MAXIMIZED=FALSE&amp;VAR:CALENDAR=US&amp;VAR:SYMBOL=ARCL&amp;VAR:INDEX=0"}</definedName>
    <definedName function="false" hidden="true" name="_2562__FDSAUDITLINK__" vbProcedure="false">{"fdsup://directions/FAT Viewer?action=UPDATE&amp;creator=factset&amp;DYN_ARGS=TRUE&amp;DOC_NAME=FAT:FQL_AUDITING_CLIENT_TEMPLATE.FAT&amp;display_string=Audit&amp;VAR:KEY=LCXSJGXUNI&amp;VAR:QUERY=KEZTTF9ORVRfSU5DKE5PVyxOT1csRlNBLCxVU0QpQEZGX05FVF9JTkMoTFRNUywwLCwsLFVTRCkp&amp;WINDOW=F","IRST_POPUP&amp;HEIGHT=450&amp;WIDTH=450&amp;START_MAXIMIZED=FALSE&amp;VAR:CALENDAR=US&amp;VAR:SYMBOL=RLRN&amp;VAR:INDEX=0"}</definedName>
    <definedName function="false" hidden="true" name="_2563__FDSAUDITLINK__" vbProcedure="false">{"fdsup://directions/FAT Viewer?action=UPDATE&amp;creator=factset&amp;DYN_ARGS=TRUE&amp;DOC_NAME=FAT:FQL_AUDITING_CLIENT_TEMPLATE.FAT&amp;display_string=Audit&amp;VAR:KEY=FEHSHEDM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BE&amp;VAR:INDEX=0"}</definedName>
    <definedName function="false" hidden="true" name="_2564__FDSAUDITLINK__" vbProcedure="false">{"fdsup://directions/FAT Viewer?action=UPDATE&amp;creator=factset&amp;DYN_ARGS=TRUE&amp;DOC_NAME=FAT:FQL_AUDITING_CLIENT_TEMPLATE.FAT&amp;display_string=Audit&amp;VAR:KEY=HAJQXUJKVA&amp;VAR:QUERY=KEZTTF9ORVRfSU5DKE5PVyxOT1csRlNBLCxVU0QpQEZGX05FVF9JTkMoTFRNUywwLCwsLFVTRCkp&amp;WINDOW=F","IRST_POPUP&amp;HEIGHT=450&amp;WIDTH=450&amp;START_MAXIMIZED=FALSE&amp;VAR:CALENDAR=US&amp;VAR:SYMBOL=ONE&amp;VAR:INDEX=0"}</definedName>
    <definedName function="false" hidden="true" name="_2565__FDSAUDITLINK__" vbProcedure="false">{"fdsup://directions/FAT Viewer?action=UPDATE&amp;creator=factset&amp;DYN_ARGS=TRUE&amp;DOC_NAME=FAT:FQL_AUDITING_CLIENT_TEMPLATE.FAT&amp;display_string=Audit&amp;VAR:KEY=VONGPQTWRG&amp;VAR:QUERY=KEZTTF9ORVRfSU5DKE5PVyxOT1csRlNBLCxVU0QpQEZGX05FVF9JTkMoTFRNUywwLCwsLFVTRCkp&amp;WINDOW=F","IRST_POPUP&amp;HEIGHT=450&amp;WIDTH=450&amp;START_MAXIMIZED=FALSE&amp;VAR:CALENDAR=US&amp;VAR:SYMBOL=BLKB&amp;VAR:INDEX=0"}</definedName>
    <definedName function="false" hidden="true" name="_2566__FDSAUDITLINK__" vbProcedure="false">{"fdsup://directions/FAT Viewer?action=UPDATE&amp;creator=factset&amp;DYN_ARGS=TRUE&amp;DOC_NAME=FAT:FQL_AUDITING_CLIENT_TEMPLATE.FAT&amp;display_string=Audit&amp;VAR:KEY=BANMNIXIRO&amp;VAR:QUERY=KEZTTF9ORVRfSU5DKE5PVyxOT1csRlNBLCxVU0QpQEZGX05FVF9JTkMoTFRNUywwLCwsLFVTRCkp&amp;WINDOW=F","IRST_POPUP&amp;HEIGHT=450&amp;WIDTH=450&amp;START_MAXIMIZED=FALSE&amp;VAR:CALENDAR=US&amp;VAR:SYMBOL=BBBB&amp;VAR:INDEX=0"}</definedName>
    <definedName function="false" hidden="true" name="_2567__FDSAUDITLINK__" vbProcedure="false">{"fdsup://directions/FAT Viewer?action=UPDATE&amp;creator=factset&amp;DYN_ARGS=TRUE&amp;DOC_NAME=FAT:FQL_AUDITING_CLIENT_TEMPLATE.FAT&amp;display_string=Audit&amp;VAR:KEY=FUXGJQRC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MUS&amp;VAR:INDEX=0"}</definedName>
    <definedName function="false" hidden="true" name="_2568__FDSAUDITLINK__" vbProcedure="false">{"fdsup://directions/FAT Viewer?action=UPDATE&amp;creator=factset&amp;DYN_ARGS=TRUE&amp;DOC_NAME=FAT:FQL_AUDITING_CLIENT_TEMPLATE.FAT&amp;display_string=Audit&amp;VAR:KEY=LIDIXGNGN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FO&amp;VAR:INDEX=0"}</definedName>
    <definedName function="false" hidden="true" name="_2569__FDSAUDITLINK__" vbProcedure="false">{"fdsup://directions/FAT Viewer?action=UPDATE&amp;creator=factset&amp;DYN_ARGS=TRUE&amp;DOC_NAME=FAT:FQL_AUDITING_CLIENT_TEMPLATE.FAT&amp;display_string=Audit&amp;VAR:KEY=NUDUNWTGD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CIL&amp;VAR:INDEX=0"}</definedName>
    <definedName function="false" hidden="true" name="_256__FDSAUDITLINK__" vbProcedure="false">{"fdsup://directions/FAT Viewer?action=UPDATE&amp;creator=factset&amp;DYN_ARGS=TRUE&amp;DOC_NAME=FAT:FQL_AUDITING_CLIENT_TEMPLATE.FAT&amp;display_string=Audit&amp;VAR:KEY=BQFAXOVOHG&amp;VAR:QUERY=RkZfRUJJVERBX09QRVIoTFRNLDAsLCwsVVNEKQ==&amp;WINDOW=FIRST_POPUP&amp;HEIGHT=450&amp;WIDTH=450&amp;STAR","T_MAXIMIZED=FALSE&amp;VAR:CALENDAR=US&amp;VAR:SYMBOL=ORN&amp;VAR:INDEX=0"}</definedName>
    <definedName function="false" hidden="true" name="_2570__FDSAUDITLINK__" vbProcedure="false">{"fdsup://directions/FAT Viewer?action=UPDATE&amp;creator=factset&amp;DYN_ARGS=TRUE&amp;DOC_NAME=FAT:FQL_AUDITING_CLIENT_TEMPLATE.FAT&amp;display_string=Audit&amp;VAR:KEY=PUBYPGHW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028704&amp;VAR:INDEX=0"}</definedName>
    <definedName function="false" hidden="true" name="_2571__FDSAUDITLINK__" vbProcedure="false">{"fdsup://directions/FAT Viewer?action=UPDATE&amp;creator=factset&amp;DYN_ARGS=TRUE&amp;DOC_NAME=FAT:FQL_AUDITING_CLIENT_TEMPLATE.FAT&amp;display_string=Audit&amp;VAR:KEY=JOZQBSVIN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CL&amp;VAR:INDEX=0"}</definedName>
    <definedName function="false" hidden="true" name="_2572__FDSAUDITLINK__" vbProcedure="false">{"fdsup://directions/FAT Viewer?action=UPDATE&amp;creator=factset&amp;DYN_ARGS=TRUE&amp;DOC_NAME=FAT:FQL_AUDITING_CLIENT_TEMPLATE.FAT&amp;display_string=Audit&amp;VAR:KEY=LMPKLUXO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LRN&amp;VAR:INDEX=0"}</definedName>
    <definedName function="false" hidden="true" name="_2573__FDSAUDITLINK__" vbProcedure="false">{"fdsup://directions/FAT Viewer?action=UPDATE&amp;creator=factset&amp;DYN_ARGS=TRUE&amp;DOC_NAME=FAT:FQL_AUDITING_CLIENT_TEMPLATE.FAT&amp;display_string=Audit&amp;VAR:KEY=HATYHOBCD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YL&amp;VAR:INDEX=0"}</definedName>
    <definedName function="false" hidden="true" name="_2574__FDSAUDITLINK__" vbProcedure="false">{"fdsup://Directions/FactSet Auditing Viewer?action=AUDIT_VALUE&amp;DB=129&amp;ID1=56086P20&amp;VALUEID=02001&amp;SDATE=201002&amp;PERIODTYPE=QTR_STD&amp;window=popup_no_bar&amp;width=385&amp;height=120&amp;START_MAXIMIZED=FALSE&amp;creator=factset&amp;display_string=Audit"}</definedName>
    <definedName function="false" hidden="true" name="_2575__FDSAUDITLINK__" vbProcedure="false">{"fdsup://Directions/FactSet Auditing Viewer?action=AUDIT_VALUE&amp;DB=129&amp;ID1=83545R20&amp;VALUEID=02001&amp;SDATE=201003&amp;PERIODTYPE=QTR_STD&amp;window=popup_no_bar&amp;width=385&amp;height=120&amp;START_MAXIMIZED=FALSE&amp;creator=factset&amp;display_string=Audit"}</definedName>
    <definedName function="false" hidden="true" name="_2576__FDSAUDITLINK__" vbProcedure="false">{"fdsup://Directions/FactSet Auditing Viewer?action=AUDIT_VALUE&amp;DB=129&amp;ID1=80876010&amp;VALUEID=02001&amp;SDATE=201003&amp;PERIODTYPE=QTR_STD&amp;window=popup_no_bar&amp;width=385&amp;height=120&amp;START_MAXIMIZED=FALSE&amp;creator=factset&amp;display_string=Audit"}</definedName>
    <definedName function="false" hidden="true" name="_2577__FDSAUDITLINK__" vbProcedure="false">{"fdsup://Directions/FactSet Auditing Viewer?action=AUDIT_VALUE&amp;DB=129&amp;ID1=028704&amp;VALUEID=02001&amp;SDATE=201001&amp;PERIODTYPE=SEMI_STD&amp;window=popup_no_bar&amp;width=385&amp;height=120&amp;START_MAXIMIZED=FALSE&amp;creator=factset&amp;display_string=Audit"}</definedName>
    <definedName function="false" hidden="true" name="_2578__FDSAUDITLINK__" vbProcedure="false">{"fdsup://Directions/FactSet Auditing Viewer?action=AUDIT_VALUE&amp;DB=129&amp;ID1=03956P10&amp;VALUEID=02001&amp;SDATE=201002&amp;PERIODTYPE=QTR_STD&amp;window=popup_no_bar&amp;width=385&amp;height=120&amp;START_MAXIMIZED=FALSE&amp;creator=factset&amp;display_string=Audit"}</definedName>
    <definedName function="false" hidden="true" name="_2579__FDSAUDITLINK__" vbProcedure="false">{"fdsup://Directions/FactSet Auditing Viewer?action=AUDIT_VALUE&amp;DB=129&amp;ID1=75968L10&amp;VALUEID=02001&amp;SDATE=201002&amp;PERIODTYPE=QTR_STD&amp;window=popup_no_bar&amp;width=385&amp;height=120&amp;START_MAXIMIZED=FALSE&amp;creator=factset&amp;display_string=Audit"}</definedName>
    <definedName function="false" hidden="true" name="_257__FDSAUDITLINK__" vbProcedure="false">{"fdsup://directions/FAT Viewer?action=UPDATE&amp;creator=factset&amp;DYN_ARGS=TRUE&amp;DOC_NAME=FAT:FQL_AUDITING_CLIENT_TEMPLATE.FAT&amp;display_string=Audit&amp;VAR:KEY=NODSRKFUNC&amp;VAR:QUERY=RkZfRUJJVERBX09QRVIoTFRNLDAsLCwsVVNEKQ==&amp;WINDOW=FIRST_POPUP&amp;HEIGHT=450&amp;WIDTH=450&amp;STAR","T_MAXIMIZED=FALSE&amp;VAR:CALENDAR=US&amp;VAR:SYMBOL=USAK&amp;VAR:INDEX=0"}</definedName>
    <definedName function="false" hidden="true" name="_2580__FDSAUDITLINK__" vbProcedure="false">{"fdsup://directions/FAT Viewer?action=UPDATE&amp;creator=factset&amp;DYN_ARGS=TRUE&amp;DOC_NAME=FAT:FQL_AUDITING_CLIENT_TEMPLATE.FAT&amp;display_string=Audit&amp;VAR:KEY=JSRYDMFCZ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VI&amp;VAR:INDEX=0"}</definedName>
    <definedName function="false" hidden="true" name="_2581__FDSAUDITLINK__" vbProcedure="false">{"fdsup://directions/FAT Viewer?action=UPDATE&amp;creator=factset&amp;DYN_ARGS=TRUE&amp;DOC_NAME=FAT:FQL_AUDITING_CLIENT_TEMPLATE.FAT&amp;display_string=Audit&amp;VAR:KEY=HGZAPIVO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LKB&amp;VAR:INDEX=0"}</definedName>
    <definedName function="false" hidden="true" name="_2582__FDSAUDITLINK__" vbProcedure="false">{"fdsup://directions/FAT Viewer?action=UPDATE&amp;creator=factset&amp;DYN_ARGS=TRUE&amp;DOC_NAME=FAT:FQL_AUDITING_CLIENT_TEMPLATE.FAT&amp;display_string=Audit&amp;VAR:KEY=LKLANOXK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BB&amp;VAR:INDEX=0"}</definedName>
    <definedName function="false" hidden="true" name="_2583__FDSAUDITLINK__" vbProcedure="false">{"fdsup://Directions/FactSet Auditing Viewer?action=AUDIT_VALUE&amp;DB=129&amp;ID1=09227Q10&amp;VALUEID=02001&amp;SDATE=201002&amp;PERIODTYPE=QTR_STD&amp;window=popup_no_bar&amp;width=385&amp;height=120&amp;START_MAXIMIZED=FALSE&amp;creator=factset&amp;display_string=Audit"}</definedName>
    <definedName function="false" hidden="true" name="_2584__FDSAUDITLINK__" vbProcedure="false">{"fdsup://Directions/FactSet Auditing Viewer?action=AUDIT_VALUE&amp;DB=129&amp;ID1=09193550&amp;VALUEID=02001&amp;SDATE=201002&amp;PERIODTYPE=QTR_STD&amp;window=popup_no_bar&amp;width=385&amp;height=120&amp;START_MAXIMIZED=FALSE&amp;creator=factset&amp;display_string=Audit"}</definedName>
    <definedName function="false" hidden="true" name="_2585__FDSAUDITLINK__" vbProcedure="false">{"fdsup://directions/FAT Viewer?action=UPDATE&amp;creator=factset&amp;DYN_ARGS=TRUE&amp;DOC_NAME=FAT:FQL_AUDITING_CLIENT_TEMPLATE.FAT&amp;display_string=Audit&amp;VAR:KEY=ZQVQHYPWNW&amp;VAR:QUERY=KEZTTF9ORVRfSU5DKE5PVyxOT1csRlNBLCxVU0QpQEZGX05FVF9JTkMoTFRNUywwLCwsLFVTRCkp&amp;WINDOW=F","IRST_POPUP&amp;HEIGHT=450&amp;WIDTH=450&amp;START_MAXIMIZED=FALSE&amp;VAR:CALENDAR=US&amp;VAR:SYMBOL=CTCT&amp;VAR:INDEX=0"}</definedName>
    <definedName function="false" hidden="true" name="_2586__FDSAUDITLINK__" vbProcedure="false">{"fdsup://directions/FAT Viewer?action=UPDATE&amp;creator=factset&amp;DYN_ARGS=TRUE&amp;DOC_NAME=FAT:FQL_AUDITING_CLIENT_TEMPLATE.FAT&amp;display_string=Audit&amp;VAR:KEY=PYBKBOBQXQ&amp;VAR:QUERY=KEZTTF9ORVRfSU5DKE5PVyxOT1csRlNBLCxVU0QpQEZGX05FVF9JTkMoTFRNUywwLCwsLFVTRCkp&amp;WINDOW=F","IRST_POPUP&amp;HEIGHT=450&amp;WIDTH=450&amp;START_MAXIMIZED=FALSE&amp;VAR:CALENDAR=US&amp;VAR:SYMBOL=KEYN&amp;VAR:INDEX=0"}</definedName>
    <definedName function="false" hidden="true" name="_2587__FDSAUDITLINK__" vbProcedure="false">{"fdsup://directions/FAT Viewer?action=UPDATE&amp;creator=factset&amp;DYN_ARGS=TRUE&amp;DOC_NAME=FAT:FQL_AUDITING_CLIENT_TEMPLATE.FAT&amp;display_string=Audit&amp;VAR:KEY=HEZMJQRKDU&amp;VAR:QUERY=KEZTTF9ORVRfSU5DKE5PVyxOT1csRlNBLCxVU0QpQEZGX05FVF9JTkMoTFRNUywwLCwsLFVTRCkp&amp;WINDOW=F","IRST_POPUP&amp;HEIGHT=450&amp;WIDTH=450&amp;START_MAXIMIZED=FALSE&amp;VAR:CALENDAR=US&amp;VAR:SYMBOL=B1GCQP&amp;VAR:INDEX=0"}</definedName>
    <definedName function="false" hidden="true" name="_2588__FDSAUDITLINK__" vbProcedure="false">{"fdsup://directions/FAT Viewer?action=UPDATE&amp;creator=factset&amp;DYN_ARGS=TRUE&amp;DOC_NAME=FAT:FQL_AUDITING_CLIENT_TEMPLATE.FAT&amp;display_string=Audit&amp;VAR:KEY=ZQZAPGDYLI&amp;VAR:QUERY=KEZTTF9ORVRfSU5DKE5PVyxOT1csRlNBLCxVU0QpQEZGX05FVF9JTkMoTFRNUywwLCwsLFVTRCkp&amp;WINDOW=F","IRST_POPUP&amp;HEIGHT=450&amp;WIDTH=450&amp;START_MAXIMIZED=FALSE&amp;VAR:CALENDAR=US&amp;VAR:SYMBOL=B03F1W&amp;VAR:INDEX=0"}</definedName>
    <definedName function="false" hidden="true" name="_2589__FDSAUDITLINK__" vbProcedure="false">{"fdsup://directions/FAT Viewer?action=UPDATE&amp;creator=factset&amp;DYN_ARGS=TRUE&amp;DOC_NAME=FAT:FQL_AUDITING_CLIENT_TEMPLATE.FAT&amp;display_string=Audit&amp;VAR:KEY=DWLYPEHWDW&amp;VAR:QUERY=KEZTTF9ORVRfSU5DKE5PVyxOT1csRlNBLCxVU0QpQEZGX05FVF9JTkMoTFRNUywwLCwsLFVTRCkp&amp;WINDOW=F","IRST_POPUP&amp;HEIGHT=450&amp;WIDTH=450&amp;START_MAXIMIZED=FALSE&amp;VAR:CALENDAR=US&amp;VAR:SYMBOL=SFE&amp;VAR:INDEX=0"}</definedName>
    <definedName function="false" hidden="true" name="_258__FDSAUDITLINK__" vbProcedure="false">{"fdsup://directions/FAT Viewer?action=UPDATE&amp;creator=factset&amp;DYN_ARGS=TRUE&amp;DOC_NAME=FAT:FQL_AUDITING_CLIENT_TEMPLATE.FAT&amp;display_string=Audit&amp;VAR:KEY=FWFGTGDEPS&amp;VAR:QUERY=RkZfRUJJVERBX09QRVIoTFRNLDAsLCwsVVNEKQ==&amp;WINDOW=FIRST_POPUP&amp;HEIGHT=450&amp;WIDTH=450&amp;STAR","T_MAXIMIZED=FALSE&amp;VAR:CALENDAR=US&amp;VAR:SYMBOL=HAL&amp;VAR:INDEX=0"}</definedName>
    <definedName function="false" hidden="true" name="_2590__FDSAUDITLINK__" vbProcedure="false">{"fdsup://directions/FAT Viewer?action=UPDATE&amp;creator=factset&amp;DYN_ARGS=TRUE&amp;DOC_NAME=FAT:FQL_AUDITING_CLIENT_TEMPLATE.FAT&amp;display_string=Audit&amp;VAR:KEY=LEFETIRKHY&amp;VAR:QUERY=KEZTTF9ORVRfSU5DKE5PVyxOT1csRlNBLCxVU0QpQEZGX05FVF9JTkMoTFRNUywwLCwsLFVTRCkp&amp;WINDOW=F","IRST_POPUP&amp;HEIGHT=450&amp;WIDTH=450&amp;START_MAXIMIZED=FALSE&amp;VAR:CALENDAR=US&amp;VAR:SYMBOL=B03CY1&amp;VAR:INDEX=0"}</definedName>
    <definedName function="false" hidden="true" name="_2591__FDSAUDITLINK__" vbProcedure="false">{"fdsup://directions/FAT Viewer?action=UPDATE&amp;creator=factset&amp;DYN_ARGS=TRUE&amp;DOC_NAME=FAT:FQL_AUDITING_CLIENT_TEMPLATE.FAT&amp;display_string=Audit&amp;VAR:KEY=NARORALSXU&amp;VAR:QUERY=KEZTTF9ORVRfSU5DKE5PVyxOT1csRlNBLCxVU0QpQEZGX05FVF9JTkMoTFRNUywwLCwsLFVTRCkp&amp;WINDOW=F","IRST_POPUP&amp;HEIGHT=450&amp;WIDTH=450&amp;START_MAXIMIZED=FALSE&amp;VAR:CALENDAR=US&amp;VAR:SYMBOL=B17K95&amp;VAR:INDEX=0"}</definedName>
    <definedName function="false" hidden="true" name="_2592__FDSAUDITLINK__" vbProcedure="false">{"fdsup://directions/FAT Viewer?action=UPDATE&amp;creator=factset&amp;DYN_ARGS=TRUE&amp;DOC_NAME=FAT:FQL_AUDITING_CLIENT_TEMPLATE.FAT&amp;display_string=Audit&amp;VAR:KEY=FWXAREFGDW&amp;VAR:QUERY=KEZTTF9ORVRfSU5DKE5PVyxOT1csRlNBLCxVU0QpQEZGX05FVF9JTkMoTFRNUywwLCwsLFVTRCkp&amp;WINDOW=F","IRST_POPUP&amp;HEIGHT=450&amp;WIDTH=450&amp;START_MAXIMIZED=FALSE&amp;VAR:CALENDAR=US&amp;VAR:SYMBOL=B41PDC&amp;VAR:INDEX=0"}</definedName>
    <definedName function="false" hidden="true" name="_2593__FDSAUDITLINK__" vbProcedure="false">{"fdsup://directions/FAT Viewer?action=UPDATE&amp;creator=factset&amp;DYN_ARGS=TRUE&amp;DOC_NAME=FAT:FQL_AUDITING_CLIENT_TEMPLATE.FAT&amp;display_string=Audit&amp;VAR:KEY=NYJOHMRQTO&amp;VAR:QUERY=KEZTTF9ORVRfSU5DKE5PVyxOT1csRlNBLCxVU0QpQEZGX05FVF9JTkMoTFRNUywwLCwsLFVTRCkp&amp;WINDOW=F","IRST_POPUP&amp;HEIGHT=450&amp;WIDTH=450&amp;START_MAXIMIZED=FALSE&amp;VAR:CALENDAR=US&amp;VAR:SYMBOL=VOCS&amp;VAR:INDEX=0"}</definedName>
    <definedName function="false" hidden="true" name="_2594__FDSAUDITLINK__" vbProcedure="false">{"fdsup://directions/FAT Viewer?action=UPDATE&amp;creator=factset&amp;DYN_ARGS=TRUE&amp;DOC_NAME=FAT:FQL_AUDITING_CLIENT_TEMPLATE.FAT&amp;display_string=Audit&amp;VAR:KEY=ZKFIDQXAHQ&amp;VAR:QUERY=KEZTTF9ORVRfSU5DKE5PVyxOT1csRlNBLCxVU0QpQEZGX05FVF9JTkMoTFRNUywwLCwsLFVTRCkp&amp;WINDOW=F","IRST_POPUP&amp;HEIGHT=450&amp;WIDTH=450&amp;START_MAXIMIZED=FALSE&amp;VAR:CALENDAR=US&amp;VAR:SYMBOL=RLOC&amp;VAR:INDEX=0"}</definedName>
    <definedName function="false" hidden="true" name="_2595__FDSAUDITLINK__" vbProcedure="false">{"fdsup://directions/FAT Viewer?action=UPDATE&amp;creator=factset&amp;DYN_ARGS=TRUE&amp;DOC_NAME=FAT:FQL_AUDITING_CLIENT_TEMPLATE.FAT&amp;display_string=Audit&amp;VAR:KEY=PSZCLQVGPE&amp;VAR:QUERY=KEZTTF9ORVRfSU5DKE5PVyxOT1csRlNBLCxVU0QpQEZGX05FVF9JTkMoTFRNUywwLCwsLFVTRCkp&amp;WINDOW=F","IRST_POPUP&amp;HEIGHT=450&amp;WIDTH=450&amp;START_MAXIMIZED=FALSE&amp;VAR:CALENDAR=US&amp;VAR:SYMBOL=ICGE&amp;VAR:INDEX=0"}</definedName>
    <definedName function="false" hidden="true" name="_2596__FDSAUDITLINK__" vbProcedure="false">{"fdsup://directions/FAT Viewer?action=UPDATE&amp;creator=factset&amp;DYN_ARGS=TRUE&amp;DOC_NAME=FAT:FQL_AUDITING_CLIENT_TEMPLATE.FAT&amp;display_string=Audit&amp;VAR:KEY=PSLYHMRAJG&amp;VAR:QUERY=KEZTTF9ORVRfSU5DKE5PVyxOT1csRlNBLCxVU0QpQEZGX05FVF9JTkMoTFRNUywwLCwsLFVTRCkp&amp;WINDOW=F","IRST_POPUP&amp;HEIGHT=450&amp;WIDTH=450&amp;START_MAXIMIZED=FALSE&amp;VAR:CALENDAR=US&amp;VAR:SYMBOL=599958&amp;VAR:INDEX=0"}</definedName>
    <definedName function="false" hidden="true" name="_2597__FDSAUDITLINK__" vbProcedure="false">{"fdsup://directions/FAT Viewer?action=UPDATE&amp;creator=factset&amp;DYN_ARGS=TRUE&amp;DOC_NAME=FAT:FQL_AUDITING_CLIENT_TEMPLATE.FAT&amp;display_string=Audit&amp;VAR:KEY=FWHYFKVKHI&amp;VAR:QUERY=KEZTTF9ORVRfSU5DKE5PVyxOT1csRlNBLCxVU0QpQEZGX05FVF9JTkMoTFRNUywwLCwsLFVTRCkp&amp;WINDOW=F","IRST_POPUP&amp;HEIGHT=450&amp;WIDTH=450&amp;START_MAXIMIZED=FALSE&amp;VAR:CALENDAR=US&amp;VAR:SYMBOL=B173CH&amp;VAR:INDEX=0"}</definedName>
    <definedName function="false" hidden="true" name="_2598__FDSAUDITLINK__" vbProcedure="false">{"fdsup://directions/FAT Viewer?action=UPDATE&amp;creator=factset&amp;DYN_ARGS=TRUE&amp;DOC_NAME=FAT:FQL_AUDITING_CLIENT_TEMPLATE.FAT&amp;display_string=Audit&amp;VAR:KEY=FMLKHOXEJE&amp;VAR:QUERY=KEZTTF9ORVRfSU5DKE5PVyxOT1csRlNBLCxVU0QpQEZGX05FVF9JTkMoTFRNUywwLCwsLFVTRCkp&amp;WINDOW=F","IRST_POPUP&amp;HEIGHT=450&amp;WIDTH=450&amp;START_MAXIMIZED=FALSE&amp;VAR:CALENDAR=US&amp;VAR:SYMBOL=QNST&amp;VAR:INDEX=0"}</definedName>
    <definedName function="false" hidden="true" name="_2599__FDSAUDITLINK__" vbProcedure="false">{"fdsup://directions/FAT Viewer?action=UPDATE&amp;creator=factset&amp;DYN_ARGS=TRUE&amp;DOC_NAME=FAT:FQL_AUDITING_CLIENT_TEMPLATE.FAT&amp;display_string=Audit&amp;VAR:KEY=HAXMLMVUPS&amp;VAR:QUERY=KEZTTF9ORVRfSU5DKE5PVyxOT1csRlNBLCxVU0QpQEZGX05FVF9JTkMoTFRNUywwLCwsLFVTRCkp&amp;WINDOW=F","IRST_POPUP&amp;HEIGHT=450&amp;WIDTH=450&amp;START_MAXIMIZED=FALSE&amp;VAR:CALENDAR=US&amp;VAR:SYMBOL=RNOW&amp;VAR:INDEX=0"}</definedName>
    <definedName function="false" hidden="true" name="_259__FDSAUDITLINK__" vbProcedure="false">{"fdsup://directions/FAT Viewer?action=UPDATE&amp;creator=factset&amp;DYN_ARGS=TRUE&amp;DOC_NAME=FAT:FQL_AUDITING_CLIENT_TEMPLATE.FAT&amp;display_string=Audit&amp;VAR:KEY=PATMVCLKFE&amp;VAR:QUERY=RkZfRUJJVERBX09QRVIoTFRNLDAsLCwsVVNEKQ==&amp;WINDOW=FIRST_POPUP&amp;HEIGHT=450&amp;WIDTH=450&amp;STAR","T_MAXIMIZED=FALSE&amp;VAR:CALENDAR=US&amp;VAR:SYMBOL=TSYS&amp;VAR:INDEX=0"}</definedName>
    <definedName function="false" hidden="true" name="_25__FDSAUDITLINK__" vbProcedure="false">{"fdsup://directions/FAT Viewer?action=UPDATE&amp;creator=factset&amp;DYN_ARGS=TRUE&amp;DOC_NAME=FAT:FQL_AUDITING_CLIENT_TEMPLATE.FAT&amp;display_string=Audit&amp;VAR:KEY=SZONGJKPCL&amp;VAR:QUERY=RkZfRUJJVERBX09QRVIoTFRNLDAsLCwsVVNEKQ==&amp;WINDOW=FIRST_POPUP&amp;HEIGHT=450&amp;WIDTH=450&amp;STAR","T_MAXIMIZED=FALSE&amp;VAR:CALENDAR=US&amp;VAR:SYMBOL=SD&amp;VAR:INDEX=0"}</definedName>
    <definedName function="false" hidden="true" name="_2600__FDSAUDITLINK__" vbProcedure="false">{"fdsup://directions/FAT Viewer?action=UPDATE&amp;creator=factset&amp;DYN_ARGS=TRUE&amp;DOC_NAME=FAT:FQL_AUDITING_CLIENT_TEMPLATE.FAT&amp;display_string=Audit&amp;VAR:KEY=HYBAXCLCLC&amp;VAR:QUERY=KEZTTF9ORVRfSU5DKE5PVyxOT1csRlNBLCxVU0QpQEZGX05FVF9JTkMoTFRNUywwLCwsLFVTRCkp&amp;WINDOW=F","IRST_POPUP&amp;HEIGHT=450&amp;WIDTH=450&amp;START_MAXIMIZED=FALSE&amp;VAR:CALENDAR=US&amp;VAR:SYMBOL=080216&amp;VAR:INDEX=0"}</definedName>
    <definedName function="false" hidden="true" name="_2601__FDSAUDITLINK__" vbProcedure="false">{"fdsup://directions/FAT Viewer?action=UPDATE&amp;creator=factset&amp;DYN_ARGS=TRUE&amp;DOC_NAME=FAT:FQL_AUDITING_CLIENT_TEMPLATE.FAT&amp;display_string=Audit&amp;VAR:KEY=VUHSDUJSBY&amp;VAR:QUERY=KEZTTF9ORVRfSU5DKE5PVyxOT1csRlNBLCxVU0QpQEZGX05FVF9JTkMoTFRNUywwLCwsLFVTRCkp&amp;WINDOW=F","IRST_POPUP&amp;HEIGHT=450&amp;WIDTH=450&amp;START_MAXIMIZED=FALSE&amp;VAR:CALENDAR=US&amp;VAR:SYMBOL=CRM&amp;VAR:INDEX=0"}</definedName>
    <definedName function="false" hidden="true" name="_2602__FDSAUDITLINK__" vbProcedure="false">{"fdsup://directions/FAT Viewer?action=UPDATE&amp;creator=factset&amp;DYN_ARGS=TRUE&amp;DOC_NAME=FAT:FQL_AUDITING_CLIENT_TEMPLATE.FAT&amp;display_string=Audit&amp;VAR:KEY=ZCTQPCFOHS&amp;VAR:QUERY=KEZTTF9ORVRfSU5DKE5PVyxOT1csRlNBLCxVU0QpQEZGX05FVF9JTkMoTFRNUywwLCwsLFVTRCkp&amp;WINDOW=F","IRST_POPUP&amp;HEIGHT=450&amp;WIDTH=450&amp;START_MAXIMIZED=FALSE&amp;VAR:CALENDAR=US&amp;VAR:SYMBOL=EGAN&amp;VAR:INDEX=0"}</definedName>
    <definedName function="false" hidden="true" name="_2603__FDSAUDITLINK__" vbProcedure="false">{"fdsup://directions/FAT Viewer?action=UPDATE&amp;creator=factset&amp;DYN_ARGS=TRUE&amp;DOC_NAME=FAT:FQL_AUDITING_CLIENT_TEMPLATE.FAT&amp;display_string=Audit&amp;VAR:KEY=DIHULKHQJQ&amp;VAR:QUERY=KEZTTF9ORVRfSU5DKE5PVyxOT1csRlNBLCxVU0QpQEZGX05FVF9JTkMoTFRNUywwLCwsLFVTRCkp&amp;WINDOW=F","IRST_POPUP&amp;HEIGHT=450&amp;WIDTH=450&amp;START_MAXIMIZED=FALSE&amp;VAR:CALENDAR=US&amp;VAR:SYMBOL=KANA&amp;VAR:INDEX=0"}</definedName>
    <definedName function="false" hidden="true" name="_2604__FDSAUDITLINK__" vbProcedure="false">{"fdsup://directions/FAT Viewer?action=UPDATE&amp;creator=factset&amp;DYN_ARGS=TRUE&amp;DOC_NAME=FAT:FQL_AUDITING_CLIENT_TEMPLATE.FAT&amp;display_string=Audit&amp;VAR:KEY=NUVCLATW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01TDM&amp;VAR:INDEX=0"}</definedName>
    <definedName function="false" hidden="true" name="_2605__FDSAUDITLINK__" vbProcedure="false">{"fdsup://directions/FAT Viewer?action=UPDATE&amp;creator=factset&amp;DYN_ARGS=TRUE&amp;DOC_NAME=FAT:FQL_AUDITING_CLIENT_TEMPLATE.FAT&amp;display_string=Audit&amp;VAR:KEY=HWFGLQPU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LD6&amp;VAR:INDEX=0"}</definedName>
    <definedName function="false" hidden="true" name="_2606__FDSAUDITLINK__" vbProcedure="false">{"fdsup://directions/FAT Viewer?action=UPDATE&amp;creator=factset&amp;DYN_ARGS=TRUE&amp;DOC_NAME=FAT:FQL_AUDITING_CLIENT_TEMPLATE.FAT&amp;display_string=Audit&amp;VAR:KEY=ZQDIFKPU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ANA&amp;VAR:INDEX=0"}</definedName>
    <definedName function="false" hidden="true" name="_2607__FDSAUDITLINK__" vbProcedure="false">{"fdsup://directions/FAT Viewer?action=UPDATE&amp;creator=factset&amp;DYN_ARGS=TRUE&amp;DOC_NAME=FAT:FQL_AUDITING_CLIENT_TEMPLATE.FAT&amp;display_string=Audit&amp;VAR:KEY=TWXSHQNC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173CH&amp;VAR:INDEX=0"}</definedName>
    <definedName function="false" hidden="true" name="_2608__FDSAUDITLINK__" vbProcedure="false">{"fdsup://directions/FAT Viewer?action=UPDATE&amp;creator=factset&amp;DYN_ARGS=TRUE&amp;DOC_NAME=FAT:FQL_AUDITING_CLIENT_TEMPLATE.FAT&amp;display_string=Audit&amp;VAR:KEY=JGFOBYRK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CY1&amp;VAR:INDEX=0"}</definedName>
    <definedName function="false" hidden="true" name="_2609__FDSAUDITLINK__" vbProcedure="false">{"fdsup://directions/FAT Viewer?action=UPDATE&amp;creator=factset&amp;DYN_ARGS=TRUE&amp;DOC_NAME=FAT:FQL_AUDITING_CLIENT_TEMPLATE.FAT&amp;display_string=Audit&amp;VAR:KEY=LUNMFYREVO&amp;VAR:QUERY=KEZTTF9ORVRfSU5DKE5PVyxOT1csRlNBLCxVU0QpQEZGX05FVF9JTkMoTFRNUywwLCwsLFVTRCkp&amp;WINDOW=F","IRST_POPUP&amp;HEIGHT=450&amp;WIDTH=450&amp;START_MAXIMIZED=FALSE&amp;VAR:CALENDAR=US&amp;VAR:SYMBOL=SITO&amp;VAR:INDEX=0"}</definedName>
    <definedName function="false" hidden="true" name="_260__FDSAUDITLINK__" vbProcedure="false">{"fdsup://directions/FAT Viewer?action=UPDATE&amp;creator=factset&amp;DYN_ARGS=TRUE&amp;DOC_NAME=FAT:FQL_AUDITING_CLIENT_TEMPLATE.FAT&amp;display_string=Audit&amp;VAR:KEY=BEXUZQFSPE&amp;VAR:QUERY=RkZfRUJJVERBX09QRVIoTFRNLDAsLCwsVVNEKQ==&amp;WINDOW=FIRST_POPUP&amp;HEIGHT=450&amp;WIDTH=450&amp;STAR","T_MAXIMIZED=FALSE&amp;VAR:CALENDAR=US&amp;VAR:SYMBOL=FRM&amp;VAR:INDEX=0"}</definedName>
    <definedName function="false" hidden="true" name="_2610__FDSAUDITLINK__" vbProcedure="false">{"fdsup://directions/FAT Viewer?action=UPDATE&amp;creator=factset&amp;DYN_ARGS=TRUE&amp;DOC_NAME=FAT:FQL_AUDITING_CLIENT_TEMPLATE.FAT&amp;display_string=Audit&amp;VAR:KEY=VYFEBMPM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319187&amp;VAR:INDEX=0"}</definedName>
    <definedName function="false" hidden="true" name="_2611__FDSAUDITLINK__" vbProcedure="false">{"fdsup://Directions/FactSet Auditing Viewer?action=AUDIT_VALUE&amp;DB=129&amp;ID1=718322&amp;VALUEID=02001&amp;SDATE=201002&amp;PERIODTYPE=QTR_STD&amp;window=popup_no_bar&amp;width=385&amp;height=120&amp;START_MAXIMIZED=FALSE&amp;creator=factset&amp;display_string=Audit"}</definedName>
    <definedName function="false" hidden="true" name="_2612__FDSAUDITLINK__" vbProcedure="false">{"fdsup://directions/FAT Viewer?action=UPDATE&amp;creator=factset&amp;DYN_ARGS=TRUE&amp;DOC_NAME=FAT:FQL_AUDITING_CLIENT_TEMPLATE.FAT&amp;display_string=Audit&amp;VAR:KEY=FYTGLUJI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718322&amp;VAR:INDEX=0"}</definedName>
    <definedName function="false" hidden="true" name="_2613__FDSAUDITLINK__" vbProcedure="false">{"fdsup://Directions/FactSet Auditing Viewer?action=AUDIT_VALUE&amp;DB=129&amp;ID1=B03LD6&amp;VALUEID=02001&amp;SDATE=201001&amp;PERIODTYPE=SEMI_STD&amp;window=popup_no_bar&amp;width=385&amp;height=120&amp;START_MAXIMIZED=FALSE&amp;creator=factset&amp;display_string=Audit"}</definedName>
    <definedName function="false" hidden="true" name="_2614__FDSAUDITLINK__" vbProcedure="false">{"fdsup://Directions/FactSet Auditing Viewer?action=AUDIT_VALUE&amp;DB=129&amp;ID1=78501P10&amp;VALUEID=02001&amp;SDATE=201002&amp;PERIODTYPE=QTR_STD&amp;window=popup_no_bar&amp;width=385&amp;height=120&amp;START_MAXIMIZED=FALSE&amp;creator=factset&amp;display_string=Audit"}</definedName>
    <definedName function="false" hidden="true" name="_2615__FDSAUDITLINK__" vbProcedure="false">{"fdsup://directions/FAT Viewer?action=UPDATE&amp;creator=factset&amp;DYN_ARGS=TRUE&amp;DOC_NAME=FAT:FQL_AUDITING_CLIENT_TEMPLATE.FAT&amp;display_string=Audit&amp;VAR:KEY=PMTUZADK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GAN&amp;VAR:INDEX=0"}</definedName>
    <definedName function="false" hidden="true" name="_2616__FDSAUDITLINK__" vbProcedure="false">{"fdsup://Directions/FactSet Auditing Viewer?action=AUDIT_VALUE&amp;DB=129&amp;ID1=53814610&amp;VALUEID=02001&amp;SDATE=201002&amp;PERIODTYPE=QTR_STD&amp;window=popup_no_bar&amp;width=385&amp;height=120&amp;START_MAXIMIZED=FALSE&amp;creator=factset&amp;display_string=Audit"}</definedName>
    <definedName function="false" hidden="true" name="_2617__FDSAUDITLINK__" vbProcedure="false">{"fdsup://directions/FAT Viewer?action=UPDATE&amp;creator=factset&amp;DYN_ARGS=TRUE&amp;DOC_NAME=FAT:FQL_AUDITING_CLIENT_TEMPLATE.FAT&amp;display_string=Audit&amp;VAR:KEY=RMZELWVI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PSN&amp;VAR:INDEX=0"}</definedName>
    <definedName function="false" hidden="true" name="_2618__FDSAUDITLINK__" vbProcedure="false">{"fdsup://directions/FAT Viewer?action=UPDATE&amp;creator=factset&amp;DYN_ARGS=TRUE&amp;DOC_NAME=FAT:FQL_AUDITING_CLIENT_TEMPLATE.FAT&amp;display_string=Audit&amp;VAR:KEY=TUTWFQJU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1747B&amp;VAR:INDEX=0"}</definedName>
    <definedName function="false" hidden="true" name="_2619__FDSAUDITLINK__" vbProcedure="false">{"fdsup://Directions/FactSet Auditing Viewer?action=AUDIT_VALUE&amp;DB=129&amp;ID1=82932T10&amp;VALUEID=02001&amp;SDATE=201003&amp;PERIODTYPE=QTR_STD&amp;window=popup_no_bar&amp;width=385&amp;height=120&amp;START_MAXIMIZED=FALSE&amp;creator=factset&amp;display_string=Audit"}</definedName>
    <definedName function="false" hidden="true" name="_261__FDSAUDITLINK__" vbProcedure="false">{"fdsup://directions/FAT Viewer?action=UPDATE&amp;creator=factset&amp;DYN_ARGS=TRUE&amp;DOC_NAME=FAT:FQL_AUDITING_CLIENT_TEMPLATE.FAT&amp;display_string=Audit&amp;VAR:KEY=XUPUPMRENM&amp;VAR:QUERY=RkZfRUJJVERBX09QRVIoTFRNLDAsLCwsVVNEKQ==&amp;WINDOW=FIRST_POPUP&amp;HEIGHT=450&amp;WIDTH=450&amp;STAR","T_MAXIMIZED=FALSE&amp;VAR:CALENDAR=US&amp;VAR:SYMBOL=TPLM&amp;VAR:INDEX=0"}</definedName>
    <definedName function="false" hidden="true" name="_2620__FDSAUDITLINK__" vbProcedure="false">{"fdsup://Directions/FactSet Auditing Viewer?action=AUDIT_VALUE&amp;DB=129&amp;ID1=75525F10&amp;VALUEID=02001&amp;SDATE=201002&amp;PERIODTYPE=QTR_STD&amp;window=popup_no_bar&amp;width=385&amp;height=120&amp;START_MAXIMIZED=FALSE&amp;creator=factset&amp;display_string=Audit"}</definedName>
    <definedName function="false" hidden="true" name="_2621__FDSAUDITLINK__" vbProcedure="false">{"fdsup://Directions/FactSet Auditing Viewer?action=AUDIT_VALUE&amp;DB=129&amp;ID1=B01TDM&amp;VALUEID=02001&amp;SDATE=201001&amp;PERIODTYPE=SEMI_STD&amp;window=popup_no_bar&amp;width=385&amp;height=120&amp;START_MAXIMIZED=FALSE&amp;creator=factset&amp;display_string=Audit"}</definedName>
    <definedName function="false" hidden="true" name="_2622__FDSAUDITLINK__" vbProcedure="false">{"fdsup://Directions/FactSet Auditing Viewer?action=AUDIT_VALUE&amp;DB=129&amp;ID1=599958&amp;VALUEID=02001&amp;SDATE=201002&amp;PERIODTYPE=QTR_STD&amp;window=popup_no_bar&amp;width=385&amp;height=120&amp;START_MAXIMIZED=FALSE&amp;creator=factset&amp;display_string=Audit"}</definedName>
    <definedName function="false" hidden="true" name="_2623__FDSAUDITLINK__" vbProcedure="false">{"fdsup://Directions/FactSet Auditing Viewer?action=AUDIT_VALUE&amp;DB=129&amp;ID1=74874Q10&amp;VALUEID=02001&amp;SDATE=201004&amp;PERIODTYPE=QTR_STD&amp;window=popup_no_bar&amp;width=385&amp;height=120&amp;START_MAXIMIZED=FALSE&amp;creator=factset&amp;display_string=Audit"}</definedName>
    <definedName function="false" hidden="true" name="_2624__FDSAUDITLINK__" vbProcedure="false">{"fdsup://Directions/FactSet Auditing Viewer?action=AUDIT_VALUE&amp;DB=129&amp;ID1=76657R10&amp;VALUEID=02001&amp;SDATE=201002&amp;PERIODTYPE=QTR_STD&amp;window=popup_no_bar&amp;width=385&amp;height=120&amp;START_MAXIMIZED=FALSE&amp;creator=factset&amp;display_string=Audit"}</definedName>
    <definedName function="false" hidden="true" name="_2625__FDSAUDITLINK__" vbProcedure="false">{"fdsup://Directions/FactSet Auditing Viewer?action=AUDIT_VALUE&amp;DB=129&amp;ID1=080216&amp;VALUEID=02001&amp;SDATE=201001&amp;PERIODTYPE=SEMI_STD&amp;window=popup_no_bar&amp;width=385&amp;height=120&amp;START_MAXIMIZED=FALSE&amp;creator=factset&amp;display_string=Audit"}</definedName>
    <definedName function="false" hidden="true" name="_2626__FDSAUDITLINK__" vbProcedure="false">{"fdsup://Directions/FactSet Auditing Viewer?action=AUDIT_VALUE&amp;DB=129&amp;ID1=79466L30&amp;VALUEID=02001&amp;SDATE=201002&amp;PERIODTYPE=QTR_STD&amp;window=popup_no_bar&amp;width=385&amp;height=120&amp;START_MAXIMIZED=FALSE&amp;creator=factset&amp;display_string=Audit"}</definedName>
    <definedName function="false" hidden="true" name="_2627__FDSAUDITLINK__" vbProcedure="false">{"fdsup://directions/FAT Viewer?action=UPDATE&amp;creator=factset&amp;DYN_ARGS=TRUE&amp;DOC_NAME=FAT:FQL_AUDITING_CLIENT_TEMPLATE.FAT&amp;display_string=Audit&amp;VAR:KEY=PWNKNQZU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ITO&amp;VAR:INDEX=0"}</definedName>
    <definedName function="false" hidden="true" name="_2628__FDSAUDITLINK__" vbProcedure="false">{"fdsup://Directions/FactSet Auditing Viewer?action=AUDIT_VALUE&amp;DB=129&amp;ID1=78644920&amp;VALUEID=02001&amp;SDATE=201002&amp;PERIODTYPE=QTR_STD&amp;window=popup_no_bar&amp;width=385&amp;height=120&amp;START_MAXIMIZED=FALSE&amp;creator=factset&amp;display_string=Audit"}</definedName>
    <definedName function="false" hidden="true" name="_2629__FDSAUDITLINK__" vbProcedure="false">{"fdsup://directions/FAT Viewer?action=UPDATE&amp;creator=factset&amp;DYN_ARGS=TRUE&amp;DOC_NAME=FAT:FQL_AUDITING_CLIENT_TEMPLATE.FAT&amp;display_string=Audit&amp;VAR:KEY=PSPALYBITU&amp;VAR:QUERY=KEZTTF9ORVRfSU5DKE5PVyxOT1csRlNBLCxVU0QpQEZGX05FVF9JTkMoTFRNUywwLCwsLFVTRCkp&amp;WINDOW=F","IRST_POPUP&amp;HEIGHT=450&amp;WIDTH=450&amp;START_MAXIMIZED=FALSE&amp;VAR:CALENDAR=US&amp;VAR:SYMBOL=718322&amp;VAR:INDEX=0"}</definedName>
    <definedName function="false" hidden="true" name="_262__FDSAUDITLINK__" vbProcedure="false">{"fdsup://directions/FAT Viewer?action=UPDATE&amp;creator=factset&amp;DYN_ARGS=TRUE&amp;DOC_NAME=FAT:FQL_AUDITING_CLIENT_TEMPLATE.FAT&amp;display_string=Audit&amp;VAR:KEY=DOPAPMBODU&amp;VAR:QUERY=RkZfRUJJVERBX09QRVIoTFRNLDAsLCwsVVNEKQ==&amp;WINDOW=FIRST_POPUP&amp;HEIGHT=450&amp;WIDTH=450&amp;STAR","T_MAXIMIZED=FALSE&amp;VAR:CALENDAR=US&amp;VAR:SYMBOL=RIG&amp;VAR:INDEX=0"}</definedName>
    <definedName function="false" hidden="true" name="_2630__FDSAUDITLINK__" vbProcedure="false">{"fdsup://directions/FAT Viewer?action=UPDATE&amp;creator=factset&amp;DYN_ARGS=TRUE&amp;DOC_NAME=FAT:FQL_AUDITING_CLIENT_TEMPLATE.FAT&amp;display_string=Audit&amp;VAR:KEY=XEDUVCBGV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NST&amp;VAR:INDEX=0"}</definedName>
    <definedName function="false" hidden="true" name="_2631__FDSAUDITLINK__" vbProcedure="false">{"fdsup://directions/FAT Viewer?action=UPDATE&amp;creator=factset&amp;DYN_ARGS=TRUE&amp;DOC_NAME=FAT:FQL_AUDITING_CLIENT_TEMPLATE.FAT&amp;display_string=Audit&amp;VAR:KEY=LMXQDGRA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OW&amp;VAR:INDEX=0"}</definedName>
    <definedName function="false" hidden="true" name="_2632__FDSAUDITLINK__" vbProcedure="false">{"fdsup://directions/FAT Viewer?action=UPDATE&amp;creator=factset&amp;DYN_ARGS=TRUE&amp;DOC_NAME=FAT:FQL_AUDITING_CLIENT_TEMPLATE.FAT&amp;display_string=Audit&amp;VAR:KEY=ZSBSBARW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080216&amp;VAR:INDEX=0"}</definedName>
    <definedName function="false" hidden="true" name="_2633__FDSAUDITLINK__" vbProcedure="false">{"fdsup://directions/FAT Viewer?action=UPDATE&amp;creator=factset&amp;DYN_ARGS=TRUE&amp;DOC_NAME=FAT:FQL_AUDITING_CLIENT_TEMPLATE.FAT&amp;display_string=Audit&amp;VAR:KEY=DKXMNARU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M&amp;VAR:INDEX=0"}</definedName>
    <definedName function="false" hidden="true" name="_2634__FDSAUDITLINK__" vbProcedure="false">{"fdsup://directions/FAT Viewer?action=UPDATE&amp;creator=factset&amp;DYN_ARGS=TRUE&amp;DOC_NAME=FAT:FQL_AUDITING_CLIENT_TEMPLATE.FAT&amp;display_string=Audit&amp;VAR:KEY=XUDETWPOPO&amp;VAR:QUERY=KEZTTF9ORVRfSU5DKE5PVyxOT1csRlNBLCxVU0QpQEZGX05FVF9JTkMoTFRNUywwLCwsLFVTRCkp&amp;WINDOW=F","IRST_POPUP&amp;HEIGHT=450&amp;WIDTH=450&amp;START_MAXIMIZED=FALSE&amp;VAR:CALENDAR=US&amp;VAR:SYMBOL=PLGC&amp;VAR:INDEX=0"}</definedName>
    <definedName function="false" hidden="true" name="_2635__FDSAUDITLINK__" vbProcedure="false">{"fdsup://directions/FAT Viewer?action=UPDATE&amp;creator=factset&amp;DYN_ARGS=TRUE&amp;DOC_NAME=FAT:FQL_AUDITING_CLIENT_TEMPLATE.FAT&amp;display_string=Audit&amp;VAR:KEY=PWXYNMXEZY&amp;VAR:QUERY=KEZTTF9ORVRfSU5DKE5PVyxOT1csRlNBLCxVU0QpQEZGX05FVF9JTkMoTFRNUywwLCwsLFVTRCkp&amp;WINDOW=F","IRST_POPUP&amp;HEIGHT=450&amp;WIDTH=450&amp;START_MAXIMIZED=FALSE&amp;VAR:CALENDAR=US&amp;VAR:SYMBOL=MNDL&amp;VAR:INDEX=0"}</definedName>
    <definedName function="false" hidden="true" name="_2636__FDSAUDITLINK__" vbProcedure="false">{"fdsup://directions/FAT Viewer?action=UPDATE&amp;creator=factset&amp;DYN_ARGS=TRUE&amp;DOC_NAME=FAT:FQL_AUDITING_CLIENT_TEMPLATE.FAT&amp;display_string=Audit&amp;VAR:KEY=FUDQJEVSLY&amp;VAR:QUERY=KEZTTF9ORVRfSU5DKE5PVyxOT1csRlNBLCxVU0QpQEZGX05FVF9JTkMoTFRNUywwLCwsLFVTRCkp&amp;WINDOW=F","IRST_POPUP&amp;HEIGHT=450&amp;WIDTH=450&amp;START_MAXIMIZED=FALSE&amp;VAR:CALENDAR=US&amp;VAR:SYMBOL=SOPK&amp;VAR:INDEX=0"}</definedName>
    <definedName function="false" hidden="true" name="_2637__FDSAUDITLINK__" vbProcedure="false">{"fdsup://directions/FAT Viewer?action=UPDATE&amp;creator=factset&amp;DYN_ARGS=TRUE&amp;DOC_NAME=FAT:FQL_AUDITING_CLIENT_TEMPLATE.FAT&amp;display_string=Audit&amp;VAR:KEY=FWTCFYPCVW&amp;VAR:QUERY=KEZTTF9ORVRfSU5DKE5PVyxOT1csRlNBLCxVU0QpQEZGX05FVF9JTkMoTFRNUywwLCwsLFVTRCkp&amp;WINDOW=F","IRST_POPUP&amp;HEIGHT=450&amp;WIDTH=450&amp;START_MAXIMIZED=FALSE&amp;VAR:CALENDAR=US&amp;VAR:SYMBOL=COOL&amp;VAR:INDEX=0"}</definedName>
    <definedName function="false" hidden="true" name="_2638__FDSAUDITLINK__" vbProcedure="false">{"fdsup://directions/FAT Viewer?action=UPDATE&amp;creator=factset&amp;DYN_ARGS=TRUE&amp;DOC_NAME=FAT:FQL_AUDITING_CLIENT_TEMPLATE.FAT&amp;display_string=Audit&amp;VAR:KEY=XKZADKFGHK&amp;VAR:QUERY=KEZTTF9ORVRfSU5DKE5PVyxOT1csRlNBLCxVU0QpQEZGX05FVF9JTkMoTFRNUywwLCwsLFVTRCkp&amp;WINDOW=F","IRST_POPUP&amp;HEIGHT=450&amp;WIDTH=450&amp;START_MAXIMIZED=FALSE&amp;VAR:CALENDAR=US&amp;VAR:SYMBOL=756802&amp;VAR:INDEX=0"}</definedName>
    <definedName function="false" hidden="true" name="_2639__FDSAUDITLINK__" vbProcedure="false">{"fdsup://directions/FAT Viewer?action=UPDATE&amp;creator=factset&amp;DYN_ARGS=TRUE&amp;DOC_NAME=FAT:FQL_AUDITING_CLIENT_TEMPLATE.FAT&amp;display_string=Audit&amp;VAR:KEY=RCJYLMDATO&amp;VAR:QUERY=KEZTTF9ORVRfSU5DKE5PVyxOT1csRlNBLCxVU0QpQEZGX05FVF9JTkMoTFRNUywwLCwsLFVTRCkp&amp;WINDOW=F","IRST_POPUP&amp;HEIGHT=450&amp;WIDTH=450&amp;START_MAXIMIZED=FALSE&amp;VAR:CALENDAR=US&amp;VAR:SYMBOL=GLUU&amp;VAR:INDEX=0"}</definedName>
    <definedName function="false" hidden="true" name="_263__FDSAUDITLINK__" vbProcedure="false">{"fdsup://directions/FAT Viewer?action=UPDATE&amp;creator=factset&amp;DYN_ARGS=TRUE&amp;DOC_NAME=FAT:FQL_AUDITING_CLIENT_TEMPLATE.FAT&amp;display_string=Audit&amp;VAR:KEY=QBYXERKHED&amp;VAR:QUERY=RkZfRUJJVERBX09QRVIoTFRNLDAsLCwsVVNEKQ==&amp;WINDOW=FIRST_POPUP&amp;HEIGHT=450&amp;WIDTH=450&amp;STAR","T_MAXIMIZED=FALSE&amp;VAR:CALENDAR=US&amp;VAR:SYMBOL=AVAV&amp;VAR:INDEX=0"}</definedName>
    <definedName function="false" hidden="true" name="_2640__FDSAUDITLINK__" vbProcedure="false">{"fdsup://directions/FAT Viewer?action=UPDATE&amp;creator=factset&amp;DYN_ARGS=TRUE&amp;DOC_NAME=FAT:FQL_AUDITING_CLIENT_TEMPLATE.FAT&amp;display_string=Audit&amp;VAR:KEY=TIDOVOPWJI&amp;VAR:QUERY=KEZTTF9ORVRfSU5DKE5PVyxOT1csRlNBLCxVU0QpQEZGX05FVF9JTkMoTFRNUywwLCwsLFVTRCkp&amp;WINDOW=F","IRST_POPUP&amp;HEIGHT=450&amp;WIDTH=450&amp;START_MAXIMIZED=FALSE&amp;VAR:CALENDAR=US&amp;VAR:SYMBOL=LF&amp;VAR:INDEX=0"}</definedName>
    <definedName function="false" hidden="true" name="_2641__FDSAUDITLINK__" vbProcedure="false">{"fdsup://directions/FAT Viewer?action=UPDATE&amp;creator=factset&amp;DYN_ARGS=TRUE&amp;DOC_NAME=FAT:FQL_AUDITING_CLIENT_TEMPLATE.FAT&amp;display_string=Audit&amp;VAR:KEY=DAZQVITMBM&amp;VAR:QUERY=KEZTTF9ORVRfSU5DKE5PVyxOT1csRlNBLCxVU0QpQEZGX05FVF9JTkMoTFRNUywwLCwsLFVTRCkp&amp;WINDOW=F","IRST_POPUP&amp;HEIGHT=450&amp;WIDTH=450&amp;START_MAXIMIZED=FALSE&amp;VAR:CALENDAR=US&amp;VAR:SYMBOL=THQI&amp;VAR:INDEX=0"}</definedName>
    <definedName function="false" hidden="true" name="_2642__FDSAUDITLINK__" vbProcedure="false">{"fdsup://directions/FAT Viewer?action=UPDATE&amp;creator=factset&amp;DYN_ARGS=TRUE&amp;DOC_NAME=FAT:FQL_AUDITING_CLIENT_TEMPLATE.FAT&amp;display_string=Audit&amp;VAR:KEY=RGNQBYPILU&amp;VAR:QUERY=KEZTTF9ORVRfSU5DKE5PVyxOT1csRlNBLCxVU0QpQEZGX05FVF9JTkMoTFRNUywwLCwsLFVTRCkp&amp;WINDOW=F","IRST_POPUP&amp;HEIGHT=450&amp;WIDTH=450&amp;START_MAXIMIZED=FALSE&amp;VAR:CALENDAR=US&amp;VAR:SYMBOL=RST&amp;VAR:INDEX=0"}</definedName>
    <definedName function="false" hidden="true" name="_2643__FDSAUDITLINK__" vbProcedure="false">{"fdsup://directions/FAT Viewer?action=UPDATE&amp;creator=factset&amp;DYN_ARGS=TRUE&amp;DOC_NAME=FAT:FQL_AUDITING_CLIENT_TEMPLATE.FAT&amp;display_string=Audit&amp;VAR:KEY=RGTMJIJGXI&amp;VAR:QUERY=KEZTTF9ORVRfSU5DKE5PVyxOT1csRlNBLCxVU0QpQEZGX05FVF9JTkMoTFRNUywwLCwsLFVTRCkp&amp;WINDOW=F","IRST_POPUP&amp;HEIGHT=450&amp;WIDTH=450&amp;START_MAXIMIZED=FALSE&amp;VAR:CALENDAR=US&amp;VAR:SYMBOL=598427&amp;VAR:INDEX=0"}</definedName>
    <definedName function="false" hidden="true" name="_2644__FDSAUDITLINK__" vbProcedure="false">{"fdsup://directions/FAT Viewer?action=UPDATE&amp;creator=factset&amp;DYN_ARGS=TRUE&amp;DOC_NAME=FAT:FQL_AUDITING_CLIENT_TEMPLATE.FAT&amp;display_string=Audit&amp;VAR:KEY=BYBCJATWNE&amp;VAR:QUERY=KEZTTF9ORVRfSU5DKE5PVyxOT1csRlNBLCxVU0QpQEZGX05FVF9JTkMoTFRNUywwLCwsLFVTRCkp&amp;WINDOW=F","IRST_POPUP&amp;HEIGHT=450&amp;WIDTH=450&amp;START_MAXIMIZED=FALSE&amp;VAR:CALENDAR=US&amp;VAR:SYMBOL=GAME&amp;VAR:INDEX=0"}</definedName>
    <definedName function="false" hidden="true" name="_2645__FDSAUDITLINK__" vbProcedure="false">{"fdsup://directions/FAT Viewer?action=UPDATE&amp;creator=factset&amp;DYN_ARGS=TRUE&amp;DOC_NAME=FAT:FQL_AUDITING_CLIENT_TEMPLATE.FAT&amp;display_string=Audit&amp;VAR:KEY=DAHELYTSRG&amp;VAR:QUERY=KEZTTF9ORVRfSU5DKE5PVyxOT1csRlNBLCxVU0QpQEZGX05FVF9JTkMoTFRNUywwLCwsLFVTRCkp&amp;WINDOW=F","IRST_POPUP&amp;HEIGHT=450&amp;WIDTH=450&amp;START_MAXIMIZED=FALSE&amp;VAR:CALENDAR=US&amp;VAR:SYMBOL=TTWO&amp;VAR:INDEX=0"}</definedName>
    <definedName function="false" hidden="true" name="_2646__FDSAUDITLINK__" vbProcedure="false">{"fdsup://directions/FAT Viewer?action=UPDATE&amp;creator=factset&amp;DYN_ARGS=TRUE&amp;DOC_NAME=FAT:FQL_AUDITING_CLIENT_TEMPLATE.FAT&amp;display_string=Audit&amp;VAR:KEY=LSXMZKZAZC&amp;VAR:QUERY=KEZTTF9ORVRfSU5DKE5PVyxOT1csRlNBLCxVU0QpQEZGX05FVF9JTkMoTFRNUywwLCwsLFVTRCkp&amp;WINDOW=F","IRST_POPUP&amp;HEIGHT=450&amp;WIDTH=450&amp;START_MAXIMIZED=FALSE&amp;VAR:CALENDAR=US&amp;VAR:SYMBOL=03280310&amp;VAR:INDEX=0"}</definedName>
    <definedName function="false" hidden="true" name="_2647__FDSAUDITLINK__" vbProcedure="false">{"fdsup://directions/FAT Viewer?action=UPDATE&amp;creator=factset&amp;DYN_ARGS=TRUE&amp;DOC_NAME=FAT:FQL_AUDITING_CLIENT_TEMPLATE.FAT&amp;display_string=Audit&amp;VAR:KEY=XUREFUDWZU&amp;VAR:QUERY=KEZTTF9ORVRfSU5DKE5PVyxOT1csRlNBLCxVU0QpQEZGX05FVF9JTkMoTFRNUywwLCwsLFVTRCkp&amp;WINDOW=F","IRST_POPUP&amp;HEIGHT=450&amp;WIDTH=450&amp;START_MAXIMIZED=FALSE&amp;VAR:CALENDAR=US&amp;VAR:SYMBOL=ATVI&amp;VAR:INDEX=0"}</definedName>
    <definedName function="false" hidden="true" name="_2648__FDSAUDITLINK__" vbProcedure="false">{"fdsup://directions/FAT Viewer?action=UPDATE&amp;creator=factset&amp;DYN_ARGS=TRUE&amp;DOC_NAME=FAT:FQL_AUDITING_CLIENT_TEMPLATE.FAT&amp;display_string=Audit&amp;VAR:KEY=HQVYRWVMLK&amp;VAR:QUERY=KEZTTF9ORVRfSU5DKE5PVyxOT1csRlNBLCxVU0QpQEZGX05FVF9JTkMoTFRNUywwLCwsLFVTRCkp&amp;WINDOW=F","IRST_POPUP&amp;HEIGHT=450&amp;WIDTH=450&amp;START_MAXIMIZED=FALSE&amp;VAR:CALENDAR=US&amp;VAR:SYMBOL=INTU&amp;VAR:INDEX=0"}</definedName>
    <definedName function="false" hidden="true" name="_2649__FDSAUDITLINK__" vbProcedure="false">{"fdsup://directions/FAT Viewer?action=UPDATE&amp;creator=factset&amp;DYN_ARGS=TRUE&amp;DOC_NAME=FAT:FQL_AUDITING_CLIENT_TEMPLATE.FAT&amp;display_string=Audit&amp;VAR:KEY=JIDEBOVMR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LGC&amp;VAR:INDEX=0"}</definedName>
    <definedName function="false" hidden="true" name="_264__FDSAUDITLINK__" vbProcedure="false">{"fdsup://directions/FAT Viewer?action=UPDATE&amp;creator=factset&amp;DYN_ARGS=TRUE&amp;DOC_NAME=FAT:FQL_AUDITING_CLIENT_TEMPLATE.FAT&amp;display_string=Audit&amp;VAR:KEY=BERWXUVKJY&amp;VAR:QUERY=RkZfRUJJVERBX09QRVIoTFRNLDAsLCwsVVNEKQ==&amp;WINDOW=FIRST_POPUP&amp;HEIGHT=450&amp;WIDTH=450&amp;STAR","T_MAXIMIZED=FALSE&amp;VAR:CALENDAR=US&amp;VAR:SYMBOL=PWER&amp;VAR:INDEX=0"}</definedName>
    <definedName function="false" hidden="true" name="_2650__FDSAUDITLINK__" vbProcedure="false">{"fdsup://directions/FAT Viewer?action=UPDATE&amp;creator=factset&amp;DYN_ARGS=TRUE&amp;DOC_NAME=FAT:FQL_AUDITING_CLIENT_TEMPLATE.FAT&amp;display_string=Audit&amp;VAR:KEY=RUHIJSHS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NDL&amp;VAR:INDEX=0"}</definedName>
    <definedName function="false" hidden="true" name="_2651__FDSAUDITLINK__" vbProcedure="false">{"fdsup://directions/FAT Viewer?action=UPDATE&amp;creator=factset&amp;DYN_ARGS=TRUE&amp;DOC_NAME=FAT:FQL_AUDITING_CLIENT_TEMPLATE.FAT&amp;display_string=Audit&amp;VAR:KEY=DCVEJYHU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PK&amp;VAR:INDEX=0"}</definedName>
    <definedName function="false" hidden="true" name="_2652__FDSAUDITLINK__" vbProcedure="false">{"fdsup://directions/FAT Viewer?action=UPDATE&amp;creator=factset&amp;DYN_ARGS=TRUE&amp;DOC_NAME=FAT:FQL_AUDITING_CLIENT_TEMPLATE.FAT&amp;display_string=Audit&amp;VAR:KEY=PYHMNKLK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OL&amp;VAR:INDEX=0"}</definedName>
    <definedName function="false" hidden="true" name="_2653__FDSAUDITLINK__" vbProcedure="false">{"fdsup://directions/FAT Viewer?action=UPDATE&amp;creator=factset&amp;DYN_ARGS=TRUE&amp;DOC_NAME=FAT:FQL_AUDITING_CLIENT_TEMPLATE.FAT&amp;display_string=Audit&amp;VAR:KEY=XWJSPSDU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756802&amp;VAR:INDEX=0"}</definedName>
    <definedName function="false" hidden="true" name="_2654__FDSAUDITLINK__" vbProcedure="false">{"fdsup://directions/FAT Viewer?action=UPDATE&amp;creator=factset&amp;DYN_ARGS=TRUE&amp;DOC_NAME=FAT:FQL_AUDITING_CLIENT_TEMPLATE.FAT&amp;display_string=Audit&amp;VAR:KEY=TCPGLGFQ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UU&amp;VAR:INDEX=0"}</definedName>
    <definedName function="false" hidden="true" name="_2655__FDSAUDITLINK__" vbProcedure="false">{"fdsup://directions/FAT Viewer?action=UPDATE&amp;creator=factset&amp;DYN_ARGS=TRUE&amp;DOC_NAME=FAT:FQL_AUDITING_CLIENT_TEMPLATE.FAT&amp;display_string=Audit&amp;VAR:KEY=DEZUDUPS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F&amp;VAR:INDEX=0"}</definedName>
    <definedName function="false" hidden="true" name="_2656__FDSAUDITLINK__" vbProcedure="false">{"fdsup://directions/FAT Viewer?action=UPDATE&amp;creator=factset&amp;DYN_ARGS=TRUE&amp;DOC_NAME=FAT:FQL_AUDITING_CLIENT_TEMPLATE.FAT&amp;display_string=Audit&amp;VAR:KEY=RSXGRANQ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HQI&amp;VAR:INDEX=0"}</definedName>
    <definedName function="false" hidden="true" name="_2657__FDSAUDITLINK__" vbProcedure="false">{"fdsup://directions/FAT Viewer?action=UPDATE&amp;creator=factset&amp;DYN_ARGS=TRUE&amp;DOC_NAME=FAT:FQL_AUDITING_CLIENT_TEMPLATE.FAT&amp;display_string=Audit&amp;VAR:KEY=XYPKPIBM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ST&amp;VAR:INDEX=0"}</definedName>
    <definedName function="false" hidden="true" name="_2658__FDSAUDITLINK__" vbProcedure="false">{"fdsup://directions/FAT Viewer?action=UPDATE&amp;creator=factset&amp;DYN_ARGS=TRUE&amp;DOC_NAME=FAT:FQL_AUDITING_CLIENT_TEMPLATE.FAT&amp;display_string=Audit&amp;VAR:KEY=ZIJMVOXW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598427&amp;VAR:INDEX=0"}</definedName>
    <definedName function="false" hidden="true" name="_2659__FDSAUDITLINK__" vbProcedure="false">{"fdsup://Directions/FactSet Auditing Viewer?action=AUDIT_VALUE&amp;DB=129&amp;ID1=72812710&amp;VALUEID=02001&amp;SDATE=201001&amp;PERIODTYPE=QTR_STD&amp;window=popup_no_bar&amp;width=385&amp;height=120&amp;START_MAXIMIZED=FALSE&amp;creator=factset&amp;display_string=Audit"}</definedName>
    <definedName function="false" hidden="true" name="_265__FDSAUDITLINK__" vbProcedure="false">{"fdsup://directions/FAT Viewer?action=UPDATE&amp;creator=factset&amp;DYN_ARGS=TRUE&amp;DOC_NAME=FAT:FQL_AUDITING_CLIENT_TEMPLATE.FAT&amp;display_string=Audit&amp;VAR:KEY=MRWJIZGZAP&amp;VAR:QUERY=RkZfRUJJVERBX09QRVIoTFRNLDAsLCwsVVNEKQ==&amp;WINDOW=FIRST_POPUP&amp;HEIGHT=450&amp;WIDTH=450&amp;STAR","T_MAXIMIZED=FALSE&amp;VAR:CALENDAR=US&amp;VAR:SYMBOL=MYRG&amp;VAR:INDEX=0"}</definedName>
    <definedName function="false" hidden="true" name="_2660__FDSAUDITLINK__" vbProcedure="false">{"fdsup://Directions/FactSet Auditing Viewer?action=AUDIT_VALUE&amp;DB=129&amp;ID1=64128P10&amp;VALUEID=02001&amp;SDATE=201001&amp;PERIODTYPE=QTR_STD&amp;window=popup_no_bar&amp;width=385&amp;height=120&amp;START_MAXIMIZED=FALSE&amp;creator=factset&amp;display_string=Audit"}</definedName>
    <definedName function="false" hidden="true" name="_2661__FDSAUDITLINK__" vbProcedure="false">{"fdsup://Directions/FactSet Auditing Viewer?action=AUDIT_VALUE&amp;DB=129&amp;ID1=84464910&amp;VALUEID=02001&amp;SDATE=201004&amp;PERIODTYPE=QTR_STD&amp;window=popup_no_bar&amp;width=385&amp;height=120&amp;START_MAXIMIZED=FALSE&amp;creator=factset&amp;display_string=Audit"}</definedName>
    <definedName function="false" hidden="true" name="_2662__FDSAUDITLINK__" vbProcedure="false">{"fdsup://Directions/FactSet Auditing Viewer?action=AUDIT_VALUE&amp;DB=129&amp;ID1=56069020&amp;VALUEID=02001&amp;SDATE=201003&amp;PERIODTYPE=QTR_STD&amp;window=popup_no_bar&amp;width=385&amp;height=120&amp;START_MAXIMIZED=FALSE&amp;creator=factset&amp;display_string=Audit"}</definedName>
    <definedName function="false" hidden="true" name="_2663__FDSAUDITLINK__" vbProcedure="false">{"fdsup://Directions/FactSet Auditing Viewer?action=AUDIT_VALUE&amp;DB=129&amp;ID1=756802&amp;VALUEID=02001&amp;SDATE=201002&amp;PERIODTYPE=QTR_STD&amp;window=popup_no_bar&amp;width=385&amp;height=120&amp;START_MAXIMIZED=FALSE&amp;creator=factset&amp;display_string=Audit"}</definedName>
    <definedName function="false" hidden="true" name="_2664__FDSAUDITLINK__" vbProcedure="false">{"fdsup://Directions/FactSet Auditing Viewer?action=AUDIT_VALUE&amp;DB=129&amp;ID1=37989010&amp;VALUEID=02001&amp;SDATE=201002&amp;PERIODTYPE=QTR_STD&amp;window=popup_no_bar&amp;width=385&amp;height=120&amp;START_MAXIMIZED=FALSE&amp;creator=factset&amp;display_string=Audit"}</definedName>
    <definedName function="false" hidden="true" name="_2665__FDSAUDITLINK__" vbProcedure="false">{"fdsup://Directions/FactSet Auditing Viewer?action=AUDIT_VALUE&amp;DB=129&amp;ID1=52186N10&amp;VALUEID=02001&amp;SDATE=201002&amp;PERIODTYPE=QTR_STD&amp;window=popup_no_bar&amp;width=385&amp;height=120&amp;START_MAXIMIZED=FALSE&amp;creator=factset&amp;display_string=Audit"}</definedName>
    <definedName function="false" hidden="true" name="_2666__FDSAUDITLINK__" vbProcedure="false">{"fdsup://Directions/FactSet Auditing Viewer?action=AUDIT_VALUE&amp;DB=129&amp;ID1=87244340&amp;VALUEID=02001&amp;SDATE=201001&amp;PERIODTYPE=QTR_STD&amp;window=popup_no_bar&amp;width=385&amp;height=120&amp;START_MAXIMIZED=FALSE&amp;creator=factset&amp;display_string=Audit"}</definedName>
    <definedName function="false" hidden="true" name="_2667__FDSAUDITLINK__" vbProcedure="false">{"fdsup://Directions/FactSet Auditing Viewer?action=AUDIT_VALUE&amp;DB=129&amp;ID1=598427&amp;VALUEID=02001&amp;SDATE=201001&amp;PERIODTYPE=SEMI_STD&amp;window=popup_no_bar&amp;width=385&amp;height=120&amp;START_MAXIMIZED=FALSE&amp;creator=factset&amp;display_string=Audit"}</definedName>
    <definedName function="false" hidden="true" name="_2668__FDSAUDITLINK__" vbProcedure="false">{"fdsup://directions/FAT Viewer?action=UPDATE&amp;creator=factset&amp;DYN_ARGS=TRUE&amp;DOC_NAME=FAT:FQL_AUDITING_CLIENT_TEMPLATE.FAT&amp;display_string=Audit&amp;VAR:KEY=TMXKPUVE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WO&amp;VAR:INDEX=0"}</definedName>
    <definedName function="false" hidden="true" name="_2669__FDSAUDITLINK__" vbProcedure="false">{"fdsup://directions/FAT Viewer?action=UPDATE&amp;creator=factset&amp;DYN_ARGS=TRUE&amp;DOC_NAME=FAT:FQL_AUDITING_CLIENT_TEMPLATE.FAT&amp;display_string=Audit&amp;VAR:KEY=FEHSHEDM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BE&amp;VAR:INDEX=0"}</definedName>
    <definedName function="false" hidden="true" name="_266__FDSAUDITLINK__" vbProcedure="false">{"fdsup://directions/FAT Viewer?action=UPDATE&amp;creator=factset&amp;DYN_ARGS=TRUE&amp;DOC_NAME=FAT:FQL_AUDITING_CLIENT_TEMPLATE.FAT&amp;display_string=Audit&amp;VAR:KEY=ZALSBORMBW&amp;VAR:QUERY=RkZfRUJJVERBX09QRVIoTFRNLDAsLCwsVVNEKQ==&amp;WINDOW=FIRST_POPUP&amp;HEIGHT=450&amp;WIDTH=450&amp;STAR","T_MAXIMIZED=FALSE&amp;VAR:CALENDAR=US&amp;VAR:SYMBOL=CCBG&amp;VAR:INDEX=0"}</definedName>
    <definedName function="false" hidden="true" name="_2670__FDSAUDITLINK__" vbProcedure="false">{"fdsup://Directions/FactSet Auditing Viewer?action=AUDIT_VALUE&amp;DB=129&amp;ID1=00724F10&amp;VALUEID=02001&amp;SDATE=201003&amp;PERIODTYPE=QTR_STD&amp;window=popup_no_bar&amp;width=385&amp;height=120&amp;START_MAXIMIZED=FALSE&amp;creator=factset&amp;display_string=Audit"}</definedName>
    <definedName function="false" hidden="true" name="_2671__FDSAUDITLINK__" vbProcedure="false">{"fdsup://directions/FAT Viewer?action=UPDATE&amp;creator=factset&amp;DYN_ARGS=TRUE&amp;DOC_NAME=FAT:FQL_AUDITING_CLIENT_TEMPLATE.FAT&amp;display_string=Audit&amp;VAR:KEY=PMBWJSNY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U&amp;VAR:INDEX=0"}</definedName>
    <definedName function="false" hidden="true" name="_2672__FDSAUDITLINK__" vbProcedure="false">{"fdsup://Directions/FactSet Auditing Viewer?action=AUDIT_VALUE&amp;DB=129&amp;ID1=87405410&amp;VALUEID=02001&amp;SDATE=201003&amp;PERIODTYPE=QTR_STD&amp;window=popup_no_bar&amp;width=385&amp;height=120&amp;START_MAXIMIZED=FALSE&amp;creator=factset&amp;display_string=Audit"}</definedName>
    <definedName function="false" hidden="true" name="_2673__FDSAUDITLINK__" vbProcedure="false">{"fdsup://Directions/FactSet Auditing Viewer?action=AUDIT_VALUE&amp;DB=129&amp;ID1=00724F10&amp;VALUEID=02001&amp;SDATE=201003&amp;PERIODTYPE=QTR_STD&amp;window=popup_no_bar&amp;width=385&amp;height=120&amp;START_MAXIMIZED=FALSE&amp;creator=factset&amp;display_string=Audit"}</definedName>
    <definedName function="false" hidden="true" name="_2674__FDSAUDITLINK__" vbProcedure="false">{"fdsup://directions/FAT Viewer?action=UPDATE&amp;creator=factset&amp;DYN_ARGS=TRUE&amp;DOC_NAME=FAT:FQL_AUDITING_CLIENT_TEMPLATE.FAT&amp;display_string=Audit&amp;VAR:KEY=HARELIHOTY&amp;VAR:QUERY=KEZTTF9ORVRfSU5DKE5PVyxOT1csRlNBLCxVU0QpQEZGX05FVF9JTkMoTFRNUywwLCwsLFVTRCkp&amp;WINDOW=F","IRST_POPUP&amp;HEIGHT=450&amp;WIDTH=450&amp;START_MAXIMIZED=FALSE&amp;VAR:CALENDAR=US&amp;VAR:SYMBOL=ERTS&amp;VAR:INDEX=0"}</definedName>
    <definedName function="false" hidden="true" name="_2675__FDSAUDITLINK__" vbProcedure="false">{"fdsup://Directions/FactSet Auditing Viewer?action=AUDIT_VALUE&amp;DB=129&amp;ID1=46120210&amp;VALUEID=02001&amp;SDATE=201004&amp;PERIODTYPE=QTR_STD&amp;window=popup_no_bar&amp;width=385&amp;height=120&amp;START_MAXIMIZED=FALSE&amp;creator=factset&amp;display_string=Audit"}</definedName>
    <definedName function="false" hidden="true" name="_2676__FDSAUDITLINK__" vbProcedure="false">{"fdsup://directions/FAT Viewer?action=UPDATE&amp;creator=factset&amp;DYN_ARGS=TRUE&amp;DOC_NAME=FAT:FQL_AUDITING_CLIENT_TEMPLATE.FAT&amp;display_string=Audit&amp;VAR:KEY=PSFWVWJQTK&amp;VAR:QUERY=KEZTTF9ORVRfSU5DKE5PVyxOT1csRlNBLCxVU0QpQEZGX05FVF9JTkMoTFRNUywwLCwsLFVTRCkp&amp;WINDOW=F","IRST_POPUP&amp;HEIGHT=450&amp;WIDTH=450&amp;START_MAXIMIZED=FALSE&amp;VAR:CALENDAR=US&amp;VAR:SYMBOL=542989&amp;VAR:INDEX=0"}</definedName>
    <definedName function="false" hidden="true" name="_2677__FDSAUDITLINK__" vbProcedure="false">{"fdsup://directions/FAT Viewer?action=UPDATE&amp;creator=factset&amp;DYN_ARGS=TRUE&amp;DOC_NAME=FAT:FQL_AUDITING_CLIENT_TEMPLATE.FAT&amp;display_string=Audit&amp;VAR:KEY=DQHGJMJAZI&amp;VAR:QUERY=KEZTTF9ORVRfSU5DKE5PVyxOT1csRlNBLCxVU0QpQEZGX05FVF9JTkMoTFRNUywwLCwsLFVTRCkp&amp;WINDOW=F","IRST_POPUP&amp;HEIGHT=450&amp;WIDTH=450&amp;START_MAXIMIZED=FALSE&amp;VAR:CALENDAR=US&amp;VAR:SYMBOL=ANTS&amp;VAR:INDEX=0"}</definedName>
    <definedName function="false" hidden="true" name="_2678__FDSAUDITLINK__" vbProcedure="false">{"fdsup://directions/FAT Viewer?action=UPDATE&amp;creator=factset&amp;DYN_ARGS=TRUE&amp;DOC_NAME=FAT:FQL_AUDITING_CLIENT_TEMPLATE.FAT&amp;display_string=Audit&amp;VAR:KEY=RAJETIFGDG&amp;VAR:QUERY=KEZTTF9ORVRfSU5DKE5PVyxOT1csRlNBLCxVU0QpQEZGX05FVF9JTkMoTFRNUywwLCwsLFVTRCkp&amp;WINDOW=F","IRST_POPUP&amp;HEIGHT=450&amp;WIDTH=450&amp;START_MAXIMIZED=FALSE&amp;VAR:CALENDAR=US&amp;VAR:SYMBOL=557432&amp;VAR:INDEX=0"}</definedName>
    <definedName function="false" hidden="true" name="_2679__FDSAUDITLINK__" vbProcedure="false">{"fdsup://directions/FAT Viewer?action=UPDATE&amp;creator=factset&amp;DYN_ARGS=TRUE&amp;DOC_NAME=FAT:FQL_AUDITING_CLIENT_TEMPLATE.FAT&amp;display_string=Audit&amp;VAR:KEY=DINULKHKVW&amp;VAR:QUERY=KEZTTF9ORVRfSU5DKE5PVyxOT1csRlNBLCxVU0QpQEZGX05FVF9JTkMoTFRNUywwLCwsLFVTRCkp&amp;WINDOW=F","IRST_POPUP&amp;HEIGHT=450&amp;WIDTH=450&amp;START_MAXIMIZED=FALSE&amp;VAR:CALENDAR=US&amp;VAR:SYMBOL=PVSW&amp;VAR:INDEX=0"}</definedName>
    <definedName function="false" hidden="true" name="_267__FDSAUDITLINK__" vbProcedure="false">{"fdsup://directions/FAT Viewer?action=UPDATE&amp;creator=factset&amp;DYN_ARGS=TRUE&amp;DOC_NAME=FAT:FQL_AUDITING_CLIENT_TEMPLATE.FAT&amp;display_string=Audit&amp;VAR:KEY=TIJQHYXYNW&amp;VAR:QUERY=RkZfRUJJVERBX09QRVIoTFRNLDAsLCwsVVNEKQ==&amp;WINDOW=FIRST_POPUP&amp;HEIGHT=450&amp;WIDTH=450&amp;STAR","T_MAXIMIZED=FALSE&amp;VAR:CALENDAR=US&amp;VAR:SYMBOL=PDC&amp;VAR:INDEX=0"}</definedName>
    <definedName function="false" hidden="true" name="_2680__FDSAUDITLINK__" vbProcedure="false">{"fdsup://directions/FAT Viewer?action=UPDATE&amp;creator=factset&amp;DYN_ARGS=TRUE&amp;DOC_NAME=FAT:FQL_AUDITING_CLIENT_TEMPLATE.FAT&amp;display_string=Audit&amp;VAR:KEY=VEFQNKFKVI&amp;VAR:QUERY=KEZTTF9ORVRfSU5DKE5PVyxOT1csRlNBLCxVU0QpQEZGX05FVF9JTkMoTFRNUywwLCwsLFVTRCkp&amp;WINDOW=F","IRST_POPUP&amp;HEIGHT=450&amp;WIDTH=450&amp;START_MAXIMIZED=FALSE&amp;VAR:CALENDAR=US&amp;VAR:SYMBOL=ULCM&amp;VAR:INDEX=0"}</definedName>
    <definedName function="false" hidden="true" name="_2681__FDSAUDITLINK__" vbProcedure="false">{"fdsup://directions/FAT Viewer?action=UPDATE&amp;creator=factset&amp;DYN_ARGS=TRUE&amp;DOC_NAME=FAT:FQL_AUDITING_CLIENT_TEMPLATE.FAT&amp;display_string=Audit&amp;VAR:KEY=VYDMREBYZC&amp;VAR:QUERY=KEZTTF9ORVRfSU5DKE5PVyxOT1csRlNBLCxVU0QpQEZGX05FVF9JTkMoTFRNUywwLCwsLFVTRCkp&amp;WINDOW=F","IRST_POPUP&amp;HEIGHT=450&amp;WIDTH=450&amp;START_MAXIMIZED=FALSE&amp;VAR:CALENDAR=US&amp;VAR:SYMBOL=TIGR&amp;VAR:INDEX=0"}</definedName>
    <definedName function="false" hidden="true" name="_2682__FDSAUDITLINK__" vbProcedure="false">{"fdsup://directions/FAT Viewer?action=UPDATE&amp;creator=factset&amp;DYN_ARGS=TRUE&amp;DOC_NAME=FAT:FQL_AUDITING_CLIENT_TEMPLATE.FAT&amp;display_string=Audit&amp;VAR:KEY=JCBYFYBWVU&amp;VAR:QUERY=KEZTTF9ORVRfSU5DKE5PVyxOT1csRlNBLCxVU0QpQEZGX05FVF9JTkMoTFRNUywwLCwsLFVTRCkp&amp;WINDOW=F","IRST_POPUP&amp;HEIGHT=450&amp;WIDTH=450&amp;START_MAXIMIZED=FALSE&amp;VAR:CALENDAR=US&amp;VAR:SYMBOL=MGIC&amp;VAR:INDEX=0"}</definedName>
    <definedName function="false" hidden="true" name="_2683__FDSAUDITLINK__" vbProcedure="false">{"fdsup://directions/FAT Viewer?action=UPDATE&amp;creator=factset&amp;DYN_ARGS=TRUE&amp;DOC_NAME=FAT:FQL_AUDITING_CLIENT_TEMPLATE.FAT&amp;display_string=Audit&amp;VAR:KEY=JQZILWBWJO&amp;VAR:QUERY=KEZTTF9ORVRfSU5DKE5PVyxOT1csRlNBLCxVU0QpQEZGX05FVF9JTkMoTFRNUywwLCwsLFVTRCkp&amp;WINDOW=F","IRST_POPUP&amp;HEIGHT=450&amp;WIDTH=450&amp;START_MAXIMIZED=FALSE&amp;VAR:CALENDAR=US&amp;VAR:SYMBOL=PRFT&amp;VAR:INDEX=0"}</definedName>
    <definedName function="false" hidden="true" name="_2684__FDSAUDITLINK__" vbProcedure="false">{"fdsup://directions/FAT Viewer?action=UPDATE&amp;creator=factset&amp;DYN_ARGS=TRUE&amp;DOC_NAME=FAT:FQL_AUDITING_CLIENT_TEMPLATE.FAT&amp;display_string=Audit&amp;VAR:KEY=FSDGRCPSJW&amp;VAR:QUERY=KEZTTF9ORVRfSU5DKE5PVyxOT1csRlNBLCxVU0QpQEZGX05FVF9JTkMoTFRNUywwLCwsLFVTRCkp&amp;WINDOW=F","IRST_POPUP&amp;HEIGHT=450&amp;WIDTH=450&amp;START_MAXIMIZED=FALSE&amp;VAR:CALENDAR=US&amp;VAR:SYMBOL=599732&amp;VAR:INDEX=0"}</definedName>
    <definedName function="false" hidden="true" name="_2685__FDSAUDITLINK__" vbProcedure="false">{"fdsup://directions/FAT Viewer?action=UPDATE&amp;creator=factset&amp;DYN_ARGS=TRUE&amp;DOC_NAME=FAT:FQL_AUDITING_CLIENT_TEMPLATE.FAT&amp;display_string=Audit&amp;VAR:KEY=PUDWDWVQNY&amp;VAR:QUERY=KEZTTF9ORVRfSU5DKE5PVyxOT1csRlNBLCxVU0QpQEZGX05FVF9JTkMoTFRNUywwLCwsLFVTRCkp&amp;WINDOW=F","IRST_POPUP&amp;HEIGHT=450&amp;WIDTH=450&amp;START_MAXIMIZED=FALSE&amp;VAR:CALENDAR=US&amp;VAR:SYMBOL=OPNT&amp;VAR:INDEX=0"}</definedName>
    <definedName function="false" hidden="true" name="_2686__FDSAUDITLINK__" vbProcedure="false">{"fdsup://directions/FAT Viewer?action=UPDATE&amp;creator=factset&amp;DYN_ARGS=TRUE&amp;DOC_NAME=FAT:FQL_AUDITING_CLIENT_TEMPLATE.FAT&amp;display_string=Audit&amp;VAR:KEY=NUXKVILMFY&amp;VAR:QUERY=KEZTTF9ORVRfSU5DKE5PVyxOT1csRlNBLCxVU0QpQEZGX05FVF9JTkMoTFRNUywwLCwsLFVTRCkp&amp;WINDOW=F","IRST_POPUP&amp;HEIGHT=450&amp;WIDTH=450&amp;START_MAXIMIZED=FALSE&amp;VAR:CALENDAR=US&amp;VAR:SYMBOL=LOGM&amp;VAR:INDEX=0"}</definedName>
    <definedName function="false" hidden="true" name="_2687__FDSAUDITLINK__" vbProcedure="false">{"fdsup://directions/FAT Viewer?action=UPDATE&amp;creator=factset&amp;DYN_ARGS=TRUE&amp;DOC_NAME=FAT:FQL_AUDITING_CLIENT_TEMPLATE.FAT&amp;display_string=Audit&amp;VAR:KEY=HYBGRWRINI&amp;VAR:QUERY=KEZTTF9ORVRfSU5DKE5PVyxOT1csRlNBLCxVU0QpQEZGX05FVF9JTkMoTFRNUywwLCwsLFVTRCkp&amp;WINDOW=F","IRST_POPUP&amp;HEIGHT=450&amp;WIDTH=450&amp;START_MAXIMIZED=FALSE&amp;VAR:CALENDAR=US&amp;VAR:SYMBOL=NTCT&amp;VAR:INDEX=0"}</definedName>
    <definedName function="false" hidden="true" name="_2688__FDSAUDITLINK__" vbProcedure="false">{"fdsup://directions/FAT Viewer?action=UPDATE&amp;creator=factset&amp;DYN_ARGS=TRUE&amp;DOC_NAME=FAT:FQL_AUDITING_CLIENT_TEMPLATE.FAT&amp;display_string=Audit&amp;VAR:KEY=BCHMXIRUTE&amp;VAR:QUERY=KEZTTF9ORVRfSU5DKE5PVyxOT1csRlNBLCxVU0QpQEZGX05FVF9JTkMoTFRNUywwLCwsLFVTRCkp&amp;WINDOW=F","IRST_POPUP&amp;HEIGHT=450&amp;WIDTH=450&amp;START_MAXIMIZED=FALSE&amp;VAR:CALENDAR=US&amp;VAR:SYMBOL=PEGA&amp;VAR:INDEX=0"}</definedName>
    <definedName function="false" hidden="true" name="_2689__FDSAUDITLINK__" vbProcedure="false">{"fdsup://directions/FAT Viewer?action=UPDATE&amp;creator=factset&amp;DYN_ARGS=TRUE&amp;DOC_NAME=FAT:FQL_AUDITING_CLIENT_TEMPLATE.FAT&amp;display_string=Audit&amp;VAR:KEY=BODCNIFGDW&amp;VAR:QUERY=KEZTTF9ORVRfSU5DKE5PVyxOT1csRlNBLCxVU0QpQEZGX05FVF9JTkMoTFRNUywwLCwsLFVTRCkp&amp;WINDOW=F","IRST_POPUP&amp;HEIGHT=450&amp;WIDTH=450&amp;START_MAXIMIZED=FALSE&amp;VAR:CALENDAR=US&amp;VAR:SYMBOL=SWI&amp;VAR:INDEX=0"}</definedName>
    <definedName function="false" hidden="true" name="_268__FDSAUDITLINK__" vbProcedure="false">{"fdsup://directions/FAT Viewer?action=UPDATE&amp;creator=factset&amp;DYN_ARGS=TRUE&amp;DOC_NAME=FAT:FQL_AUDITING_CLIENT_TEMPLATE.FAT&amp;display_string=Audit&amp;VAR:KEY=JSJWNMDMZK&amp;VAR:QUERY=RkZfRUJJVERBX09QRVIoTFRNLDAsLCwsVVNEKQ==&amp;WINDOW=FIRST_POPUP&amp;HEIGHT=450&amp;WIDTH=450&amp;STAR","T_MAXIMIZED=FALSE&amp;VAR:CALENDAR=US&amp;VAR:SYMBOL=DVR&amp;VAR:INDEX=0"}</definedName>
    <definedName function="false" hidden="true" name="_2690__FDSAUDITLINK__" vbProcedure="false">{"fdsup://directions/FAT Viewer?action=UPDATE&amp;creator=factset&amp;DYN_ARGS=TRUE&amp;DOC_NAME=FAT:FQL_AUDITING_CLIENT_TEMPLATE.FAT&amp;display_string=Audit&amp;VAR:KEY=FQRCNSTYZC&amp;VAR:QUERY=KEZTTF9ORVRfSU5DKE5PVyxOT1csRlNBLCxVU0QpQEZGX05FVF9JTkMoTFRNUywwLCwsLFVTRCkp&amp;WINDOW=F","IRST_POPUP&amp;HEIGHT=450&amp;WIDTH=450&amp;START_MAXIMIZED=FALSE&amp;VAR:CALENDAR=US&amp;VAR:SYMBOL=563361&amp;VAR:INDEX=0"}</definedName>
    <definedName function="false" hidden="true" name="_2691__FDSAUDITLINK__" vbProcedure="false">{"fdsup://directions/FAT Viewer?action=UPDATE&amp;creator=factset&amp;DYN_ARGS=TRUE&amp;DOC_NAME=FAT:FQL_AUDITING_CLIENT_TEMPLATE.FAT&amp;display_string=Audit&amp;VAR:KEY=RIVQRGBUDE&amp;VAR:QUERY=KEZTTF9ORVRfSU5DKE5PVyxOT1csRlNBLCxVU0QpQEZGX05FVF9JTkMoTFRNUywwLCwsLFVTRCkp&amp;WINDOW=F","IRST_POPUP&amp;HEIGHT=450&amp;WIDTH=450&amp;START_MAXIMIZED=FALSE&amp;VAR:CALENDAR=US&amp;VAR:SYMBOL=PRGS&amp;VAR:INDEX=0"}</definedName>
    <definedName function="false" hidden="true" name="_2692__FDSAUDITLINK__" vbProcedure="false">{"fdsup://directions/FAT Viewer?action=UPDATE&amp;creator=factset&amp;DYN_ARGS=TRUE&amp;DOC_NAME=FAT:FQL_AUDITING_CLIENT_TEMPLATE.FAT&amp;display_string=Audit&amp;VAR:KEY=XETKNCFMFC&amp;VAR:QUERY=KEZTTF9ORVRfSU5DKE5PVyxOT1csRlNBLCxVU0QpQEZGX05FVF9JTkMoTFRNUywwLCwsLFVTRCkp&amp;WINDOW=F","IRST_POPUP&amp;HEIGHT=450&amp;WIDTH=450&amp;START_MAXIMIZED=FALSE&amp;VAR:CALENDAR=US&amp;VAR:SYMBOL=475513&amp;VAR:INDEX=0"}</definedName>
    <definedName function="false" hidden="true" name="_2693__FDSAUDITLINK__" vbProcedure="false">{"fdsup://directions/FAT Viewer?action=UPDATE&amp;creator=factset&amp;DYN_ARGS=TRUE&amp;DOC_NAME=FAT:FQL_AUDITING_CLIENT_TEMPLATE.FAT&amp;display_string=Audit&amp;VAR:KEY=ZATETQLERW&amp;VAR:QUERY=KEZTTF9ORVRfSU5DKE5PVyxOT1csRlNBLCxVU0QpQEZGX05FVF9JTkMoTFRNUywwLCwsLFVTRCkp&amp;WINDOW=F","IRST_POPUP&amp;HEIGHT=450&amp;WIDTH=450&amp;START_MAXIMIZED=FALSE&amp;VAR:CALENDAR=US&amp;VAR:SYMBOL=BMC&amp;VAR:INDEX=0"}</definedName>
    <definedName function="false" hidden="true" name="_2694__FDSAUDITLINK__" vbProcedure="false">{"fdsup://directions/FAT Viewer?action=UPDATE&amp;creator=factset&amp;DYN_ARGS=TRUE&amp;DOC_NAME=FAT:FQL_AUDITING_CLIENT_TEMPLATE.FAT&amp;display_string=Audit&amp;VAR:KEY=RSRCZCNSRA&amp;VAR:QUERY=KEZTTF9ORVRfSU5DKE5PVyxOT1csRlNBLCxVU0QpQEZGX05FVF9JTkMoTFRNUywwLCwsLFVTRCkp&amp;WINDOW=F","IRST_POPUP&amp;HEIGHT=450&amp;WIDTH=450&amp;START_MAXIMIZED=FALSE&amp;VAR:CALENDAR=US&amp;VAR:SYMBOL=CTXS&amp;VAR:INDEX=0"}</definedName>
    <definedName function="false" hidden="true" name="_2695__FDSAUDITLINK__" vbProcedure="false">{"fdsup://directions/FAT Viewer?action=UPDATE&amp;creator=factset&amp;DYN_ARGS=TRUE&amp;DOC_NAME=FAT:FQL_AUDITING_CLIENT_TEMPLATE.FAT&amp;display_string=Audit&amp;VAR:KEY=BWXYPWFUHW&amp;VAR:QUERY=KEZTTF9ORVRfSU5DKE5PVyxOT1csRlNBLCxVU0QpQEZGX05FVF9JTkMoTFRNUywwLCwsLFVTRCkp&amp;WINDOW=F","IRST_POPUP&amp;HEIGHT=450&amp;WIDTH=450&amp;START_MAXIMIZED=FALSE&amp;VAR:CALENDAR=US&amp;VAR:SYMBOL=CA&amp;VAR:INDEX=0"}</definedName>
    <definedName function="false" hidden="true" name="_2696__FDSAUDITLINK__" vbProcedure="false">{"fdsup://directions/FAT Viewer?action=UPDATE&amp;creator=factset&amp;DYN_ARGS=TRUE&amp;DOC_NAME=FAT:FQL_AUDITING_CLIENT_TEMPLATE.FAT&amp;display_string=Audit&amp;VAR:KEY=TSZQRWXKTA&amp;VAR:QUERY=KEZTTF9ORVRfSU5DKE5PVyxOT1csRlNBLCxVU0QpQEZGX05FVF9JTkMoTFRNUywwLCwsLFVTRCkp&amp;WINDOW=F","IRST_POPUP&amp;HEIGHT=450&amp;WIDTH=450&amp;START_MAXIMIZED=FALSE&amp;VAR:CALENDAR=US&amp;VAR:SYMBOL=NTAP&amp;VAR:INDEX=0"}</definedName>
    <definedName function="false" hidden="true" name="_2697__FDSAUDITLINK__" vbProcedure="false">{"fdsup://directions/FAT Viewer?action=UPDATE&amp;creator=factset&amp;DYN_ARGS=TRUE&amp;DOC_NAME=FAT:FQL_AUDITING_CLIENT_TEMPLATE.FAT&amp;display_string=Audit&amp;VAR:KEY=JSDEZOZMJE&amp;VAR:QUERY=KEZTTF9ORVRfSU5DKE5PVyxOT1csRlNBLCxVU0QpQEZGX05FVF9JTkMoTFRNUywwLCwsLFVTRCkp&amp;WINDOW=F","IRST_POPUP&amp;HEIGHT=450&amp;WIDTH=450&amp;START_MAXIMIZED=FALSE&amp;VAR:CALENDAR=US&amp;VAR:SYMBOL=VMW&amp;VAR:INDEX=0"}</definedName>
    <definedName function="false" hidden="true" name="_2698__FDSAUDITLINK__" vbProcedure="false">{"fdsup://directions/FAT Viewer?action=UPDATE&amp;creator=factset&amp;DYN_ARGS=TRUE&amp;DOC_NAME=FAT:FQL_AUDITING_CLIENT_TEMPLATE.FAT&amp;display_string=Audit&amp;VAR:KEY=HYNGBMPO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542989&amp;VAR:INDEX=0"}</definedName>
    <definedName function="false" hidden="true" name="_2699__FDSAUDITLINK__" vbProcedure="false">{"fdsup://directions/FAT Viewer?action=UPDATE&amp;creator=factset&amp;DYN_ARGS=TRUE&amp;DOC_NAME=FAT:FQL_AUDITING_CLIENT_TEMPLATE.FAT&amp;display_string=Audit&amp;VAR:KEY=XYHEHGRM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SNT&amp;VAR:INDEX=0"}</definedName>
    <definedName function="false" hidden="true" name="_269__FDSAUDITLINK__" vbProcedure="false">{"fdsup://directions/FAT Viewer?action=UPDATE&amp;creator=factset&amp;DYN_ARGS=TRUE&amp;DOC_NAME=FAT:FQL_AUDITING_CLIENT_TEMPLATE.FAT&amp;display_string=Audit&amp;VAR:KEY=JCNWFMHKVE&amp;VAR:QUERY=RkZfRUJJVERBX09QRVIoTFRNLDAsLCwsVVNEKQ==&amp;WINDOW=FIRST_POPUP&amp;HEIGHT=450&amp;WIDTH=450&amp;STAR","T_MAXIMIZED=FALSE&amp;VAR:CALENDAR=US&amp;VAR:SYMBOL=NFX&amp;VAR:INDEX=0"}</definedName>
    <definedName function="false" hidden="true" name="_26__123Graph_CDIAGR_2" vbProcedure="false">#REF!</definedName>
    <definedName function="false" hidden="true" name="_26__FDSAUDITLINK__" vbProcedure="false">{"fdsup://directions/FAT Viewer?action=UPDATE&amp;creator=factset&amp;DYN_ARGS=TRUE&amp;DOC_NAME=FAT:FQL_AUDITING_CLIENT_TEMPLATE.FAT&amp;display_string=Audit&amp;VAR:KEY=ELINIDUNIT&amp;VAR:QUERY=RkZfRUJJVERBX09QRVIoTFRNLDAsLCwsVVNEKQ==&amp;WINDOW=FIRST_POPUP&amp;HEIGHT=450&amp;WIDTH=450&amp;STAR","T_MAXIMIZED=FALSE&amp;VAR:CALENDAR=US&amp;VAR:SYMBOL=UDRL&amp;VAR:INDEX=0"}</definedName>
    <definedName function="false" hidden="true" name="_2700__FDSAUDITLINK__" vbProcedure="false">{"fdsup://directions/FAT Viewer?action=UPDATE&amp;creator=factset&amp;DYN_ARGS=TRUE&amp;DOC_NAME=FAT:FQL_AUDITING_CLIENT_TEMPLATE.FAT&amp;display_string=Audit&amp;VAR:KEY=TCHGBYZOD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FY&amp;VAR:INDEX=0"}</definedName>
    <definedName function="false" hidden="true" name="_2701__FDSAUDITLINK__" vbProcedure="false">{"fdsup://directions/FAT Viewer?action=UPDATE&amp;creator=factset&amp;DYN_ARGS=TRUE&amp;DOC_NAME=FAT:FQL_AUDITING_CLIENT_TEMPLATE.FAT&amp;display_string=Audit&amp;VAR:KEY=FWVUDWLW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TS&amp;VAR:INDEX=0"}</definedName>
    <definedName function="false" hidden="true" name="_2702__FDSAUDITLINK__" vbProcedure="false">{"fdsup://directions/FAT Viewer?action=UPDATE&amp;creator=factset&amp;DYN_ARGS=TRUE&amp;DOC_NAME=FAT:FQL_AUDITING_CLIENT_TEMPLATE.FAT&amp;display_string=Audit&amp;VAR:KEY=TQVQJIVC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VSW&amp;VAR:INDEX=0"}</definedName>
    <definedName function="false" hidden="true" name="_2703__FDSAUDITLINK__" vbProcedure="false">{"fdsup://directions/FAT Viewer?action=UPDATE&amp;creator=factset&amp;DYN_ARGS=TRUE&amp;DOC_NAME=FAT:FQL_AUDITING_CLIENT_TEMPLATE.FAT&amp;display_string=Audit&amp;VAR:KEY=LMJUTWDM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GIC&amp;VAR:INDEX=0"}</definedName>
    <definedName function="false" hidden="true" name="_2704__FDSAUDITLINK__" vbProcedure="false">{"fdsup://directions/FAT Viewer?action=UPDATE&amp;creator=factset&amp;DYN_ARGS=TRUE&amp;DOC_NAME=FAT:FQL_AUDITING_CLIENT_TEMPLATE.FAT&amp;display_string=Audit&amp;VAR:KEY=NSRMJIBK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CM&amp;VAR:INDEX=0"}</definedName>
    <definedName function="false" hidden="true" name="_2705__FDSAUDITLINK__" vbProcedure="false">{"fdsup://directions/FAT Viewer?action=UPDATE&amp;creator=factset&amp;DYN_ARGS=TRUE&amp;DOC_NAME=FAT:FQL_AUDITING_CLIENT_TEMPLATE.FAT&amp;display_string=Audit&amp;VAR:KEY=VWTCVQLY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599732&amp;VAR:INDEX=0"}</definedName>
    <definedName function="false" hidden="true" name="_2706__FDSAUDITLINK__" vbProcedure="false">{"fdsup://directions/FAT Viewer?action=UPDATE&amp;creator=factset&amp;DYN_ARGS=TRUE&amp;DOC_NAME=FAT:FQL_AUDITING_CLIENT_TEMPLATE.FAT&amp;display_string=Audit&amp;VAR:KEY=XKFIDODA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IGR&amp;VAR:INDEX=0"}</definedName>
    <definedName function="false" hidden="true" name="_2707__FDSAUDITLINK__" vbProcedure="false">{"fdsup://directions/FAT Viewer?action=UPDATE&amp;creator=factset&amp;DYN_ARGS=TRUE&amp;DOC_NAME=FAT:FQL_AUDITING_CLIENT_TEMPLATE.FAT&amp;display_string=Audit&amp;VAR:KEY=JMLWHIPA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function="false" hidden="true" name="_2708__FDSAUDITLINK__" vbProcedure="false">{"fdsup://directions/FAT Viewer?action=UPDATE&amp;creator=factset&amp;DYN_ARGS=TRUE&amp;DOC_NAME=FAT:FQL_AUDITING_CLIENT_TEMPLATE.FAT&amp;display_string=Audit&amp;VAR:KEY=FWFMLKXKR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NT&amp;VAR:INDEX=0"}</definedName>
    <definedName function="false" hidden="true" name="_2709__FDSAUDITLINK__" vbProcedure="false">{"fdsup://directions/FAT Viewer?action=UPDATE&amp;creator=factset&amp;DYN_ARGS=TRUE&amp;DOC_NAME=FAT:FQL_AUDITING_CLIENT_TEMPLATE.FAT&amp;display_string=Audit&amp;VAR:KEY=BGXITEBS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function="false" hidden="true" name="_270__FDSAUDITLINK__" vbProcedure="false">{"fdsup://directions/FAT Viewer?action=UPDATE&amp;creator=factset&amp;DYN_ARGS=TRUE&amp;DOC_NAME=FAT:FQL_AUDITING_CLIENT_TEMPLATE.FAT&amp;display_string=Audit&amp;VAR:KEY=HYXSRUNIPO&amp;VAR:QUERY=RkZfRUJJVERBX09QRVIoTFRNLDAsLCwsVVNEKQ==&amp;WINDOW=FIRST_POPUP&amp;HEIGHT=450&amp;WIDTH=450&amp;STAR","T_MAXIMIZED=FALSE&amp;VAR:CALENDAR=US&amp;VAR:SYMBOL=GTIV&amp;VAR:INDEX=0"}</definedName>
    <definedName function="false" hidden="true" name="_2710__FDSAUDITLINK__" vbProcedure="false">{"fdsup://directions/FAT Viewer?action=UPDATE&amp;creator=factset&amp;DYN_ARGS=TRUE&amp;DOC_NAME=FAT:FQL_AUDITING_CLIENT_TEMPLATE.FAT&amp;display_string=Audit&amp;VAR:KEY=NSHWZOPE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CT&amp;VAR:INDEX=0"}</definedName>
    <definedName function="false" hidden="true" name="_2711__FDSAUDITLINK__" vbProcedure="false">{"fdsup://directions/FAT Viewer?action=UPDATE&amp;creator=factset&amp;DYN_ARGS=TRUE&amp;DOC_NAME=FAT:FQL_AUDITING_CLIENT_TEMPLATE.FAT&amp;display_string=Audit&amp;VAR:KEY=DGRSJQPW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563361&amp;VAR:INDEX=0"}</definedName>
    <definedName function="false" hidden="true" name="_2712__FDSAUDITLINK__" vbProcedure="false">{"fdsup://directions/FAT Viewer?action=UPDATE&amp;creator=factset&amp;DYN_ARGS=TRUE&amp;DOC_NAME=FAT:FQL_AUDITING_CLIENT_TEMPLATE.FAT&amp;display_string=Audit&amp;VAR:KEY=DSJSJYNU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amp;VAR:INDEX=0"}</definedName>
    <definedName function="false" hidden="true" name="_2713__FDSAUDITLINK__" vbProcedure="false">{"fdsup://directions/FAT Viewer?action=UPDATE&amp;creator=factset&amp;DYN_ARGS=TRUE&amp;DOC_NAME=FAT:FQL_AUDITING_CLIENT_TEMPLATE.FAT&amp;display_string=Audit&amp;VAR:KEY=ZCPQPURIL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SFT&amp;VAR:INDEX=0"}</definedName>
    <definedName function="false" hidden="true" name="_2714__FDSAUDITLINK__" vbProcedure="false">{"fdsup://directions/FAT Viewer?action=UPDATE&amp;creator=factset&amp;DYN_ARGS=TRUE&amp;DOC_NAME=FAT:FQL_AUDITING_CLIENT_TEMPLATE.FAT&amp;display_string=Audit&amp;VAR:KEY=VIPYVAV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MC&amp;VAR:INDEX=0"}</definedName>
    <definedName function="false" hidden="true" name="_2715__FDSAUDITLINK__" vbProcedure="false">{"fdsup://directions/FAT Viewer?action=UPDATE&amp;creator=factset&amp;DYN_ARGS=TRUE&amp;DOC_NAME=FAT:FQL_AUDITING_CLIENT_TEMPLATE.FAT&amp;display_string=Audit&amp;VAR:KEY=HOVWLSRM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XS&amp;VAR:INDEX=0"}</definedName>
    <definedName function="false" hidden="true" name="_2716__FDSAUDITLINK__" vbProcedure="false">{"fdsup://directions/FAT Viewer?action=UPDATE&amp;creator=factset&amp;DYN_ARGS=TRUE&amp;DOC_NAME=FAT:FQL_AUDITING_CLIENT_TEMPLATE.FAT&amp;display_string=Audit&amp;VAR:KEY=LGPGNUTO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function="false" hidden="true" name="_2717__FDSAUDITLINK__" vbProcedure="false">{"fdsup://directions/FAT Viewer?action=UPDATE&amp;creator=factset&amp;DYN_ARGS=TRUE&amp;DOC_NAME=FAT:FQL_AUDITING_CLIENT_TEMPLATE.FAT&amp;display_string=Audit&amp;VAR:KEY=JGFUZSVQN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AP&amp;VAR:INDEX=0"}</definedName>
    <definedName function="false" hidden="true" name="_2718__FDSAUDITLINK__" vbProcedure="false">{"fdsup://directions/FAT Viewer?action=UPDATE&amp;creator=factset&amp;DYN_ARGS=TRUE&amp;DOC_NAME=FAT:FQL_AUDITING_CLIENT_TEMPLATE.FAT&amp;display_string=Audit&amp;VAR:KEY=RSBMJYTE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MW&amp;VAR:INDEX=0"}</definedName>
    <definedName function="false" hidden="true" name="_2719__FDSAUDITLINK__" vbProcedure="false">{"fdsup://directions/FAT Viewer?action=UPDATE&amp;creator=factset&amp;DYN_ARGS=TRUE&amp;DOC_NAME=FAT:FQL_AUDITING_CLIENT_TEMPLATE.FAT&amp;display_string=Audit&amp;VAR:KEY=JSVKFMPSZK&amp;VAR:QUERY=KEZTTF9ORVRfSU5DKE5PVyxOT1csRlNBLCxVU0QpQEZGX05FVF9JTkMoTFRNUywwLCwsLFVTRCkp&amp;WINDOW=F","IRST_POPUP&amp;HEIGHT=450&amp;WIDTH=450&amp;START_MAXIMIZED=FALSE&amp;VAR:CALENDAR=US&amp;VAR:SYMBOL=UNFY&amp;VAR:INDEX=0"}</definedName>
    <definedName function="false" hidden="true" name="_271__FDSAUDITLINK__" vbProcedure="false">{"fdsup://directions/FAT Viewer?action=UPDATE&amp;creator=factset&amp;DYN_ARGS=TRUE&amp;DOC_NAME=FAT:FQL_AUDITING_CLIENT_TEMPLATE.FAT&amp;display_string=Audit&amp;VAR:KEY=JGNQZCHIPO&amp;VAR:QUERY=RkZfRUJJVERBX09QRVIoTFRNLDAsLCwsVVNEKQ==&amp;WINDOW=FIRST_POPUP&amp;HEIGHT=450&amp;WIDTH=450&amp;STAR","T_MAXIMIZED=FALSE&amp;VAR:CALENDAR=US&amp;VAR:SYMBOL=UDRL&amp;VAR:INDEX=0"}</definedName>
    <definedName function="false" hidden="true" name="_2720__FDSAUDITLINK__" vbProcedure="false">{"fdsup://Directions/FactSet Auditing Viewer?action=AUDIT_VALUE&amp;DB=129&amp;ID1=92528430&amp;VALUEID=02001&amp;SDATE=201003&amp;PERIODTYPE=QTR_STD&amp;window=popup_no_bar&amp;width=385&amp;height=120&amp;START_MAXIMIZED=FALSE&amp;creator=factset&amp;display_string=Audit"}</definedName>
    <definedName function="false" hidden="true" name="_2721__FDSAUDITLINK__" vbProcedure="false">{"fdsup://Directions/FactSet Auditing Viewer?action=AUDIT_VALUE&amp;DB=129&amp;ID1=557432&amp;VALUEID=02001&amp;SDATE=201002&amp;PERIODTYPE=QTR_STD&amp;window=popup_no_bar&amp;width=385&amp;height=120&amp;START_MAXIMIZED=FALSE&amp;creator=factset&amp;display_string=Audit"}</definedName>
    <definedName function="false" hidden="true" name="_2722__FDSAUDITLINK__" vbProcedure="false">{"fdsup://Directions/FactSet Auditing Viewer?action=AUDIT_VALUE&amp;DB=129&amp;ID1=90474320&amp;VALUEID=02001&amp;SDATE=201001&amp;PERIODTYPE=QTR_STD&amp;window=popup_no_bar&amp;width=385&amp;height=120&amp;START_MAXIMIZED=FALSE&amp;creator=factset&amp;display_string=Audit"}</definedName>
    <definedName function="false" hidden="true" name="_2723__FDSAUDITLINK__" vbProcedure="false">{"fdsup://Directions/FactSet Auditing Viewer?action=AUDIT_VALUE&amp;DB=129&amp;ID1=03727110&amp;VALUEID=02001&amp;SDATE=201002&amp;PERIODTYPE=QTR_STD&amp;window=popup_no_bar&amp;width=385&amp;height=120&amp;START_MAXIMIZED=FALSE&amp;creator=factset&amp;display_string=Audit"}</definedName>
    <definedName function="false" hidden="true" name="_2724__FDSAUDITLINK__" vbProcedure="false">{"fdsup://Directions/FactSet Auditing Viewer?action=AUDIT_VALUE&amp;DB=129&amp;ID1=71571010&amp;VALUEID=02001&amp;SDATE=201004&amp;PERIODTYPE=QTR_STD&amp;window=popup_no_bar&amp;width=385&amp;height=120&amp;START_MAXIMIZED=FALSE&amp;creator=factset&amp;display_string=Audit"}</definedName>
    <definedName function="false" hidden="true" name="_2725__FDSAUDITLINK__" vbProcedure="false">{"fdsup://Directions/FactSet Auditing Viewer?action=AUDIT_VALUE&amp;DB=129&amp;ID1=55916610&amp;VALUEID=02001&amp;SDATE=201002&amp;PERIODTYPE=QTR_STD&amp;window=popup_no_bar&amp;width=385&amp;height=120&amp;START_MAXIMIZED=FALSE&amp;creator=factset&amp;display_string=Audit"}</definedName>
    <definedName function="false" hidden="true" name="_2726__FDSAUDITLINK__" vbProcedure="false">{"fdsup://Directions/FactSet Auditing Viewer?action=AUDIT_VALUE&amp;DB=129&amp;ID1=90384420&amp;VALUEID=02001&amp;SDATE=201002&amp;PERIODTYPE=QTR_STD&amp;window=popup_no_bar&amp;width=385&amp;height=120&amp;START_MAXIMIZED=FALSE&amp;creator=factset&amp;display_string=Audit"}</definedName>
    <definedName function="false" hidden="true" name="_2727__FDSAUDITLINK__" vbProcedure="false">{"fdsup://Directions/FactSet Auditing Viewer?action=AUDIT_VALUE&amp;DB=129&amp;ID1=8867EQ10&amp;VALUEID=02001&amp;SDATE=201001&amp;PERIODTYPE=QTR_STD&amp;window=popup_no_bar&amp;width=385&amp;height=120&amp;START_MAXIMIZED=FALSE&amp;creator=factset&amp;display_string=Audit"}</definedName>
    <definedName function="false" hidden="true" name="_2728__FDSAUDITLINK__" vbProcedure="false">{"fdsup://Directions/FactSet Auditing Viewer?action=AUDIT_VALUE&amp;DB=129&amp;ID1=71375U10&amp;VALUEID=02001&amp;SDATE=201002&amp;PERIODTYPE=QTR_STD&amp;window=popup_no_bar&amp;width=385&amp;height=120&amp;START_MAXIMIZED=FALSE&amp;creator=factset&amp;display_string=Audit"}</definedName>
    <definedName function="false" hidden="true" name="_2729__FDSAUDITLINK__" vbProcedure="false">{"fdsup://Directions/FactSet Auditing Viewer?action=AUDIT_VALUE&amp;DB=129&amp;ID1=68375710&amp;VALUEID=02001&amp;SDATE=201001&amp;PERIODTYPE=QTR_STD&amp;window=popup_no_bar&amp;width=385&amp;height=120&amp;START_MAXIMIZED=FALSE&amp;creator=factset&amp;display_string=Audit"}</definedName>
    <definedName function="false" hidden="true" name="_272__FDSAUDITLINK__" vbProcedure="false">{"fdsup://directions/FAT Viewer?action=UPDATE&amp;creator=factset&amp;DYN_ARGS=TRUE&amp;DOC_NAME=FAT:FQL_AUDITING_CLIENT_TEMPLATE.FAT&amp;display_string=Audit&amp;VAR:KEY=VKJGVEDMVG&amp;VAR:QUERY=RkZfRUJJVERBX09QRVIoTFRNLDAsLCwsVVNEKQ==&amp;WINDOW=FIRST_POPUP&amp;HEIGHT=450&amp;WIDTH=450&amp;STAR","T_MAXIMIZED=FALSE&amp;VAR:CALENDAR=US&amp;VAR:SYMBOL=SD&amp;VAR:INDEX=0"}</definedName>
    <definedName function="false" hidden="true" name="_2730__FDSAUDITLINK__" vbProcedure="false">{"fdsup://directions/FAT Viewer?action=UPDATE&amp;creator=factset&amp;DYN_ARGS=TRUE&amp;DOC_NAME=FAT:FQL_AUDITING_CLIENT_TEMPLATE.FAT&amp;display_string=Audit&amp;VAR:KEY=HIBEFSPWFW&amp;VAR:QUERY=KEZTTF9ORVRfSU5DKE5PVyxOT1csRlNBLCxVU0QpQEZGX05FVF9JTkMoTFRNUywwLCwsLFVTRCkp&amp;WINDOW=F","IRST_POPUP&amp;HEIGHT=450&amp;WIDTH=450&amp;START_MAXIMIZED=FALSE&amp;VAR:CALENDAR=US&amp;VAR:SYMBOL=CYIG&amp;VAR:INDEX=0"}</definedName>
    <definedName function="false" hidden="true" name="_2731__FDSAUDITLINK__" vbProcedure="false">{"fdsup://Directions/FactSet Auditing Viewer?action=AUDIT_VALUE&amp;DB=129&amp;ID1=64115T10&amp;VALUEID=02001&amp;SDATE=201002&amp;PERIODTYPE=QTR_STD&amp;window=popup_no_bar&amp;width=385&amp;height=120&amp;START_MAXIMIZED=FALSE&amp;creator=factset&amp;display_string=Audit"}</definedName>
    <definedName function="false" hidden="true" name="_2732__FDSAUDITLINK__" vbProcedure="false">{"fdsup://Directions/FactSet Auditing Viewer?action=AUDIT_VALUE&amp;DB=129&amp;ID1=563361&amp;VALUEID=02001&amp;SDATE=201001&amp;PERIODTYPE=SEMI_STD&amp;window=popup_no_bar&amp;width=385&amp;height=120&amp;START_MAXIMIZED=FALSE&amp;creator=factset&amp;display_string=Audit"}</definedName>
    <definedName function="false" hidden="true" name="_2733__FDSAUDITLINK__" vbProcedure="false">{"fdsup://Directions/FactSet Auditing Viewer?action=AUDIT_VALUE&amp;DB=129&amp;ID1=83416B10&amp;VALUEID=02001&amp;SDATE=201002&amp;PERIODTYPE=QTR_STD&amp;window=popup_no_bar&amp;width=385&amp;height=120&amp;START_MAXIMIZED=FALSE&amp;creator=factset&amp;display_string=Audit"}</definedName>
    <definedName function="false" hidden="true" name="_2734__FDSAUDITLINK__" vbProcedure="false">{"fdsup://directions/FAT Viewer?action=UPDATE&amp;creator=factset&amp;DYN_ARGS=TRUE&amp;DOC_NAME=FAT:FQL_AUDITING_CLIENT_TEMPLATE.FAT&amp;display_string=Audit&amp;VAR:KEY=RQJETITU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P9Z1&amp;VAR:INDEX=0"}</definedName>
    <definedName function="false" hidden="true" name="_2735__FDSAUDITLINK__" vbProcedure="false">{"fdsup://Directions/FactSet Auditing Viewer?action=AUDIT_VALUE&amp;DB=129&amp;ID1=05592110&amp;VALUEID=02001&amp;SDATE=201001&amp;PERIODTYPE=QTR_STD&amp;window=popup_no_bar&amp;width=385&amp;height=120&amp;START_MAXIMIZED=FALSE&amp;creator=factset&amp;display_string=Audit"}</definedName>
    <definedName function="false" hidden="true" name="_2736__FDSAUDITLINK__" vbProcedure="false">{"fdsup://Directions/FactSet Auditing Viewer?action=AUDIT_VALUE&amp;DB=129&amp;ID1=17737610&amp;VALUEID=02001&amp;SDATE=201003&amp;PERIODTYPE=QTR_STD&amp;window=popup_no_bar&amp;width=385&amp;height=120&amp;START_MAXIMIZED=FALSE&amp;creator=factset&amp;display_string=Audit"}</definedName>
    <definedName function="false" hidden="true" name="_2737__FDSAUDITLINK__" vbProcedure="false">{"fdsup://Directions/FactSet Auditing Viewer?action=AUDIT_VALUE&amp;DB=129&amp;ID1=12673P10&amp;VALUEID=02001&amp;SDATE=201002&amp;PERIODTYPE=QTR_STD&amp;window=popup_no_bar&amp;width=385&amp;height=120&amp;START_MAXIMIZED=FALSE&amp;creator=factset&amp;display_string=Audit"}</definedName>
    <definedName function="false" hidden="true" name="_2738__FDSAUDITLINK__" vbProcedure="false">{"fdsup://Directions/FactSet Auditing Viewer?action=AUDIT_VALUE&amp;DB=129&amp;ID1=64110D10&amp;VALUEID=02001&amp;SDATE=201001&amp;PERIODTYPE=QTR_STD&amp;window=popup_no_bar&amp;width=385&amp;height=120&amp;START_MAXIMIZED=FALSE&amp;creator=factset&amp;display_string=Audit"}</definedName>
    <definedName function="false" hidden="true" name="_2739__FDSAUDITLINK__" vbProcedure="false">{"fdsup://directions/FAT Viewer?action=UPDATE&amp;creator=factset&amp;DYN_ARGS=TRUE&amp;DOC_NAME=FAT:FQL_AUDITING_CLIENT_TEMPLATE.FAT&amp;display_string=Audit&amp;VAR:KEY=LEVUTMBALC&amp;VAR:QUERY=KEZTTF9ORVRfSU5DKE5PVyxOT1csRlNBLCxVU0QpQEZGX05FVF9JTkMoTFRNUywwLCwsLFVTRCkp&amp;WINDOW=F","IRST_POPUP&amp;HEIGHT=450&amp;WIDTH=450&amp;START_MAXIMIZED=FALSE&amp;VAR:CALENDAR=US&amp;VAR:SYMBOL=GSB&amp;VAR:INDEX=0"}</definedName>
    <definedName function="false" hidden="true" name="_273__FDSAUDITLINK__" vbProcedure="false">{"fdsup://directions/FAT Viewer?action=UPDATE&amp;creator=factset&amp;DYN_ARGS=TRUE&amp;DOC_NAME=FAT:FQL_AUDITING_CLIENT_TEMPLATE.FAT&amp;display_string=Audit&amp;VAR:KEY=ZKDETMFKBS&amp;VAR:QUERY=RkZfRUJJVERBX09QRVIoTFRNLDAsLCwsVVNEKQ==&amp;WINDOW=FIRST_POPUP&amp;HEIGHT=450&amp;WIDTH=450&amp;STAR","T_MAXIMIZED=FALSE&amp;VAR:CALENDAR=US&amp;VAR:SYMBOL=KRO&amp;VAR:INDEX=0"}</definedName>
    <definedName function="false" hidden="true" name="_2740__FDSAUDITLINK__" vbProcedure="false">{"fdsup://directions/FAT Viewer?action=UPDATE&amp;creator=factset&amp;DYN_ARGS=TRUE&amp;DOC_NAME=FAT:FQL_AUDITING_CLIENT_TEMPLATE.FAT&amp;display_string=Audit&amp;VAR:KEY=XAHUBULGXM&amp;VAR:QUERY=KEZTTF9ORVRfSU5DKE5PVyxOT1csRlNBLCxVU0QpQEZGX05FVF9JTkMoTFRNUywwLCwsLFVTRCkp&amp;WINDOW=F","IRST_POPUP&amp;HEIGHT=450&amp;WIDTH=450&amp;START_MAXIMIZED=FALSE&amp;VAR:CALENDAR=US&amp;VAR:SYMBOL=029981&amp;VAR:INDEX=0"}</definedName>
    <definedName function="false" hidden="true" name="_2741__FDSAUDITLINK__" vbProcedure="false">{"fdsup://directions/FAT Viewer?action=UPDATE&amp;creator=factset&amp;DYN_ARGS=TRUE&amp;DOC_NAME=FAT:FQL_AUDITING_CLIENT_TEMPLATE.FAT&amp;display_string=Audit&amp;VAR:KEY=TUNSJAPIXW&amp;VAR:QUERY=KEZTTF9ORVRfSU5DKE5PVyxOT1csRlNBLCxVU0QpQEZGX05FVF9JTkMoTFRNUywwLCwsLFVTRCkp&amp;WINDOW=F","IRST_POPUP&amp;HEIGHT=450&amp;WIDTH=450&amp;START_MAXIMIZED=FALSE&amp;VAR:CALENDAR=US&amp;VAR:SYMBOL=FALC&amp;VAR:INDEX=0"}</definedName>
    <definedName function="false" hidden="true" name="_2742__FDSAUDITLINK__" vbProcedure="false">{"fdsup://directions/FAT Viewer?action=UPDATE&amp;creator=factset&amp;DYN_ARGS=TRUE&amp;DOC_NAME=FAT:FQL_AUDITING_CLIENT_TEMPLATE.FAT&amp;display_string=Audit&amp;VAR:KEY=DCBUFMLWDQ&amp;VAR:QUERY=KEZTTF9ORVRfSU5DKE5PVyxOT1csRlNBLCxVU0QpQEZGX05FVF9JTkMoTFRNUywwLCwsLFVTRCkp&amp;WINDOW=F","IRST_POPUP&amp;HEIGHT=450&amp;WIDTH=450&amp;START_MAXIMIZED=FALSE&amp;VAR:CALENDAR=US&amp;VAR:SYMBOL=042816&amp;VAR:INDEX=0"}</definedName>
    <definedName function="false" hidden="true" name="_2743__FDSAUDITLINK__" vbProcedure="false">{"fdsup://directions/FAT Viewer?action=UPDATE&amp;creator=factset&amp;DYN_ARGS=TRUE&amp;DOC_NAME=FAT:FQL_AUDITING_CLIENT_TEMPLATE.FAT&amp;display_string=Audit&amp;VAR:KEY=LYXIRAVERG&amp;VAR:QUERY=KEZTTF9ORVRfSU5DKE5PVyxOT1csRlNBLCxVU0QpQEZGX05FVF9JTkMoTFRNUywwLCwsLFVTRCkp&amp;WINDOW=F","IRST_POPUP&amp;HEIGHT=450&amp;WIDTH=450&amp;START_MAXIMIZED=FALSE&amp;VAR:CALENDAR=US&amp;VAR:SYMBOL=B282YM&amp;VAR:INDEX=0"}</definedName>
    <definedName function="false" hidden="true" name="_2744__FDSAUDITLINK__" vbProcedure="false">{"fdsup://directions/FAT Viewer?action=UPDATE&amp;creator=factset&amp;DYN_ARGS=TRUE&amp;DOC_NAME=FAT:FQL_AUDITING_CLIENT_TEMPLATE.FAT&amp;display_string=Audit&amp;VAR:KEY=LOJYXWZAPS&amp;VAR:QUERY=KEZTTF9ORVRfSU5DKE5PVyxOT1csRlNBLCxVU0QpQEZGX05FVF9JTkMoTFRNUywwLCwsLFVTRCkp&amp;WINDOW=F","IRST_POPUP&amp;HEIGHT=450&amp;WIDTH=450&amp;START_MAXIMIZED=FALSE&amp;VAR:CALENDAR=US&amp;VAR:SYMBOL=084354&amp;VAR:INDEX=0"}</definedName>
    <definedName function="false" hidden="true" name="_2745__FDSAUDITLINK__" vbProcedure="false">{"fdsup://directions/FAT Viewer?action=UPDATE&amp;creator=factset&amp;DYN_ARGS=TRUE&amp;DOC_NAME=FAT:FQL_AUDITING_CLIENT_TEMPLATE.FAT&amp;display_string=Audit&amp;VAR:KEY=NKXWRGTK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SB&amp;VAR:INDEX=0"}</definedName>
    <definedName function="false" hidden="true" name="_2746__FDSAUDITLINK__" vbProcedure="false">{"fdsup://directions/FAT Viewer?action=UPDATE&amp;creator=factset&amp;DYN_ARGS=TRUE&amp;DOC_NAME=FAT:FQL_AUDITING_CLIENT_TEMPLATE.FAT&amp;display_string=Audit&amp;VAR:KEY=FATKPILU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029981&amp;VAR:INDEX=0"}</definedName>
    <definedName function="false" hidden="true" name="_2747__FDSAUDITLINK__" vbProcedure="false">{"fdsup://directions/FAT Viewer?action=UPDATE&amp;creator=factset&amp;DYN_ARGS=TRUE&amp;DOC_NAME=FAT:FQL_AUDITING_CLIENT_TEMPLATE.FAT&amp;display_string=Audit&amp;VAR:KEY=RARCHYBY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ILL&amp;VAR:INDEX=0"}</definedName>
    <definedName function="false" hidden="true" name="_2748__FDSAUDITLINK__" vbProcedure="false">{"fdsup://directions/FAT Viewer?action=UPDATE&amp;creator=factset&amp;DYN_ARGS=TRUE&amp;DOC_NAME=FAT:FQL_AUDITING_CLIENT_TEMPLATE.FAT&amp;display_string=Audit&amp;VAR:KEY=DGTEDGBYR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042816&amp;VAR:INDEX=0"}</definedName>
    <definedName function="false" hidden="true" name="_2749__FDSAUDITLINK__" vbProcedure="false">{"fdsup://directions/FAT Viewer?action=UPDATE&amp;creator=factset&amp;DYN_ARGS=TRUE&amp;DOC_NAME=FAT:FQL_AUDITING_CLIENT_TEMPLATE.FAT&amp;display_string=Audit&amp;VAR:KEY=JKFIVKTE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LT&amp;VAR:INDEX=0"}</definedName>
    <definedName function="false" hidden="true" name="_274__FDSAUDITLINK__" vbProcedure="false">{"fdsup://directions/FAT Viewer?action=UPDATE&amp;creator=factset&amp;DYN_ARGS=TRUE&amp;DOC_NAME=FAT:FQL_AUDITING_CLIENT_TEMPLATE.FAT&amp;display_string=Audit&amp;VAR:KEY=HAJABILCTE&amp;VAR:QUERY=RkZfRUJJVERBX09QRVIoTFRNLDAsLCwsVVNEKQ==&amp;WINDOW=FIRST_POPUP&amp;HEIGHT=450&amp;WIDTH=450&amp;STAR","T_MAXIMIZED=FALSE&amp;VAR:CALENDAR=US&amp;VAR:SYMBOL=AIR&amp;VAR:INDEX=0"}</definedName>
    <definedName function="false" hidden="true" name="_2750__FDSAUDITLINK__" vbProcedure="false">{"fdsup://directions/FAT Viewer?action=UPDATE&amp;creator=factset&amp;DYN_ARGS=TRUE&amp;DOC_NAME=FAT:FQL_AUDITING_CLIENT_TEMPLATE.FAT&amp;display_string=Audit&amp;VAR:KEY=HCBODMJY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084354&amp;VAR:INDEX=0"}</definedName>
    <definedName function="false" hidden="true" name="_2751__FDSAUDITLINK__" vbProcedure="false">{"fdsup://Directions/FactSet Auditing Viewer?action=AUDIT_VALUE&amp;DB=129&amp;ID1=37940G10&amp;VALUEID=02001&amp;SDATE=201002&amp;PERIODTYPE=QTR_STD&amp;window=popup_no_bar&amp;width=385&amp;height=120&amp;START_MAXIMIZED=FALSE&amp;creator=factset&amp;display_string=Audit"}</definedName>
    <definedName function="false" hidden="true" name="_2752__FDSAUDITLINK__" vbProcedure="false">{"fdsup://Directions/FactSet Auditing Viewer?action=AUDIT_VALUE&amp;DB=129&amp;ID1=029981&amp;VALUEID=02001&amp;SDATE=201001&amp;PERIODTYPE=SEMI_STD&amp;window=popup_no_bar&amp;width=385&amp;height=120&amp;START_MAXIMIZED=FALSE&amp;creator=factset&amp;display_string=Audit"}</definedName>
    <definedName function="false" hidden="true" name="_2753__FDSAUDITLINK__" vbProcedure="false">{"fdsup://Directions/FactSet Auditing Viewer?action=AUDIT_VALUE&amp;DB=129&amp;ID1=25848T10&amp;VALUEID=02001&amp;SDATE=201002&amp;PERIODTYPE=QTR_STD&amp;window=popup_no_bar&amp;width=385&amp;height=120&amp;START_MAXIMIZED=FALSE&amp;creator=factset&amp;display_string=Audit"}</definedName>
    <definedName function="false" hidden="true" name="_2754__FDSAUDITLINK__" vbProcedure="false">{"fdsup://directions/FAT Viewer?action=UPDATE&amp;creator=factset&amp;DYN_ARGS=TRUE&amp;DOC_NAME=FAT:FQL_AUDITING_CLIENT_TEMPLATE.FAT&amp;display_string=Audit&amp;VAR:KEY=RQDMBYZQZQ&amp;VAR:QUERY=KEZTTF9ORVRfSU5DKE5PVyxOT1csRlNBLCxVU0QpQEZGX05FVF9JTkMoTFRNUywwLCwsLFVTRCkp&amp;WINDOW=F","IRST_POPUP&amp;HEIGHT=450&amp;WIDTH=450&amp;START_MAXIMIZED=FALSE&amp;VAR:CALENDAR=US&amp;VAR:SYMBOL=HILL&amp;VAR:INDEX=0"}</definedName>
    <definedName function="false" hidden="true" name="_2755__FDSAUDITLINK__" vbProcedure="false">{"fdsup://Directions/FactSet Auditing Viewer?action=AUDIT_VALUE&amp;DB=129&amp;ID1=20416610&amp;VALUEID=02001&amp;SDATE=201001&amp;PERIODTYPE=QTR_STD&amp;window=popup_no_bar&amp;width=385&amp;height=120&amp;START_MAXIMIZED=FALSE&amp;creator=factset&amp;display_string=Audit"}</definedName>
    <definedName function="false" hidden="true" name="_2756__FDSAUDITLINK__" vbProcedure="false">{"fdsup://Directions/FactSet Auditing Viewer?action=AUDIT_VALUE&amp;DB=129&amp;ID1=084354&amp;VALUEID=02001&amp;SDATE=201001&amp;PERIODTYPE=SEMI_STD&amp;window=popup_no_bar&amp;width=385&amp;height=120&amp;START_MAXIMIZED=FALSE&amp;creator=factset&amp;display_string=Audit"}</definedName>
    <definedName function="false" hidden="true" name="_2757__FDSAUDITLINK__" vbProcedure="false">{"fdsup://directions/FAT Viewer?action=UPDATE&amp;creator=factset&amp;DYN_ARGS=TRUE&amp;DOC_NAME=FAT:FQL_AUDITING_CLIENT_TEMPLATE.FAT&amp;display_string=Audit&amp;VAR:KEY=PMZGZEBOZE&amp;VAR:QUERY=KEZTTF9ORVRfSU5DKE5PVyxOT1csRlNBLCxVU0QpQEZGX05FVF9JTkMoTFRNUywwLCwsLFVTRCkp&amp;WINDOW=F","IRST_POPUP&amp;HEIGHT=450&amp;WIDTH=450&amp;START_MAXIMIZED=FALSE&amp;VAR:CALENDAR=US&amp;VAR:SYMBOL=EXBX&amp;VAR:INDEX=0"}</definedName>
    <definedName function="false" hidden="true" name="_2758__FDSAUDITLINK__" vbProcedure="false">{"fdsup://directions/FAT Viewer?action=UPDATE&amp;creator=factset&amp;DYN_ARGS=TRUE&amp;DOC_NAME=FAT:FQL_AUDITING_CLIENT_TEMPLATE.FAT&amp;display_string=Audit&amp;VAR:KEY=NCPYZETEZY&amp;VAR:QUERY=KEZTTF9ORVRfSU5DKE5PVyxOT1csRlNBLCxVU0QpQEZGX05FVF9JTkMoTFRNUywwLCwsLFVTRCkp&amp;WINDOW=F","IRST_POPUP&amp;HEIGHT=450&amp;WIDTH=450&amp;START_MAXIMIZED=FALSE&amp;VAR:CALENDAR=US&amp;VAR:SYMBOL=096067&amp;VAR:INDEX=0"}</definedName>
    <definedName function="false" hidden="true" name="_2759__FDSAUDITLINK__" vbProcedure="false">{"fdsup://directions/FAT Viewer?action=UPDATE&amp;creator=factset&amp;DYN_ARGS=TRUE&amp;DOC_NAME=FAT:FQL_AUDITING_CLIENT_TEMPLATE.FAT&amp;display_string=Audit&amp;VAR:KEY=XUXCZEXILQ&amp;VAR:QUERY=KEZTTF9ORVRfSU5DKE5PVyxOT1csRlNBLCxVU0QpQEZGX05FVF9JTkMoTFRNUywwLCwsLFVTRCkp&amp;WINDOW=F","IRST_POPUP&amp;HEIGHT=450&amp;WIDTH=450&amp;START_MAXIMIZED=FALSE&amp;VAR:CALENDAR=US&amp;VAR:SYMBOL=CYDE&amp;VAR:INDEX=0"}</definedName>
    <definedName function="false" hidden="true" name="_275__FDSAUDITLINK__" vbProcedure="false">{"fdsup://directions/FAT Viewer?action=UPDATE&amp;creator=factset&amp;DYN_ARGS=TRUE&amp;DOC_NAME=FAT:FQL_AUDITING_CLIENT_TEMPLATE.FAT&amp;display_string=Audit&amp;VAR:KEY=LULYPYPUFA&amp;VAR:QUERY=RkZfRUJJVERBX09QRVIoTFRNLDAsLCwsVVNEKQ==&amp;WINDOW=FIRST_POPUP&amp;HEIGHT=450&amp;WIDTH=450&amp;STAR","T_MAXIMIZED=FALSE&amp;VAR:CALENDAR=US&amp;VAR:SYMBOL=AVNW&amp;VAR:INDEX=0"}</definedName>
    <definedName function="false" hidden="true" name="_2760__FDSAUDITLINK__" vbProcedure="false">{"fdsup://directions/FAT Viewer?action=UPDATE&amp;creator=factset&amp;DYN_ARGS=TRUE&amp;DOC_NAME=FAT:FQL_AUDITING_CLIENT_TEMPLATE.FAT&amp;display_string=Audit&amp;VAR:KEY=JIDGJURGBE&amp;VAR:QUERY=KEZTTF9ORVRfSU5DKE5PVyxOT1csRlNBLCxVU0QpQEZGX05FVF9JTkMoTFRNUywwLCwsLFVTRCkp&amp;WINDOW=F","IRST_POPUP&amp;HEIGHT=450&amp;WIDTH=450&amp;START_MAXIMIZED=FALSE&amp;VAR:CALENDAR=US&amp;VAR:SYMBOL=486510&amp;VAR:INDEX=0"}</definedName>
    <definedName function="false" hidden="true" name="_2761__FDSAUDITLINK__" vbProcedure="false">{"fdsup://directions/FAT Viewer?action=UPDATE&amp;creator=factset&amp;DYN_ARGS=TRUE&amp;DOC_NAME=FAT:FQL_AUDITING_CLIENT_TEMPLATE.FAT&amp;display_string=Audit&amp;VAR:KEY=XMFWTOHCZQ&amp;VAR:QUERY=KEZTTF9ORVRfSU5DKE5PVyxOT1csRlNBLCxVU0QpQEZGX05FVF9JTkMoTFRNUywwLCwsLFVTRCkp&amp;WINDOW=F","IRST_POPUP&amp;HEIGHT=450&amp;WIDTH=450&amp;START_MAXIMIZED=FALSE&amp;VAR:CALENDAR=US&amp;VAR:SYMBOL=GUID&amp;VAR:INDEX=0"}</definedName>
    <definedName function="false" hidden="true" name="_2762__FDSAUDITLINK__" vbProcedure="false">{"fdsup://directions/FAT Viewer?action=UPDATE&amp;creator=factset&amp;DYN_ARGS=TRUE&amp;DOC_NAME=FAT:FQL_AUDITING_CLIENT_TEMPLATE.FAT&amp;display_string=Audit&amp;VAR:KEY=FYJEFQFGBO&amp;VAR:QUERY=KEZTTF9ORVRfSU5DKE5PVyxOT1csRlNBLCxVU0QpQEZGX05FVF9JTkMoTFRNUywwLCwsLFVTRCkp&amp;WINDOW=F","IRST_POPUP&amp;HEIGHT=450&amp;WIDTH=450&amp;START_MAXIMIZED=FALSE&amp;VAR:CALENDAR=US&amp;VAR:SYMBOL=068706&amp;VAR:INDEX=0"}</definedName>
    <definedName function="false" hidden="true" name="_2763__FDSAUDITLINK__" vbProcedure="false">{"fdsup://directions/FAT Viewer?action=UPDATE&amp;creator=factset&amp;DYN_ARGS=TRUE&amp;DOC_NAME=FAT:FQL_AUDITING_CLIENT_TEMPLATE.FAT&amp;display_string=Audit&amp;VAR:KEY=VGLGXAJCJK&amp;VAR:QUERY=KEZTTF9ORVRfSU5DKE5PVyxOT1csRlNBLCxVU0QpQEZGX05FVF9JTkMoTFRNUywwLCwsLFVTRCkp&amp;WINDOW=F","IRST_POPUP&amp;HEIGHT=450&amp;WIDTH=450&amp;START_MAXIMIZED=FALSE&amp;VAR:CALENDAR=US&amp;VAR:SYMBOL=032872&amp;VAR:INDEX=0"}</definedName>
    <definedName function="false" hidden="true" name="_2764__FDSAUDITLINK__" vbProcedure="false">{"fdsup://directions/FAT Viewer?action=UPDATE&amp;creator=factset&amp;DYN_ARGS=TRUE&amp;DOC_NAME=FAT:FQL_AUDITING_CLIENT_TEMPLATE.FAT&amp;display_string=Audit&amp;VAR:KEY=ZOZWXUXEZA&amp;VAR:QUERY=KEZTTF9ORVRfSU5DKE5PVyxOT1csRlNBLCxVU0QpQEZGX05FVF9JTkMoTFRNUywwLCwsLFVTRCkp&amp;WINDOW=F","IRST_POPUP&amp;HEIGHT=450&amp;WIDTH=450&amp;START_MAXIMIZED=FALSE&amp;VAR:CALENDAR=US&amp;VAR:SYMBOL=B29L74&amp;VAR:INDEX=0"}</definedName>
    <definedName function="false" hidden="true" name="_2765__FDSAUDITLINK__" vbProcedure="false">{"fdsup://directions/FAT Viewer?action=UPDATE&amp;creator=factset&amp;DYN_ARGS=TRUE&amp;DOC_NAME=FAT:FQL_AUDITING_CLIENT_TEMPLATE.FAT&amp;display_string=Audit&amp;VAR:KEY=DEPOZSTYHE&amp;VAR:QUERY=KEZTTF9ORVRfSU5DKE5PVyxOT1csRlNBLCxVU0QpQEZGX05FVF9JTkMoTFRNUywwLCwsLFVTRCkp&amp;WINDOW=F","IRST_POPUP&amp;HEIGHT=450&amp;WIDTH=450&amp;START_MAXIMIZED=FALSE&amp;VAR:CALENDAR=US&amp;VAR:SYMBOL=566716&amp;VAR:INDEX=0"}</definedName>
    <definedName function="false" hidden="true" name="_2766__FDSAUDITLINK__" vbProcedure="false">{"fdsup://directions/FAT Viewer?action=UPDATE&amp;creator=factset&amp;DYN_ARGS=TRUE&amp;DOC_NAME=FAT:FQL_AUDITING_CLIENT_TEMPLATE.FAT&amp;display_string=Audit&amp;VAR:KEY=HYZYJGJWBO&amp;VAR:QUERY=KEZTTF9ORVRfSU5DKE5PVyxOT1csRlNBLCxVU0QpQEZGX05FVF9JTkMoTFRNUywwLCwsLFVTRCkp&amp;WINDOW=F","IRST_POPUP&amp;HEIGHT=450&amp;WIDTH=450&amp;START_MAXIMIZED=FALSE&amp;VAR:CALENDAR=US&amp;VAR:SYMBOL=B1F5ZB&amp;VAR:INDEX=0"}</definedName>
    <definedName function="false" hidden="true" name="_2767__FDSAUDITLINK__" vbProcedure="false">{"fdsup://directions/FAT Viewer?action=UPDATE&amp;creator=factset&amp;DYN_ARGS=TRUE&amp;DOC_NAME=FAT:FQL_AUDITING_CLIENT_TEMPLATE.FAT&amp;display_string=Audit&amp;VAR:KEY=DAJQVORSPY&amp;VAR:QUERY=KEZTTF9ORVRfSU5DKE5PVyxOT1csRlNBLCxVU0QpQEZGX05FVF9JTkMoTFRNUywwLCwsLFVTRCkp&amp;WINDOW=F","IRST_POPUP&amp;HEIGHT=450&amp;WIDTH=450&amp;START_MAXIMIZED=FALSE&amp;VAR:CALENDAR=US&amp;VAR:SYMBOL=ACTI&amp;VAR:INDEX=0"}</definedName>
    <definedName function="false" hidden="true" name="_2768__FDSAUDITLINK__" vbProcedure="false">{"fdsup://directions/FAT Viewer?action=UPDATE&amp;creator=factset&amp;DYN_ARGS=TRUE&amp;DOC_NAME=FAT:FQL_AUDITING_CLIENT_TEMPLATE.FAT&amp;display_string=Audit&amp;VAR:KEY=HAFQTQLGBQ&amp;VAR:QUERY=KEZTTF9ORVRfSU5DKE5PVyxOT1csRlNBLCxVU0QpQEZGX05FVF9JTkMoTFRNUywwLCwsLFVTRCkp&amp;WINDOW=F","IRST_POPUP&amp;HEIGHT=450&amp;WIDTH=450&amp;START_MAXIMIZED=FALSE&amp;VAR:CALENDAR=US&amp;VAR:SYMBOL=B0P9Z1&amp;VAR:INDEX=0"}</definedName>
    <definedName function="false" hidden="true" name="_2769__FDSAUDITLINK__" vbProcedure="false">{"fdsup://directions/FAT Viewer?action=UPDATE&amp;creator=factset&amp;DYN_ARGS=TRUE&amp;DOC_NAME=FAT:FQL_AUDITING_CLIENT_TEMPLATE.FAT&amp;display_string=Audit&amp;VAR:KEY=HOFOXWZELY&amp;VAR:QUERY=KEZTTF9ORVRfSU5DKE5PVyxOT1csRlNBLCxVU0QpQEZGX05FVF9JTkMoTFRNUywwLCwsLFVTRCkp&amp;WINDOW=F","IRST_POPUP&amp;HEIGHT=450&amp;WIDTH=450&amp;START_MAXIMIZED=FALSE&amp;VAR:CALENDAR=US&amp;VAR:SYMBOL=257076&amp;VAR:INDEX=0"}</definedName>
    <definedName function="false" hidden="true" name="_276__FDSAUDITLINK__" vbProcedure="false">{"fdsup://directions/FAT Viewer?action=UPDATE&amp;creator=factset&amp;DYN_ARGS=TRUE&amp;DOC_NAME=FAT:FQL_AUDITING_CLIENT_TEMPLATE.FAT&amp;display_string=Audit&amp;VAR:KEY=ZWHQTYHGBU&amp;VAR:QUERY=RkZfRUJJVERBX09QRVIoTFRNLDAsLCwsVVNEKQ==&amp;WINDOW=FIRST_POPUP&amp;HEIGHT=450&amp;WIDTH=450&amp;STAR","T_MAXIMIZED=FALSE&amp;VAR:CALENDAR=US&amp;VAR:SYMBOL=QEP&amp;VAR:INDEX=0"}</definedName>
    <definedName function="false" hidden="true" name="_2770__FDSAUDITLINK__" vbProcedure="false">{"fdsup://directions/FAT Viewer?action=UPDATE&amp;creator=factset&amp;DYN_ARGS=TRUE&amp;DOC_NAME=FAT:FQL_AUDITING_CLIENT_TEMPLATE.FAT&amp;display_string=Audit&amp;VAR:KEY=NSFUZMFGLG&amp;VAR:QUERY=KEZTTF9ORVRfSU5DKE5PVyxOT1csRlNBLCxVU0QpQEZGX05FVF9JTkMoTFRNUywwLCwsLFVTRCkp&amp;WINDOW=F","IRST_POPUP&amp;HEIGHT=450&amp;WIDTH=450&amp;START_MAXIMIZED=FALSE&amp;VAR:CALENDAR=US&amp;VAR:SYMBOL=ZIXI&amp;VAR:INDEX=0"}</definedName>
    <definedName function="false" hidden="true" name="_2771__FDSAUDITLINK__" vbProcedure="false">{"fdsup://directions/FAT Viewer?action=UPDATE&amp;creator=factset&amp;DYN_ARGS=TRUE&amp;DOC_NAME=FAT:FQL_AUDITING_CLIENT_TEMPLATE.FAT&amp;display_string=Audit&amp;VAR:KEY=JGBWNYZQHW&amp;VAR:QUERY=KEZTTF9ORVRfSU5DKE5PVyxOT1csRlNBLCxVU0QpQEZGX05FVF9JTkMoTFRNUywwLCwsLFVTRCkp&amp;WINDOW=F","IRST_POPUP&amp;HEIGHT=450&amp;WIDTH=450&amp;START_MAXIMIZED=FALSE&amp;VAR:CALENDAR=US&amp;VAR:SYMBOL=WAVX&amp;VAR:INDEX=0"}</definedName>
    <definedName function="false" hidden="true" name="_2772__FDSAUDITLINK__" vbProcedure="false">{"fdsup://directions/FAT Viewer?action=UPDATE&amp;creator=factset&amp;DYN_ARGS=TRUE&amp;DOC_NAME=FAT:FQL_AUDITING_CLIENT_TEMPLATE.FAT&amp;display_string=Audit&amp;VAR:KEY=XEHQFSXCFO&amp;VAR:QUERY=KEZTTF9ORVRfSU5DKE5PVyxOT1csRlNBLCxVU0QpQEZGX05FVF9JTkMoTFRNUywwLCwsLFVTRCkp&amp;WINDOW=F","IRST_POPUP&amp;HEIGHT=450&amp;WIDTH=450&amp;START_MAXIMIZED=FALSE&amp;VAR:CALENDAR=US&amp;VAR:SYMBOL=CPBY&amp;VAR:INDEX=0"}</definedName>
    <definedName function="false" hidden="true" name="_2773__FDSAUDITLINK__" vbProcedure="false">{"fdsup://directions/FAT Viewer?action=UPDATE&amp;creator=factset&amp;DYN_ARGS=TRUE&amp;DOC_NAME=FAT:FQL_AUDITING_CLIENT_TEMPLATE.FAT&amp;display_string=Audit&amp;VAR:KEY=ZCJWZGJKFQ&amp;VAR:QUERY=KEZTTF9ORVRfSU5DKE5PVyxOT1csRlNBLCxVU0QpQEZGX05FVF9JTkMoTFRNUywwLCwsLFVTRCkp&amp;WINDOW=F","IRST_POPUP&amp;HEIGHT=450&amp;WIDTH=450&amp;START_MAXIMIZED=FALSE&amp;VAR:CALENDAR=US&amp;VAR:SYMBOL=VDSI&amp;VAR:INDEX=0"}</definedName>
    <definedName function="false" hidden="true" name="_2774__FDSAUDITLINK__" vbProcedure="false">{"fdsup://directions/FAT Viewer?action=UPDATE&amp;creator=factset&amp;DYN_ARGS=TRUE&amp;DOC_NAME=FAT:FQL_AUDITING_CLIENT_TEMPLATE.FAT&amp;display_string=Audit&amp;VAR:KEY=RIPCJIBOXW&amp;VAR:QUERY=KEZTTF9ORVRfSU5DKE5PVyxOT1csRlNBLCxVU0QpQEZGX05FVF9JTkMoTFRNUywwLCwsLFVTRCkp&amp;WINDOW=F","IRST_POPUP&amp;HEIGHT=450&amp;WIDTH=450&amp;START_MAXIMIZED=FALSE&amp;VAR:CALENDAR=US&amp;VAR:SYMBOL=ID&amp;VAR:INDEX=0"}</definedName>
    <definedName function="false" hidden="true" name="_2775__FDSAUDITLINK__" vbProcedure="false">{"fdsup://directions/FAT Viewer?action=UPDATE&amp;creator=factset&amp;DYN_ARGS=TRUE&amp;DOC_NAME=FAT:FQL_AUDITING_CLIENT_TEMPLATE.FAT&amp;display_string=Audit&amp;VAR:KEY=VYBMJURWJS&amp;VAR:QUERY=KEZTTF9ORVRfSU5DKE5PVyxOT1csRlNBLCxVU0QpQEZGX05FVF9JTkMoTFRNUywwLCwsLFVTRCkp&amp;WINDOW=F","IRST_POPUP&amp;HEIGHT=450&amp;WIDTH=450&amp;START_MAXIMIZED=FALSE&amp;VAR:CALENDAR=US&amp;VAR:SYMBOL=FTNT&amp;VAR:INDEX=0"}</definedName>
    <definedName function="false" hidden="true" name="_2776__FDSAUDITLINK__" vbProcedure="false">{"fdsup://directions/FAT Viewer?action=UPDATE&amp;creator=factset&amp;DYN_ARGS=TRUE&amp;DOC_NAME=FAT:FQL_AUDITING_CLIENT_TEMPLATE.FAT&amp;display_string=Audit&amp;VAR:KEY=TQLAFMLOHW&amp;VAR:QUERY=KEZTTF9ORVRfSU5DKE5PVyxOT1csRlNBLCxVU0QpQEZGX05FVF9JTkMoTFRNUywwLCwsLFVTRCkp&amp;WINDOW=F","IRST_POPUP&amp;HEIGHT=450&amp;WIDTH=450&amp;START_MAXIMIZED=FALSE&amp;VAR:CALENDAR=US&amp;VAR:SYMBOL=VRSN&amp;VAR:INDEX=0"}</definedName>
    <definedName function="false" hidden="true" name="_2777__FDSAUDITLINK__" vbProcedure="false">{"fdsup://directions/FAT Viewer?action=UPDATE&amp;creator=factset&amp;DYN_ARGS=TRUE&amp;DOC_NAME=FAT:FQL_AUDITING_CLIENT_TEMPLATE.FAT&amp;display_string=Audit&amp;VAR:KEY=NITSPEPWLM&amp;VAR:QUERY=KEZTTF9ORVRfSU5DKE5PVyxOT1csRlNBLCxVU0QpQEZGX05FVF9JTkMoTFRNUywwLCwsLFVTRCkp&amp;WINDOW=F","IRST_POPUP&amp;HEIGHT=450&amp;WIDTH=450&amp;START_MAXIMIZED=FALSE&amp;VAR:CALENDAR=US&amp;VAR:SYMBOL=MFE&amp;VAR:INDEX=0"}</definedName>
    <definedName function="false" hidden="true" name="_2778__FDSAUDITLINK__" vbProcedure="false">{"fdsup://directions/FAT Viewer?action=UPDATE&amp;creator=factset&amp;DYN_ARGS=TRUE&amp;DOC_NAME=FAT:FQL_AUDITING_CLIENT_TEMPLATE.FAT&amp;display_string=Audit&amp;VAR:KEY=LMDUHGDYBK&amp;VAR:QUERY=KEZTTF9ORVRfSU5DKE5PVyxOT1csRlNBLCxVU0QpQEZGX05FVF9JTkMoTFRNUywwLCwsLFVTRCkp&amp;WINDOW=F","IRST_POPUP&amp;HEIGHT=450&amp;WIDTH=450&amp;START_MAXIMIZED=FALSE&amp;VAR:CALENDAR=US&amp;VAR:SYMBOL=CHKP&amp;VAR:INDEX=0"}</definedName>
    <definedName function="false" hidden="true" name="_2779__FDSAUDITLINK__" vbProcedure="false">{"fdsup://directions/FAT Viewer?action=UPDATE&amp;creator=factset&amp;DYN_ARGS=TRUE&amp;DOC_NAME=FAT:FQL_AUDITING_CLIENT_TEMPLATE.FAT&amp;display_string=Audit&amp;VAR:KEY=HCNSVYJUPK&amp;VAR:QUERY=KEZTTF9ORVRfSU5DKE5PVyxOT1csRlNBLCxVU0QpQEZGX05FVF9JTkMoTFRNUywwLCwsLFVTRCkp&amp;WINDOW=F","IRST_POPUP&amp;HEIGHT=450&amp;WIDTH=450&amp;START_MAXIMIZED=FALSE&amp;VAR:CALENDAR=US&amp;VAR:SYMBOL=SYMC&amp;VAR:INDEX=0"}</definedName>
    <definedName function="false" hidden="true" name="_277__FDSAUDITLINK__" vbProcedure="false">{"fdsup://directions/FAT Viewer?action=UPDATE&amp;creator=factset&amp;DYN_ARGS=TRUE&amp;DOC_NAME=FAT:FQL_AUDITING_CLIENT_TEMPLATE.FAT&amp;display_string=Audit&amp;VAR:KEY=BGLIFCDKJQ&amp;VAR:QUERY=RkZfRUJJVERBX09QRVIoTFRNLDAsLCwsVVNEKQ==&amp;WINDOW=FIRST_POPUP&amp;HEIGHT=450&amp;WIDTH=450&amp;STAR","T_MAXIMIZED=FALSE&amp;VAR:CALENDAR=US&amp;VAR:SYMBOL=PSUN&amp;VAR:INDEX=0"}</definedName>
    <definedName function="false" hidden="true" name="_2780__FDSAUDITLINK__" vbProcedure="false">{"fdsup://directions/FAT Viewer?action=UPDATE&amp;creator=factset&amp;DYN_ARGS=TRUE&amp;DOC_NAME=FAT:FQL_AUDITING_CLIENT_TEMPLATE.FAT&amp;display_string=Audit&amp;VAR:KEY=FSVCRMNU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BX&amp;VAR:INDEX=0"}</definedName>
    <definedName function="false" hidden="true" name="_2781__FDSAUDITLINK__" vbProcedure="false">{"fdsup://directions/FAT Viewer?action=UPDATE&amp;creator=factset&amp;DYN_ARGS=TRUE&amp;DOC_NAME=FAT:FQL_AUDITING_CLIENT_TEMPLATE.FAT&amp;display_string=Audit&amp;VAR:KEY=HAPKNIHY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096067&amp;VAR:INDEX=0"}</definedName>
    <definedName function="false" hidden="true" name="_2782__FDSAUDITLINK__" vbProcedure="false">{"fdsup://directions/FAT Viewer?action=UPDATE&amp;creator=factset&amp;DYN_ARGS=TRUE&amp;DOC_NAME=FAT:FQL_AUDITING_CLIENT_TEMPLATE.FAT&amp;display_string=Audit&amp;VAR:KEY=TYFWVMVI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DN&amp;VAR:INDEX=0"}</definedName>
    <definedName function="false" hidden="true" name="_2783__FDSAUDITLINK__" vbProcedure="false">{"fdsup://directions/FAT Viewer?action=UPDATE&amp;creator=factset&amp;DYN_ARGS=TRUE&amp;DOC_NAME=FAT:FQL_AUDITING_CLIENT_TEMPLATE.FAT&amp;display_string=Audit&amp;VAR:KEY=BURIXEZI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486510&amp;VAR:INDEX=0"}</definedName>
    <definedName function="false" hidden="true" name="_2784__FDSAUDITLINK__" vbProcedure="false">{"fdsup://directions/FAT Viewer?action=UPDATE&amp;creator=factset&amp;DYN_ARGS=TRUE&amp;DOC_NAME=FAT:FQL_AUDITING_CLIENT_TEMPLATE.FAT&amp;display_string=Audit&amp;VAR:KEY=LOZQPWDQB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SI&amp;VAR:INDEX=0"}</definedName>
    <definedName function="false" hidden="true" name="_2785__FDSAUDITLINK__" vbProcedure="false">{"fdsup://directions/FAT Viewer?action=UPDATE&amp;creator=factset&amp;DYN_ARGS=TRUE&amp;DOC_NAME=FAT:FQL_AUDITING_CLIENT_TEMPLATE.FAT&amp;display_string=Audit&amp;VAR:KEY=PCJORWZU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068706&amp;VAR:INDEX=0"}</definedName>
    <definedName function="false" hidden="true" name="_2786__FDSAUDITLINK__" vbProcedure="false">{"fdsup://directions/FAT Viewer?action=UPDATE&amp;creator=factset&amp;DYN_ARGS=TRUE&amp;DOC_NAME=FAT:FQL_AUDITING_CLIENT_TEMPLATE.FAT&amp;display_string=Audit&amp;VAR:KEY=TKLMHMPU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032872&amp;VAR:INDEX=0"}</definedName>
    <definedName function="false" hidden="true" name="_2787__FDSAUDITLINK__" vbProcedure="false">{"fdsup://directions/FAT Viewer?action=UPDATE&amp;creator=factset&amp;DYN_ARGS=TRUE&amp;DOC_NAME=FAT:FQL_AUDITING_CLIENT_TEMPLATE.FAT&amp;display_string=Audit&amp;VAR:KEY=VABSPITQV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29L74&amp;VAR:INDEX=0"}</definedName>
    <definedName function="false" hidden="true" name="_2788__FDSAUDITLINK__" vbProcedure="false">{"fdsup://directions/FAT Viewer?action=UPDATE&amp;creator=factset&amp;DYN_ARGS=TRUE&amp;DOC_NAME=FAT:FQL_AUDITING_CLIENT_TEMPLATE.FAT&amp;display_string=Audit&amp;VAR:KEY=HGHKRWRYB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566716&amp;VAR:INDEX=0"}</definedName>
    <definedName function="false" hidden="true" name="_2789__FDSAUDITLINK__" vbProcedure="false">{"fdsup://directions/FAT Viewer?action=UPDATE&amp;creator=factset&amp;DYN_ARGS=TRUE&amp;DOC_NAME=FAT:FQL_AUDITING_CLIENT_TEMPLATE.FAT&amp;display_string=Audit&amp;VAR:KEY=BQBEVGL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F5ZB&amp;VAR:INDEX=0"}</definedName>
    <definedName function="false" hidden="true" name="_278__FDSAUDITLINK__" vbProcedure="false">{"fdsup://directions/FAT Viewer?action=UPDATE&amp;creator=factset&amp;DYN_ARGS=TRUE&amp;DOC_NAME=FAT:FQL_AUDITING_CLIENT_TEMPLATE.FAT&amp;display_string=Audit&amp;VAR:KEY=NIHUBSBSJY&amp;VAR:QUERY=RkZfRUJJVERBX09QRVIoTFRNLDAsLCwsVVNEKQ==&amp;WINDOW=FIRST_POPUP&amp;HEIGHT=450&amp;WIDTH=450&amp;STAR","T_MAXIMIZED=FALSE&amp;VAR:CALENDAR=US&amp;VAR:SYMBOL=BGFV&amp;VAR:INDEX=0"}</definedName>
    <definedName function="false" hidden="true" name="_2790__FDSAUDITLINK__" vbProcedure="false">{"fdsup://directions/FAT Viewer?action=UPDATE&amp;creator=factset&amp;DYN_ARGS=TRUE&amp;DOC_NAME=FAT:FQL_AUDITING_CLIENT_TEMPLATE.FAT&amp;display_string=Audit&amp;VAR:KEY=NMBILAHA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YDE&amp;VAR:INDEX=0"}</definedName>
    <definedName function="false" hidden="true" name="_2791__FDSAUDITLINK__" vbProcedure="false">{"fdsup://directions/FAT Viewer?action=UPDATE&amp;creator=factset&amp;DYN_ARGS=TRUE&amp;DOC_NAME=FAT:FQL_AUDITING_CLIENT_TEMPLATE.FAT&amp;display_string=Audit&amp;VAR:KEY=VMNWNMZOVO&amp;VAR:QUERY=KEZTTF9ORVRfSU5DKE5PVyxOT1csRlNBLCxVU0QpQEZGX05FVF9JTkMoTFRNUywwLCwsLFVTRCkp&amp;WINDOW=F","IRST_POPUP&amp;HEIGHT=450&amp;WIDTH=450&amp;START_MAXIMIZED=FALSE&amp;VAR:CALENDAR=US&amp;VAR:SYMBOL=CNCN&amp;VAR:INDEX=0"}</definedName>
    <definedName function="false" hidden="true" name="_2792__FDSAUDITLINK__" vbProcedure="false">{"fdsup://directions/FAT Viewer?action=UPDATE&amp;creator=factset&amp;DYN_ARGS=TRUE&amp;DOC_NAME=FAT:FQL_AUDITING_CLIENT_TEMPLATE.FAT&amp;display_string=Audit&amp;VAR:KEY=DGLUZUTQ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UID&amp;VAR:INDEX=0"}</definedName>
    <definedName function="false" hidden="true" name="_2793__FDSAUDITLINK__" vbProcedure="false">{"fdsup://directions/FAT Viewer?action=UPDATE&amp;creator=factset&amp;DYN_ARGS=TRUE&amp;DOC_NAME=FAT:FQL_AUDITING_CLIENT_TEMPLATE.FAT&amp;display_string=Audit&amp;VAR:KEY=RGVUPEDIT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TI&amp;VAR:INDEX=0"}</definedName>
    <definedName function="false" hidden="true" name="_2794__FDSAUDITLINK__" vbProcedure="false">{"fdsup://directions/FAT Viewer?action=UPDATE&amp;creator=factset&amp;DYN_ARGS=TRUE&amp;DOC_NAME=FAT:FQL_AUDITING_CLIENT_TEMPLATE.FAT&amp;display_string=Audit&amp;VAR:KEY=TYHIBKZA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257076&amp;VAR:INDEX=0"}</definedName>
    <definedName function="false" hidden="true" name="_2795__FDSAUDITLINK__" vbProcedure="false">{"fdsup://directions/FAT Viewer?action=UPDATE&amp;creator=factset&amp;DYN_ARGS=TRUE&amp;DOC_NAME=FAT:FQL_AUDITING_CLIENT_TEMPLATE.FAT&amp;display_string=Audit&amp;VAR:KEY=HERGZKZE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AVX&amp;VAR:INDEX=0"}</definedName>
    <definedName function="false" hidden="true" name="_2796__FDSAUDITLINK__" vbProcedure="false">{"fdsup://directions/FAT Viewer?action=UPDATE&amp;creator=factset&amp;DYN_ARGS=TRUE&amp;DOC_NAME=FAT:FQL_AUDITING_CLIENT_TEMPLATE.FAT&amp;display_string=Audit&amp;VAR:KEY=XKVKXGHE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ZIXI&amp;VAR:INDEX=0"}</definedName>
    <definedName function="false" hidden="true" name="_2797__FDSAUDITLINK__" vbProcedure="false">{"fdsup://directions/FAT Viewer?action=UPDATE&amp;creator=factset&amp;DYN_ARGS=TRUE&amp;DOC_NAME=FAT:FQL_AUDITING_CLIENT_TEMPLATE.FAT&amp;display_string=Audit&amp;VAR:KEY=XSRQRWJY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CSI&amp;VAR:INDEX=0"}</definedName>
    <definedName function="false" hidden="true" name="_2798__FDSAUDITLINK__" vbProcedure="false">{"fdsup://Directions/FactSet Auditing Viewer?action=AUDIT_VALUE&amp;DB=129&amp;ID1=30208Q10&amp;VALUEID=02001&amp;SDATE=201003&amp;PERIODTYPE=QTR_STD&amp;window=popup_no_bar&amp;width=385&amp;height=120&amp;START_MAXIMIZED=FALSE&amp;creator=factset&amp;display_string=Audit"}</definedName>
    <definedName function="false" hidden="true" name="_2799__FDSAUDITLINK__" vbProcedure="false">{"fdsup://Directions/FactSet Auditing Viewer?action=AUDIT_VALUE&amp;DB=129&amp;ID1=096067&amp;VALUEID=02001&amp;SDATE=200902&amp;PERIODTYPE=SEMI_STD&amp;window=popup_no_bar&amp;width=385&amp;height=120&amp;START_MAXIMIZED=FALSE&amp;creator=factset&amp;display_string=Audit"}</definedName>
    <definedName function="false" hidden="true" name="_279__FDSAUDITLINK__" vbProcedure="false">{"fdsup://directions/FAT Viewer?action=UPDATE&amp;creator=factset&amp;DYN_ARGS=TRUE&amp;DOC_NAME=FAT:FQL_AUDITING_CLIENT_TEMPLATE.FAT&amp;display_string=Audit&amp;VAR:KEY=JCVMXSHGBM&amp;VAR:QUERY=RkZfRUJJVERBX09QRVIoTFRNLDAsLCwsVVNEKQ==&amp;WINDOW=FIRST_POPUP&amp;HEIGHT=450&amp;WIDTH=450&amp;STAR","T_MAXIMIZED=FALSE&amp;VAR:CALENDAR=US&amp;VAR:SYMBOL=NCIT&amp;VAR:INDEX=0"}</definedName>
    <definedName function="false" hidden="true" name="_27__123Graph_CDIAGR_5" vbProcedure="false">#REF!</definedName>
    <definedName function="false" hidden="true" name="_27__123Graph_LBL_DCHART_1" vbProcedure="false">#REF!</definedName>
    <definedName function="false" hidden="true" name="_27__FDSAUDITLINK__" vbProcedure="false">{"fdsup://directions/FAT Viewer?action=UPDATE&amp;creator=factset&amp;DYN_ARGS=TRUE&amp;DOC_NAME=FAT:FQL_AUDITING_CLIENT_TEMPLATE.FAT&amp;display_string=Audit&amp;VAR:KEY=GNCPODUVUT&amp;VAR:QUERY=RkZfRUJJVERBX09QRVIoTFRNLDAsLCwsVVNEKQ==&amp;WINDOW=FIRST_POPUP&amp;HEIGHT=450&amp;WIDTH=450&amp;STAR","T_MAXIMIZED=FALSE&amp;VAR:CALENDAR=US&amp;VAR:SYMBOL=PSUN&amp;VAR:INDEX=0"}</definedName>
    <definedName function="false" hidden="true" name="_2800__FDSAUDITLINK__" vbProcedure="false">{"fdsup://Directions/FactSet Auditing Viewer?action=AUDIT_VALUE&amp;DB=129&amp;ID1=45817G10&amp;VALUEID=02001&amp;SDATE=201002&amp;PERIODTYPE=QTR_STD&amp;window=popup_no_bar&amp;width=385&amp;height=120&amp;START_MAXIMIZED=FALSE&amp;creator=factset&amp;display_string=Audit"}</definedName>
    <definedName function="false" hidden="true" name="_2801__FDSAUDITLINK__" vbProcedure="false">{"fdsup://Directions/FactSet Auditing Viewer?action=AUDIT_VALUE&amp;DB=129&amp;ID1=486510&amp;VALUEID=02001&amp;SDATE=201003&amp;PERIODTYPE=QTR_STD&amp;window=popup_no_bar&amp;width=385&amp;height=120&amp;START_MAXIMIZED=FALSE&amp;creator=factset&amp;display_string=Audit"}</definedName>
    <definedName function="false" hidden="true" name="_2802__FDSAUDITLINK__" vbProcedure="false">{"fdsup://Directions/FactSet Auditing Viewer?action=AUDIT_VALUE&amp;DB=129&amp;ID1=64121N10&amp;VALUEID=02001&amp;SDATE=201002&amp;PERIODTYPE=QTR_STD&amp;window=popup_no_bar&amp;width=385&amp;height=120&amp;START_MAXIMIZED=FALSE&amp;creator=factset&amp;display_string=Audit"}</definedName>
    <definedName function="false" hidden="true" name="_2803__FDSAUDITLINK__" vbProcedure="false">{"fdsup://directions/FAT Viewer?action=UPDATE&amp;creator=factset&amp;DYN_ARGS=TRUE&amp;DOC_NAME=FAT:FQL_AUDITING_CLIENT_TEMPLATE.FAT&amp;display_string=Audit&amp;VAR:KEY=ZSVAPUPINU&amp;VAR:QUERY=KEZTTF9ORVRfSU5DKE5PVyxOT1csRlNBLCxVU0QpQEZGX05FVF9JTkMoTFRNUywwLCwsLFVTRCkp&amp;WINDOW=F","IRST_POPUP&amp;HEIGHT=450&amp;WIDTH=450&amp;START_MAXIMIZED=FALSE&amp;VAR:CALENDAR=US&amp;VAR:SYMBOL=NSSI&amp;VAR:INDEX=0"}</definedName>
    <definedName function="false" hidden="true" name="_2804__FDSAUDITLINK__" vbProcedure="false">{"fdsup://Directions/FactSet Auditing Viewer?action=AUDIT_VALUE&amp;DB=129&amp;ID1=B29L74&amp;VALUEID=02001&amp;SDATE=201001&amp;PERIODTYPE=SEMI_STD&amp;window=popup_no_bar&amp;width=385&amp;height=120&amp;START_MAXIMIZED=FALSE&amp;creator=factset&amp;display_string=Audit"}</definedName>
    <definedName function="false" hidden="true" name="_2805__FDSAUDITLINK__" vbProcedure="false">{"fdsup://Directions/FactSet Auditing Viewer?action=AUDIT_VALUE&amp;DB=129&amp;ID1=566716&amp;VALUEID=02001&amp;SDATE=201002&amp;PERIODTYPE=QTR_STD&amp;window=popup_no_bar&amp;width=385&amp;height=120&amp;START_MAXIMIZED=FALSE&amp;creator=factset&amp;display_string=Audit"}</definedName>
    <definedName function="false" hidden="true" name="_2806__FDSAUDITLINK__" vbProcedure="false">{"fdsup://Directions/FactSet Auditing Viewer?action=AUDIT_VALUE&amp;DB=129&amp;ID1=92230Y10&amp;VALUEID=02001&amp;SDATE=201002&amp;PERIODTYPE=QTR_STD&amp;window=popup_no_bar&amp;width=385&amp;height=120&amp;START_MAXIMIZED=FALSE&amp;creator=factset&amp;display_string=Audit"}</definedName>
    <definedName function="false" hidden="true" name="_2807__FDSAUDITLINK__" vbProcedure="false">{"fdsup://Directions/FactSet Auditing Viewer?action=AUDIT_VALUE&amp;DB=129&amp;ID1=23248L10&amp;VALUEID=02001&amp;SDATE=201002&amp;PERIODTYPE=QTR_STD&amp;window=popup_no_bar&amp;width=385&amp;height=120&amp;START_MAXIMIZED=FALSE&amp;creator=factset&amp;display_string=Audit"}</definedName>
    <definedName function="false" hidden="true" name="_2808__FDSAUDITLINK__" vbProcedure="false">{"fdsup://Directions/FactSet Auditing Viewer?action=AUDIT_VALUE&amp;DB=129&amp;ID1=B0P9Z1&amp;VALUEID=02001&amp;SDATE=201001&amp;PERIODTYPE=SEMI_STD&amp;window=popup_no_bar&amp;width=385&amp;height=120&amp;START_MAXIMIZED=FALSE&amp;creator=factset&amp;display_string=Audit"}</definedName>
    <definedName function="false" hidden="true" name="_2809__FDSAUDITLINK__" vbProcedure="false">{"fdsup://Directions/FactSet Auditing Viewer?action=AUDIT_VALUE&amp;DB=129&amp;ID1=40169210&amp;VALUEID=02001&amp;SDATE=201002&amp;PERIODTYPE=QTR_STD&amp;window=popup_no_bar&amp;width=385&amp;height=120&amp;START_MAXIMIZED=FALSE&amp;creator=factset&amp;display_string=Audit"}</definedName>
    <definedName function="false" hidden="true" name="_280__FDSAUDITLINK__" vbProcedure="false">{"fdsup://directions/FAT Viewer?action=UPDATE&amp;creator=factset&amp;DYN_ARGS=TRUE&amp;DOC_NAME=FAT:FQL_AUDITING_CLIENT_TEMPLATE.FAT&amp;display_string=Audit&amp;VAR:KEY=JQLSFKBKTA&amp;VAR:QUERY=RkZfRUJJVERBX09QRVIoTFRNLDAsLCwsVVNEKQ==&amp;WINDOW=FIRST_POPUP&amp;HEIGHT=450&amp;WIDTH=450&amp;STAR","T_MAXIMIZED=FALSE&amp;VAR:CALENDAR=US&amp;VAR:SYMBOL=TESO&amp;VAR:INDEX=0"}</definedName>
    <definedName function="false" hidden="true" name="_2810__FDSAUDITLINK__" vbProcedure="false">{"fdsup://Directions/FactSet Auditing Viewer?action=AUDIT_VALUE&amp;DB=129&amp;ID1=00506P10&amp;VALUEID=02001&amp;SDATE=201003&amp;PERIODTYPE=QTR_STD&amp;window=popup_no_bar&amp;width=385&amp;height=120&amp;START_MAXIMIZED=FALSE&amp;creator=factset&amp;display_string=Audit"}</definedName>
    <definedName function="false" hidden="true" name="_2811__FDSAUDITLINK__" vbProcedure="false">{"fdsup://Directions/FactSet Auditing Viewer?action=AUDIT_VALUE&amp;DB=129&amp;ID1=257076&amp;VALUEID=02001&amp;SDATE=201004&amp;PERIODTYPE=QTR_STD&amp;window=popup_no_bar&amp;width=385&amp;height=120&amp;START_MAXIMIZED=FALSE&amp;creator=factset&amp;display_string=Audit"}</definedName>
    <definedName function="false" hidden="true" name="_2812__FDSAUDITLINK__" vbProcedure="false">{"fdsup://Directions/FactSet Auditing Viewer?action=AUDIT_VALUE&amp;DB=129&amp;ID1=94352630&amp;VALUEID=02001&amp;SDATE=201002&amp;PERIODTYPE=QTR_STD&amp;window=popup_no_bar&amp;width=385&amp;height=120&amp;START_MAXIMIZED=FALSE&amp;creator=factset&amp;display_string=Audit"}</definedName>
    <definedName function="false" hidden="true" name="_2813__FDSAUDITLINK__" vbProcedure="false">{"fdsup://Directions/FactSet Auditing Viewer?action=AUDIT_VALUE&amp;DB=129&amp;ID1=98974P10&amp;VALUEID=02001&amp;SDATE=201002&amp;PERIODTYPE=QTR_STD&amp;window=popup_no_bar&amp;width=385&amp;height=120&amp;START_MAXIMIZED=FALSE&amp;creator=factset&amp;display_string=Audit"}</definedName>
    <definedName function="false" hidden="true" name="_2814__FDSAUDITLINK__" vbProcedure="false">{"fdsup://Directions/FactSet Auditing Viewer?action=AUDIT_VALUE&amp;DB=129&amp;ID1=09534T50&amp;VALUEID=02001&amp;SDATE=201001&amp;PERIODTYPE=QTR_STD&amp;window=popup_no_bar&amp;width=385&amp;height=120&amp;START_MAXIMIZED=FALSE&amp;creator=factset&amp;display_string=Audit"}</definedName>
    <definedName function="false" hidden="true" name="_2815__FDSAUDITLINK__" vbProcedure="false">{"fdsup://Directions/FactSet Auditing Viewer?action=AUDIT_VALUE&amp;DB=129&amp;ID1=34959E10&amp;VALUEID=02001&amp;SDATE=201003&amp;PERIODTYPE=QTR_STD&amp;window=popup_no_bar&amp;width=385&amp;height=120&amp;START_MAXIMIZED=FALSE&amp;creator=factset&amp;display_string=Audit"}</definedName>
    <definedName function="false" hidden="true" name="_2816__FDSAUDITLINK__" vbProcedure="false">{"fdsup://Directions/FactSet Auditing Viewer?action=AUDIT_VALUE&amp;DB=129&amp;ID1=92343E10&amp;VALUEID=02001&amp;SDATE=201002&amp;PERIODTYPE=QTR_STD&amp;window=popup_no_bar&amp;width=385&amp;height=120&amp;START_MAXIMIZED=FALSE&amp;creator=factset&amp;display_string=Audit"}</definedName>
    <definedName function="false" hidden="true" name="_2817__FDSAUDITLINK__" vbProcedure="false">{"fdsup://Directions/FactSet Auditing Viewer?action=AUDIT_VALUE&amp;DB=129&amp;ID1=57906410&amp;VALUEID=02001&amp;SDATE=201002&amp;PERIODTYPE=QTR_STD&amp;window=popup_no_bar&amp;width=385&amp;height=120&amp;START_MAXIMIZED=FALSE&amp;creator=factset&amp;display_string=Audit"}</definedName>
    <definedName function="false" hidden="true" name="_2818__FDSAUDITLINK__" vbProcedure="false">{"fdsup://Directions/FactSet Auditing Viewer?action=AUDIT_VALUE&amp;DB=129&amp;ID1=M2246510&amp;VALUEID=02001&amp;SDATE=201003&amp;PERIODTYPE=QTR_STD&amp;window=popup_no_bar&amp;width=385&amp;height=120&amp;START_MAXIMIZED=FALSE&amp;creator=factset&amp;display_string=Audit"}</definedName>
    <definedName function="false" hidden="true" name="_2819__FDSAUDITLINK__" vbProcedure="false">{"fdsup://Directions/FactSet Auditing Viewer?action=AUDIT_VALUE&amp;DB=129&amp;ID1=87150310&amp;VALUEID=02001&amp;SDATE=201001&amp;PERIODTYPE=QTR_STD&amp;window=popup_no_bar&amp;width=385&amp;height=120&amp;START_MAXIMIZED=FALSE&amp;creator=factset&amp;display_string=Audit"}</definedName>
    <definedName function="false" hidden="true" name="_281__FDSAUDITLINK__" vbProcedure="false">{"fdsup://directions/FAT Viewer?action=UPDATE&amp;creator=factset&amp;DYN_ARGS=TRUE&amp;DOC_NAME=FAT:FQL_AUDITING_CLIENT_TEMPLATE.FAT&amp;display_string=Audit&amp;VAR:KEY=ZANSBIPOXK&amp;VAR:QUERY=RkZfRUJJVERBX09QRVIoTFRNLDAsLCwsVVNEKQ==&amp;WINDOW=FIRST_POPUP&amp;HEIGHT=450&amp;WIDTH=450&amp;STAR","T_MAXIMIZED=FALSE&amp;VAR:CALENDAR=US&amp;VAR:SYMBOL=ASEI&amp;VAR:INDEX=0"}</definedName>
    <definedName function="false" hidden="true" name="_2820__FDSAUDITLINK__" vbProcedure="false">{"fdsup://directions/FAT Viewer?action=UPDATE&amp;creator=factset&amp;DYN_ARGS=TRUE&amp;DOC_NAME=FAT:FQL_AUDITING_CLIENT_TEMPLATE.FAT&amp;display_string=Audit&amp;VAR:KEY=PIXALMXW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SN&amp;VAR:INDEX=0"}</definedName>
    <definedName function="false" hidden="true" name="_2821__FDSAUDITLINK__" vbProcedure="false">{"fdsup://directions/FAT Viewer?action=UPDATE&amp;creator=factset&amp;DYN_ARGS=TRUE&amp;DOC_NAME=FAT:FQL_AUDITING_CLIENT_TEMPLATE.FAT&amp;display_string=Audit&amp;VAR:KEY=PARILKTQ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FE&amp;VAR:INDEX=0"}</definedName>
    <definedName function="false" hidden="true" name="_2822__FDSAUDITLINK__" vbProcedure="false">{"fdsup://directions/FAT Viewer?action=UPDATE&amp;creator=factset&amp;DYN_ARGS=TRUE&amp;DOC_NAME=FAT:FQL_AUDITING_CLIENT_TEMPLATE.FAT&amp;display_string=Audit&amp;VAR:KEY=DOHETINSZ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KP&amp;VAR:INDEX=0"}</definedName>
    <definedName function="false" hidden="true" name="_2823__FDSAUDITLINK__" vbProcedure="false">{"fdsup://directions/FAT Viewer?action=UPDATE&amp;creator=factset&amp;DYN_ARGS=TRUE&amp;DOC_NAME=FAT:FQL_AUDITING_CLIENT_TEMPLATE.FAT&amp;display_string=Audit&amp;VAR:KEY=BGNYPWDY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MC&amp;VAR:INDEX=0"}</definedName>
    <definedName function="false" hidden="true" name="_2824__FDSAUDITLINK__" vbProcedure="false">{"fdsup://directions/FAT Viewer?action=UPDATE&amp;creator=factset&amp;DYN_ARGS=TRUE&amp;DOC_NAME=FAT:FQL_AUDITING_CLIENT_TEMPLATE.FAT&amp;display_string=Audit&amp;VAR:KEY=BQHCFYHYXG&amp;VAR:QUERY=KEZTTF9ORVRfSU5DKE5PVyxOT1csRlNBLCxVU0QpQEZGX05FVF9JTkMoTFRNUywwLCwsLFVTRCkp&amp;WINDOW=F","IRST_POPUP&amp;HEIGHT=450&amp;WIDTH=450&amp;START_MAXIMIZED=FALSE&amp;VAR:CALENDAR=US&amp;VAR:SYMBOL=PRPL&amp;VAR:INDEX=0"}</definedName>
    <definedName function="false" hidden="true" name="_2825__FDSAUDITLINK__" vbProcedure="false">{"fdsup://directions/FAT Viewer?action=UPDATE&amp;creator=factset&amp;DYN_ARGS=TRUE&amp;DOC_NAME=FAT:FQL_AUDITING_CLIENT_TEMPLATE.FAT&amp;display_string=Audit&amp;VAR:KEY=ZWDYNATGBA&amp;VAR:QUERY=KEZTTF9ORVRfSU5DKE5PVyxOT1csRlNBLCxVU0QpQEZGX05FVF9JTkMoTFRNUywwLCwsLFVTRCkp&amp;WINDOW=F","IRST_POPUP&amp;HEIGHT=450&amp;WIDTH=450&amp;START_MAXIMIZED=FALSE&amp;VAR:CALENDAR=US&amp;VAR:SYMBOL=NEOM&amp;VAR:INDEX=0"}</definedName>
    <definedName function="false" hidden="true" name="_2826__FDSAUDITLINK__" vbProcedure="false">{"fdsup://directions/FAT Viewer?action=UPDATE&amp;creator=factset&amp;DYN_ARGS=TRUE&amp;DOC_NAME=FAT:FQL_AUDITING_CLIENT_TEMPLATE.FAT&amp;display_string=Audit&amp;VAR:KEY=JAFYHSNSLQ&amp;VAR:QUERY=KEZTTF9ORVRfSU5DKE5PVyxOT1csRlNBLCxVU0QpQEZGX05FVF9JTkMoTFRNUywwLCwsLFVTRCkp&amp;WINDOW=F","IRST_POPUP&amp;HEIGHT=450&amp;WIDTH=450&amp;START_MAXIMIZED=FALSE&amp;VAR:CALENDAR=US&amp;VAR:SYMBOL=VOXW&amp;VAR:INDEX=0"}</definedName>
    <definedName function="false" hidden="true" name="_2827__FDSAUDITLINK__" vbProcedure="false">{"fdsup://directions/FAT Viewer?action=UPDATE&amp;creator=factset&amp;DYN_ARGS=TRUE&amp;DOC_NAME=FAT:FQL_AUDITING_CLIENT_TEMPLATE.FAT&amp;display_string=Audit&amp;VAR:KEY=FYPQPMLSTE&amp;VAR:QUERY=KEZTTF9ORVRfSU5DKE5PVyxOT1csRlNBLCxVU0QpQEZGX05FVF9JTkMoTFRNUywwLCwsLFVTRCkp&amp;WINDOW=F","IRST_POPUP&amp;HEIGHT=450&amp;WIDTH=450&amp;START_MAXIMIZED=FALSE&amp;VAR:CALENDAR=US&amp;VAR:SYMBOL=598096&amp;VAR:INDEX=0"}</definedName>
    <definedName function="false" hidden="true" name="_2828__FDSAUDITLINK__" vbProcedure="false">{"fdsup://directions/FAT Viewer?action=UPDATE&amp;creator=factset&amp;DYN_ARGS=TRUE&amp;DOC_NAME=FAT:FQL_AUDITING_CLIENT_TEMPLATE.FAT&amp;display_string=Audit&amp;VAR:KEY=TANEBGRKHM&amp;VAR:QUERY=KEZTTF9ORVRfSU5DKE5PVyxOT1csRlNBLCxVU0QpQEZGX05FVF9JTkMoTFRNUywwLCwsLFVTRCkp&amp;WINDOW=F","IRST_POPUP&amp;HEIGHT=450&amp;WIDTH=450&amp;START_MAXIMIZED=FALSE&amp;VAR:CALENDAR=US&amp;VAR:SYMBOL=IDSY&amp;VAR:INDEX=0"}</definedName>
    <definedName function="false" hidden="true" name="_2829__FDSAUDITLINK__" vbProcedure="false">{"fdsup://directions/FAT Viewer?action=UPDATE&amp;creator=factset&amp;DYN_ARGS=TRUE&amp;DOC_NAME=FAT:FQL_AUDITING_CLIENT_TEMPLATE.FAT&amp;display_string=Audit&amp;VAR:KEY=JMXKFWTATG&amp;VAR:QUERY=KEZTTF9ORVRfSU5DKE5PVyxOT1csRlNBLCxVU0QpQEZGX05FVF9JTkMoTFRNUywwLCwsLFVTRCkp&amp;WINDOW=F","IRST_POPUP&amp;HEIGHT=450&amp;WIDTH=450&amp;START_MAXIMIZED=FALSE&amp;VAR:CALENDAR=US&amp;VAR:SYMBOL=WLGC&amp;VAR:INDEX=0"}</definedName>
    <definedName function="false" hidden="true" name="_282__FDSAUDITLINK__" vbProcedure="false">{"fdsup://directions/FAT Viewer?action=UPDATE&amp;creator=factset&amp;DYN_ARGS=TRUE&amp;DOC_NAME=FAT:FQL_AUDITING_CLIENT_TEMPLATE.FAT&amp;display_string=Audit&amp;VAR:KEY=HILGDEDODU&amp;VAR:QUERY=RkZfRUJJVERBX09QRVIoTFRNLDAsLCwsVVNEKQ==&amp;WINDOW=FIRST_POPUP&amp;HEIGHT=450&amp;WIDTH=450&amp;STAR","T_MAXIMIZED=FALSE&amp;VAR:CALENDAR=US&amp;VAR:SYMBOL=AMED&amp;VAR:INDEX=0"}</definedName>
    <definedName function="false" hidden="true" name="_2830__FDSAUDITLINK__" vbProcedure="false">{"fdsup://directions/FAT Viewer?action=UPDATE&amp;creator=factset&amp;DYN_ARGS=TRUE&amp;DOC_NAME=FAT:FQL_AUDITING_CLIENT_TEMPLATE.FAT&amp;display_string=Audit&amp;VAR:KEY=NGFINOXMVS&amp;VAR:QUERY=KEZTTF9ORVRfSU5DKE5PVyxOT1csRlNBLCxVU0QpQEZGX05FVF9JTkMoTFRNUywwLCwsLFVTRCkp&amp;WINDOW=F","IRST_POPUP&amp;HEIGHT=450&amp;WIDTH=450&amp;START_MAXIMIZED=FALSE&amp;VAR:CALENDAR=US&amp;VAR:SYMBOL=USAT&amp;VAR:INDEX=0"}</definedName>
    <definedName function="false" hidden="true" name="_2831__FDSAUDITLINK__" vbProcedure="false">{"fdsup://directions/FAT Viewer?action=UPDATE&amp;creator=factset&amp;DYN_ARGS=TRUE&amp;DOC_NAME=FAT:FQL_AUDITING_CLIENT_TEMPLATE.FAT&amp;display_string=Audit&amp;VAR:KEY=PAFADQLUBK&amp;VAR:QUERY=KEZTTF9ORVRfSU5DKE5PVyxOT1csRlNBLCxVU0QpQEZGX05FVF9JTkMoTFRNUywwLCwsLFVTRCkp&amp;WINDOW=F","IRST_POPUP&amp;HEIGHT=450&amp;WIDTH=450&amp;START_MAXIMIZED=FALSE&amp;VAR:CALENDAR=US&amp;VAR:SYMBOL=BSQR&amp;VAR:INDEX=0"}</definedName>
    <definedName function="false" hidden="true" name="_2832__FDSAUDITLINK__" vbProcedure="false">{"fdsup://directions/FAT Viewer?action=UPDATE&amp;creator=factset&amp;DYN_ARGS=TRUE&amp;DOC_NAME=FAT:FQL_AUDITING_CLIENT_TEMPLATE.FAT&amp;display_string=Audit&amp;VAR:KEY=LUPQJIHILC&amp;VAR:QUERY=KEZTTF9ORVRfSU5DKE5PVyxOT1csRlNBLCxVU0QpQEZGX05FVF9JTkMoTFRNUywwLCwsLFVTRCkp&amp;WINDOW=F","IRST_POPUP&amp;HEIGHT=450&amp;WIDTH=450&amp;START_MAXIMIZED=FALSE&amp;VAR:CALENDAR=US&amp;VAR:SYMBOL=520632&amp;VAR:INDEX=0"}</definedName>
    <definedName function="false" hidden="true" name="_2833__FDSAUDITLINK__" vbProcedure="false">{"fdsup://directions/FAT Viewer?action=UPDATE&amp;creator=factset&amp;DYN_ARGS=TRUE&amp;DOC_NAME=FAT:FQL_AUDITING_CLIENT_TEMPLATE.FAT&amp;display_string=Audit&amp;VAR:KEY=BWVQNUJWFC&amp;VAR:QUERY=KEZTTF9ORVRfSU5DKE5PVyxOT1csRlNBLCxVU0QpQEZGX05FVF9JTkMoTFRNUywwLCwsLFVTRCkp&amp;WINDOW=F","IRST_POPUP&amp;HEIGHT=450&amp;WIDTH=450&amp;START_MAXIMIZED=FALSE&amp;VAR:CALENDAR=US&amp;VAR:SYMBOL=PRLS&amp;VAR:INDEX=0"}</definedName>
    <definedName function="false" hidden="true" name="_2834__FDSAUDITLINK__" vbProcedure="false">{"fdsup://directions/FAT Viewer?action=UPDATE&amp;creator=factset&amp;DYN_ARGS=TRUE&amp;DOC_NAME=FAT:FQL_AUDITING_CLIENT_TEMPLATE.FAT&amp;display_string=Audit&amp;VAR:KEY=TQHGDKLUFI&amp;VAR:QUERY=KEZTTF9ORVRfSU5DKE5PVyxOT1csRlNBLCxVU0QpQEZGX05FVF9JTkMoTFRNUywwLCwsLFVTRCkp&amp;WINDOW=F","IRST_POPUP&amp;HEIGHT=450&amp;WIDTH=450&amp;START_MAXIMIZED=FALSE&amp;VAR:CALENDAR=US&amp;VAR:SYMBOL=526741&amp;VAR:INDEX=0"}</definedName>
    <definedName function="false" hidden="true" name="_2835__FDSAUDITLINK__" vbProcedure="false">{"fdsup://directions/FAT Viewer?action=UPDATE&amp;creator=factset&amp;DYN_ARGS=TRUE&amp;DOC_NAME=FAT:FQL_AUDITING_CLIENT_TEMPLATE.FAT&amp;display_string=Audit&amp;VAR:KEY=PGNQRQHIXK&amp;VAR:QUERY=KEZTTF9ORVRfSU5DKE5PVyxOT1csRlNBLCxVU0QpQEZGX05FVF9JTkMoTFRNUywwLCwsLFVTRCkp&amp;WINDOW=F","IRST_POPUP&amp;HEIGHT=450&amp;WIDTH=450&amp;START_MAXIMIZED=FALSE&amp;VAR:CALENDAR=US&amp;VAR:SYMBOL=BITS&amp;VAR:INDEX=0"}</definedName>
    <definedName function="false" hidden="true" name="_2836__FDSAUDITLINK__" vbProcedure="false">{"fdsup://directions/FAT Viewer?action=UPDATE&amp;creator=factset&amp;DYN_ARGS=TRUE&amp;DOC_NAME=FAT:FQL_AUDITING_CLIENT_TEMPLATE.FAT&amp;display_string=Audit&amp;VAR:KEY=RCFSZUHYBQ&amp;VAR:QUERY=KEZTTF9ORVRfSU5DKE5PVyxOT1csRlNBLCxVU0QpQEZGX05FVF9JTkMoTFRNUywwLCwsLFVTRCkp&amp;WINDOW=F","IRST_POPUP&amp;HEIGHT=450&amp;WIDTH=450&amp;START_MAXIMIZED=FALSE&amp;VAR:CALENDAR=US&amp;VAR:SYMBOL=519527&amp;VAR:INDEX=0"}</definedName>
    <definedName function="false" hidden="true" name="_2837__FDSAUDITLINK__" vbProcedure="false">{"fdsup://directions/FAT Viewer?action=UPDATE&amp;creator=factset&amp;DYN_ARGS=TRUE&amp;DOC_NAME=FAT:FQL_AUDITING_CLIENT_TEMPLATE.FAT&amp;display_string=Audit&amp;VAR:KEY=JKVABEHQRY&amp;VAR:QUERY=KEZTTF9ORVRfSU5DKE5PVyxOT1csRlNBLCxVU0QpQEZGX05FVF9JTkMoTFRNUywwLCwsLFVTRCkp&amp;WINDOW=F","IRST_POPUP&amp;HEIGHT=450&amp;WIDTH=450&amp;START_MAXIMIZED=FALSE&amp;VAR:CALENDAR=US&amp;VAR:SYMBOL=427680&amp;VAR:INDEX=0"}</definedName>
    <definedName function="false" hidden="true" name="_2838__FDSAUDITLINK__" vbProcedure="false">{"fdsup://directions/FAT Viewer?action=UPDATE&amp;creator=factset&amp;DYN_ARGS=TRUE&amp;DOC_NAME=FAT:FQL_AUDITING_CLIENT_TEMPLATE.FAT&amp;display_string=Audit&amp;VAR:KEY=NGZQDGZQZC&amp;VAR:QUERY=KEZTTF9ORVRfSU5DKE5PVyxOT1csRlNBLCxVU0QpQEZGX05FVF9JTkMoTFRNUywwLCwsLFVTRCkp&amp;WINDOW=F","IRST_POPUP&amp;HEIGHT=450&amp;WIDTH=450&amp;START_MAXIMIZED=FALSE&amp;VAR:CALENDAR=US&amp;VAR:SYMBOL=PTEC&amp;VAR:INDEX=0"}</definedName>
    <definedName function="false" hidden="true" name="_2839__FDSAUDITLINK__" vbProcedure="false">{"fdsup://directions/FAT Viewer?action=UPDATE&amp;creator=factset&amp;DYN_ARGS=TRUE&amp;DOC_NAME=FAT:FQL_AUDITING_CLIENT_TEMPLATE.FAT&amp;display_string=Audit&amp;VAR:KEY=TYNUBYHSLM&amp;VAR:QUERY=KEZTTF9ORVRfSU5DKE5PVyxOT1csRlNBLCxVU0QpQEZGX05FVF9JTkMoTFRNUywwLCwsLFVTRCkp&amp;WINDOW=F","IRST_POPUP&amp;HEIGHT=450&amp;WIDTH=450&amp;START_MAXIMIZED=FALSE&amp;VAR:CALENDAR=US&amp;VAR:SYMBOL=IMMR&amp;VAR:INDEX=0"}</definedName>
    <definedName function="false" hidden="true" name="_283__FDSAUDITLINK__" vbProcedure="false">{"fdsup://directions/FAT Viewer?action=UPDATE&amp;creator=factset&amp;DYN_ARGS=TRUE&amp;DOC_NAME=FAT:FQL_AUDITING_CLIENT_TEMPLATE.FAT&amp;display_string=Audit&amp;VAR:KEY=HYXSRUNIPO&amp;VAR:QUERY=RkZfRUJJVERBX09QRVIoTFRNLDAsLCwsVVNEKQ==&amp;WINDOW=FIRST_POPUP&amp;HEIGHT=450&amp;WIDTH=450&amp;STAR","T_MAXIMIZED=FALSE&amp;VAR:CALENDAR=US&amp;VAR:SYMBOL=GTIV&amp;VAR:INDEX=0"}</definedName>
    <definedName function="false" hidden="true" name="_2840__FDSAUDITLINK__" vbProcedure="false">{"fdsup://directions/FAT Viewer?action=UPDATE&amp;creator=factset&amp;DYN_ARGS=TRUE&amp;DOC_NAME=FAT:FQL_AUDITING_CLIENT_TEMPLATE.FAT&amp;display_string=Audit&amp;VAR:KEY=TMPKHEFKDQ&amp;VAR:QUERY=KEZTTF9ORVRfSU5DKE5PVyxOT1csRlNBLCxVU0QpQEZGX05FVF9JTkMoTFRNUywwLCwsLFVTRCkp&amp;WINDOW=F","IRST_POPUP&amp;HEIGHT=450&amp;WIDTH=450&amp;START_MAXIMIZED=FALSE&amp;VAR:CALENDAR=US&amp;VAR:SYMBOL=SMSI&amp;VAR:INDEX=0"}</definedName>
    <definedName function="false" hidden="true" name="_2841__FDSAUDITLINK__" vbProcedure="false">{"fdsup://directions/FAT Viewer?action=UPDATE&amp;creator=factset&amp;DYN_ARGS=TRUE&amp;DOC_NAME=FAT:FQL_AUDITING_CLIENT_TEMPLATE.FAT&amp;display_string=Audit&amp;VAR:KEY=VORWXSDAJO&amp;VAR:QUERY=KEZTTF9ORVRfSU5DKE5PVyxOT1csRlNBLCxVU0QpQEZGX05FVF9JTkMoTFRNUywwLCwsLFVTRCkp&amp;WINDOW=F","IRST_POPUP&amp;HEIGHT=450&amp;WIDTH=450&amp;START_MAXIMIZED=FALSE&amp;VAR:CALENDAR=US&amp;VAR:SYMBOL=RNWK&amp;VAR:INDEX=0"}</definedName>
    <definedName function="false" hidden="true" name="_2842__FDSAUDITLINK__" vbProcedure="false">{"fdsup://directions/FAT Viewer?action=UPDATE&amp;creator=factset&amp;DYN_ARGS=TRUE&amp;DOC_NAME=FAT:FQL_AUDITING_CLIENT_TEMPLATE.FAT&amp;display_string=Audit&amp;VAR:KEY=RQFWLUVCBC&amp;VAR:QUERY=KEZTTF9ORVRfSU5DKE5PVyxOT1csRlNBLCxVU0QpQEZGX05FVF9JTkMoTFRNUywwLCwsLFVTRCkp&amp;WINDOW=F","IRST_POPUP&amp;HEIGHT=450&amp;WIDTH=450&amp;START_MAXIMIZED=FALSE&amp;VAR:CALENDAR=US&amp;VAR:SYMBOL=705772&amp;VAR:INDEX=0"}</definedName>
    <definedName function="false" hidden="true" name="_2843__FDSAUDITLINK__" vbProcedure="false">{"fdsup://directions/FAT Viewer?action=UPDATE&amp;creator=factset&amp;DYN_ARGS=TRUE&amp;DOC_NAME=FAT:FQL_AUDITING_CLIENT_TEMPLATE.FAT&amp;display_string=Audit&amp;VAR:KEY=HEFYLUBMLA&amp;VAR:QUERY=KEZTTF9ORVRfSU5DKE5PVyxOT1csRlNBLCxVU0QpQEZGX05FVF9JTkMoTFRNUywwLCwsLFVTRCkp&amp;WINDOW=F","IRST_POPUP&amp;HEIGHT=450&amp;WIDTH=450&amp;START_MAXIMIZED=FALSE&amp;VAR:CALENDAR=US&amp;VAR:SYMBOL=560891&amp;VAR:INDEX=0"}</definedName>
    <definedName function="false" hidden="true" name="_2844__FDSAUDITLINK__" vbProcedure="false">{"fdsup://directions/FAT Viewer?action=UPDATE&amp;creator=factset&amp;DYN_ARGS=TRUE&amp;DOC_NAME=FAT:FQL_AUDITING_CLIENT_TEMPLATE.FAT&amp;display_string=Audit&amp;VAR:KEY=FKZEFUNMLU&amp;VAR:QUERY=KEZTTF9ORVRfSU5DKE5PVyxOT1csRlNBLCxVU0QpQEZGX05FVF9JTkMoTFRNUywwLCwsLFVTRCkp&amp;WINDOW=F","IRST_POPUP&amp;HEIGHT=450&amp;WIDTH=450&amp;START_MAXIMIZED=FALSE&amp;VAR:CALENDAR=US&amp;VAR:SYMBOL=ITRI&amp;VAR:INDEX=0"}</definedName>
    <definedName function="false" hidden="true" name="_2845__FDSAUDITLINK__" vbProcedure="false">{"fdsup://directions/FAT Viewer?action=UPDATE&amp;creator=factset&amp;DYN_ARGS=TRUE&amp;DOC_NAME=FAT:FQL_AUDITING_CLIENT_TEMPLATE.FAT&amp;display_string=Audit&amp;VAR:KEY=PSLCFUJURK&amp;VAR:QUERY=KEZTTF9ORVRfSU5DKE5PVyxOT1csRlNBLCxVU0QpQEZGX05FVF9JTkMoTFRNUywwLCwsLFVTRCkp&amp;WINDOW=F","IRST_POPUP&amp;HEIGHT=450&amp;WIDTH=450&amp;START_MAXIMIZED=FALSE&amp;VAR:CALENDAR=US&amp;VAR:SYMBOL=DLB&amp;VAR:INDEX=0"}</definedName>
    <definedName function="false" hidden="true" name="_2846__FDSAUDITLINK__" vbProcedure="false">{"fdsup://directions/FAT Viewer?action=UPDATE&amp;creator=factset&amp;DYN_ARGS=TRUE&amp;DOC_NAME=FAT:FQL_AUDITING_CLIENT_TEMPLATE.FAT&amp;display_string=Audit&amp;VAR:KEY=TYXYXAZGLQ&amp;VAR:QUERY=KEZTTF9ORVRfSU5DKE5PVyxOT1csRlNBLCxVU0QpQEZGX05FVF9JTkMoTFRNUywwLCwsLFVTRCkp&amp;WINDOW=F","IRST_POPUP&amp;HEIGHT=450&amp;WIDTH=450&amp;START_MAXIMIZED=FALSE&amp;VAR:CALENDAR=US&amp;VAR:SYMBOL=NUAN&amp;VAR:INDEX=0"}</definedName>
    <definedName function="false" hidden="true" name="_2847__FDSAUDITLINK__" vbProcedure="false">{"fdsup://directions/FAT Viewer?action=UPDATE&amp;creator=factset&amp;DYN_ARGS=TRUE&amp;DOC_NAME=FAT:FQL_AUDITING_CLIENT_TEMPLATE.FAT&amp;display_string=Audit&amp;VAR:KEY=TAXYRGTW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PL&amp;VAR:INDEX=0"}</definedName>
    <definedName function="false" hidden="true" name="_2848__FDSAUDITLINK__" vbProcedure="false">{"fdsup://directions/FAT Viewer?action=UPDATE&amp;creator=factset&amp;DYN_ARGS=TRUE&amp;DOC_NAME=FAT:FQL_AUDITING_CLIENT_TEMPLATE.FAT&amp;display_string=Audit&amp;VAR:KEY=FEPEDCF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EOM&amp;VAR:INDEX=0"}</definedName>
    <definedName function="false" hidden="true" name="_2849__FDSAUDITLINK__" vbProcedure="false">{"fdsup://directions/FAT Viewer?action=UPDATE&amp;creator=factset&amp;DYN_ARGS=TRUE&amp;DOC_NAME=FAT:FQL_AUDITING_CLIENT_TEMPLATE.FAT&amp;display_string=Audit&amp;VAR:KEY=LOFCDMXE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XW&amp;VAR:INDEX=0"}</definedName>
    <definedName function="false" hidden="true" name="_284__FDSAUDITLINK__" vbProcedure="false">{"fdsup://directions/FAT Viewer?action=UPDATE&amp;creator=factset&amp;DYN_ARGS=TRUE&amp;DOC_NAME=FAT:FQL_AUDITING_CLIENT_TEMPLATE.FAT&amp;display_string=Audit&amp;VAR:KEY=HSRAZEVKTS&amp;VAR:QUERY=RkZfRUJJVERBX09QRVIoTFRNLDAsLCwsVVNEKQ==&amp;WINDOW=FIRST_POPUP&amp;HEIGHT=450&amp;WIDTH=450&amp;STAR","T_MAXIMIZED=FALSE&amp;VAR:CALENDAR=US&amp;VAR:SYMBOL=ABFS&amp;VAR:INDEX=0"}</definedName>
    <definedName function="false" hidden="true" name="_2850__FDSAUDITLINK__" vbProcedure="false">{"fdsup://directions/FAT Viewer?action=UPDATE&amp;creator=factset&amp;DYN_ARGS=TRUE&amp;DOC_NAME=FAT:FQL_AUDITING_CLIENT_TEMPLATE.FAT&amp;display_string=Audit&amp;VAR:KEY=NAPELWRQ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598096&amp;VAR:INDEX=0"}</definedName>
    <definedName function="false" hidden="true" name="_2851__FDSAUDITLINK__" vbProcedure="false">{"fdsup://directions/FAT Viewer?action=UPDATE&amp;creator=factset&amp;DYN_ARGS=TRUE&amp;DOC_NAME=FAT:FQL_AUDITING_CLIENT_TEMPLATE.FAT&amp;display_string=Audit&amp;VAR:KEY=XUDWDULU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DSY&amp;VAR:INDEX=0"}</definedName>
    <definedName function="false" hidden="true" name="_2852__FDSAUDITLINK__" vbProcedure="false">{"fdsup://directions/FAT Viewer?action=UPDATE&amp;creator=factset&amp;DYN_ARGS=TRUE&amp;DOC_NAME=FAT:FQL_AUDITING_CLIENT_TEMPLATE.FAT&amp;display_string=Audit&amp;VAR:KEY=NIHGFQXY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LGC&amp;VAR:INDEX=0"}</definedName>
    <definedName function="false" hidden="true" name="_2853__FDSAUDITLINK__" vbProcedure="false">{"fdsup://directions/FAT Viewer?action=UPDATE&amp;creator=factset&amp;DYN_ARGS=TRUE&amp;DOC_NAME=FAT:FQL_AUDITING_CLIENT_TEMPLATE.FAT&amp;display_string=Audit&amp;VAR:KEY=RGDWDIHA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SAT&amp;VAR:INDEX=0"}</definedName>
    <definedName function="false" hidden="true" name="_2854__FDSAUDITLINK__" vbProcedure="false">{"fdsup://directions/FAT Viewer?action=UPDATE&amp;creator=factset&amp;DYN_ARGS=TRUE&amp;DOC_NAME=FAT:FQL_AUDITING_CLIENT_TEMPLATE.FAT&amp;display_string=Audit&amp;VAR:KEY=LWFATKDA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SQR&amp;VAR:INDEX=0"}</definedName>
    <definedName function="false" hidden="true" name="_2855__FDSAUDITLINK__" vbProcedure="false">{"fdsup://directions/FAT Viewer?action=UPDATE&amp;creator=factset&amp;DYN_ARGS=TRUE&amp;DOC_NAME=FAT:FQL_AUDITING_CLIENT_TEMPLATE.FAT&amp;display_string=Audit&amp;VAR:KEY=JADGPMTMP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520632&amp;VAR:INDEX=0"}</definedName>
    <definedName function="false" hidden="true" name="_2856__FDSAUDITLINK__" vbProcedure="false">{"fdsup://directions/FAT Viewer?action=UPDATE&amp;creator=factset&amp;DYN_ARGS=TRUE&amp;DOC_NAME=FAT:FQL_AUDITING_CLIENT_TEMPLATE.FAT&amp;display_string=Audit&amp;VAR:KEY=VGDGHATW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LS&amp;VAR:INDEX=0"}</definedName>
    <definedName function="false" hidden="true" name="_2857__FDSAUDITLINK__" vbProcedure="false">{"fdsup://directions/FAT Viewer?action=UPDATE&amp;creator=factset&amp;DYN_ARGS=TRUE&amp;DOC_NAME=FAT:FQL_AUDITING_CLIENT_TEMPLATE.FAT&amp;display_string=Audit&amp;VAR:KEY=RUBGFOFI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526741&amp;VAR:INDEX=0"}</definedName>
    <definedName function="false" hidden="true" name="_2858__FDSAUDITLINK__" vbProcedure="false">{"fdsup://directions/FAT Viewer?action=UPDATE&amp;creator=factset&amp;DYN_ARGS=TRUE&amp;DOC_NAME=FAT:FQL_AUDITING_CLIENT_TEMPLATE.FAT&amp;display_string=Audit&amp;VAR:KEY=DOPSRWFK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ITS&amp;VAR:INDEX=0"}</definedName>
    <definedName function="false" hidden="true" name="_2859__FDSAUDITLINK__" vbProcedure="false">{"fdsup://directions/FAT Viewer?action=UPDATE&amp;creator=factset&amp;DYN_ARGS=TRUE&amp;DOC_NAME=FAT:FQL_AUDITING_CLIENT_TEMPLATE.FAT&amp;display_string=Audit&amp;VAR:KEY=LKDMVGXIL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519527&amp;VAR:INDEX=0"}</definedName>
    <definedName function="false" hidden="true" name="_285__FDSAUDITLINK__" vbProcedure="false">{"fdsup://directions/FAT Viewer?action=UPDATE&amp;creator=factset&amp;DYN_ARGS=TRUE&amp;DOC_NAME=FAT:FQL_AUDITING_CLIENT_TEMPLATE.FAT&amp;display_string=Audit&amp;VAR:KEY=ZMLIFOPKFY&amp;VAR:QUERY=RkZfRUJJVERBX09QRVIoTFRNLDAsLCwsVVNEKQ==&amp;WINDOW=FIRST_POPUP&amp;HEIGHT=450&amp;WIDTH=450&amp;STAR","T_MAXIMIZED=FALSE&amp;VAR:CALENDAR=US&amp;VAR:SYMBOL=GOK&amp;VAR:INDEX=0"}</definedName>
    <definedName function="false" hidden="true" name="_2860__FDSAUDITLINK__" vbProcedure="false">{"fdsup://directions/FAT Viewer?action=UPDATE&amp;creator=factset&amp;DYN_ARGS=TRUE&amp;DOC_NAME=FAT:FQL_AUDITING_CLIENT_TEMPLATE.FAT&amp;display_string=Audit&amp;VAR:KEY=ZYNKTUJG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427680&amp;VAR:INDEX=0"}</definedName>
    <definedName function="false" hidden="true" name="_2861__FDSAUDITLINK__" vbProcedure="false">{"fdsup://directions/FAT Viewer?action=UPDATE&amp;creator=factset&amp;DYN_ARGS=TRUE&amp;DOC_NAME=FAT:FQL_AUDITING_CLIENT_TEMPLATE.FAT&amp;display_string=Audit&amp;VAR:KEY=TMXORKXY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TEC&amp;VAR:INDEX=0"}</definedName>
    <definedName function="false" hidden="true" name="_2862__FDSAUDITLINK__" vbProcedure="false">{"fdsup://directions/FAT Viewer?action=UPDATE&amp;creator=factset&amp;DYN_ARGS=TRUE&amp;DOC_NAME=FAT:FQL_AUDITING_CLIENT_TEMPLATE.FAT&amp;display_string=Audit&amp;VAR:KEY=ZYRCDCLET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MMR&amp;VAR:INDEX=0"}</definedName>
    <definedName function="false" hidden="true" name="_2863__FDSAUDITLINK__" vbProcedure="false">{"fdsup://directions/FAT Viewer?action=UPDATE&amp;creator=factset&amp;DYN_ARGS=TRUE&amp;DOC_NAME=FAT:FQL_AUDITING_CLIENT_TEMPLATE.FAT&amp;display_string=Audit&amp;VAR:KEY=VEXCFWJS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MSI&amp;VAR:INDEX=0"}</definedName>
    <definedName function="false" hidden="true" name="_2864__FDSAUDITLINK__" vbProcedure="false">{"fdsup://directions/FAT Viewer?action=UPDATE&amp;creator=factset&amp;DYN_ARGS=TRUE&amp;DOC_NAME=FAT:FQL_AUDITING_CLIENT_TEMPLATE.FAT&amp;display_string=Audit&amp;VAR:KEY=TORQVWDW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WK&amp;VAR:INDEX=0"}</definedName>
    <definedName function="false" hidden="true" name="_2865__FDSAUDITLINK__" vbProcedure="false">{"fdsup://directions/FAT Viewer?action=UPDATE&amp;creator=factset&amp;DYN_ARGS=TRUE&amp;DOC_NAME=FAT:FQL_AUDITING_CLIENT_TEMPLATE.FAT&amp;display_string=Audit&amp;VAR:KEY=XQJIBMNQ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705772&amp;VAR:INDEX=0"}</definedName>
    <definedName function="false" hidden="true" name="_2866__FDSAUDITLINK__" vbProcedure="false">{"fdsup://directions/FAT Viewer?action=UPDATE&amp;creator=factset&amp;DYN_ARGS=TRUE&amp;DOC_NAME=FAT:FQL_AUDITING_CLIENT_TEMPLATE.FAT&amp;display_string=Audit&amp;VAR:KEY=LQBQVOXIP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560891&amp;VAR:INDEX=0"}</definedName>
    <definedName function="false" hidden="true" name="_2867__FDSAUDITLINK__" vbProcedure="false">{"fdsup://directions/FAT Viewer?action=UPDATE&amp;creator=factset&amp;DYN_ARGS=TRUE&amp;DOC_NAME=FAT:FQL_AUDITING_CLIENT_TEMPLATE.FAT&amp;display_string=Audit&amp;VAR:KEY=NIJYDSFY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TRI&amp;VAR:INDEX=0"}</definedName>
    <definedName function="false" hidden="true" name="_2868__FDSAUDITLINK__" vbProcedure="false">{"fdsup://directions/FAT Viewer?action=UPDATE&amp;creator=factset&amp;DYN_ARGS=TRUE&amp;DOC_NAME=FAT:FQL_AUDITING_CLIENT_TEMPLATE.FAT&amp;display_string=Audit&amp;VAR:KEY=RQJSDSTU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LB&amp;VAR:INDEX=0"}</definedName>
    <definedName function="false" hidden="true" name="_2869__FDSAUDITLINK__" vbProcedure="false">{"fdsup://directions/FAT Viewer?action=UPDATE&amp;creator=factset&amp;DYN_ARGS=TRUE&amp;DOC_NAME=FAT:FQL_AUDITING_CLIENT_TEMPLATE.FAT&amp;display_string=Audit&amp;VAR:KEY=DYROZAXIB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UAN&amp;VAR:INDEX=0"}</definedName>
    <definedName function="false" hidden="true" name="_286__FDSAUDITLINK__" vbProcedure="false">{"fdsup://directions/FAT Viewer?action=UPDATE&amp;creator=factset&amp;DYN_ARGS=TRUE&amp;DOC_NAME=FAT:FQL_AUDITING_CLIENT_TEMPLATE.FAT&amp;display_string=Audit&amp;VAR:KEY=BGLIFCDKJQ&amp;VAR:QUERY=RkZfRUJJVERBX09QRVIoTFRNLDAsLCwsVVNEKQ==&amp;WINDOW=FIRST_POPUP&amp;HEIGHT=450&amp;WIDTH=450&amp;STAR","T_MAXIMIZED=FALSE&amp;VAR:CALENDAR=US&amp;VAR:SYMBOL=PSUN&amp;VAR:INDEX=0"}</definedName>
    <definedName function="false" hidden="true" name="_2870__FDSAUDITLINK__" vbProcedure="false">{"fdsup://Directions/FactSet Auditing Viewer?action=AUDIT_VALUE&amp;DB=129&amp;ID1=74638910&amp;VALUEID=02001&amp;SDATE=200904&amp;PERIODTYPE=QTR_STD&amp;window=popup_no_bar&amp;width=385&amp;height=120&amp;START_MAXIMIZED=FALSE&amp;creator=factset&amp;display_string=Audit"}</definedName>
    <definedName function="false" hidden="true" name="_2871__FDSAUDITLINK__" vbProcedure="false">{"fdsup://Directions/FactSet Auditing Viewer?action=AUDIT_VALUE&amp;DB=129&amp;ID1=64050510&amp;VALUEID=02001&amp;SDATE=201002&amp;PERIODTYPE=QTR_STD&amp;window=popup_no_bar&amp;width=385&amp;height=120&amp;START_MAXIMIZED=FALSE&amp;creator=factset&amp;display_string=Audit"}</definedName>
    <definedName function="false" hidden="true" name="_2872__FDSAUDITLINK__" vbProcedure="false">{"fdsup://Directions/FactSet Auditing Viewer?action=AUDIT_VALUE&amp;DB=129&amp;ID1=92906L50&amp;VALUEID=02001&amp;SDATE=201004&amp;PERIODTYPE=QTR_STD&amp;window=popup_no_bar&amp;width=385&amp;height=120&amp;START_MAXIMIZED=FALSE&amp;creator=factset&amp;display_string=Audit"}</definedName>
    <definedName function="false" hidden="true" name="_2873__FDSAUDITLINK__" vbProcedure="false">{"fdsup://Directions/FactSet Auditing Viewer?action=AUDIT_VALUE&amp;DB=129&amp;ID1=598096&amp;VALUEID=02001&amp;SDATE=201001&amp;PERIODTYPE=SEMI_STD&amp;window=popup_no_bar&amp;width=385&amp;height=120&amp;START_MAXIMIZED=FALSE&amp;creator=factset&amp;display_string=Audit"}</definedName>
    <definedName function="false" hidden="true" name="_2874__FDSAUDITLINK__" vbProcedure="false">{"fdsup://Directions/FactSet Auditing Viewer?action=AUDIT_VALUE&amp;DB=129&amp;ID1=44948910&amp;VALUEID=02001&amp;SDATE=201002&amp;PERIODTYPE=QTR_STD&amp;window=popup_no_bar&amp;width=385&amp;height=120&amp;START_MAXIMIZED=FALSE&amp;creator=factset&amp;display_string=Audit"}</definedName>
    <definedName function="false" hidden="true" name="_2875__FDSAUDITLINK__" vbProcedure="false">{"fdsup://Directions/FactSet Auditing Viewer?action=AUDIT_VALUE&amp;DB=129&amp;ID1=98136R10&amp;VALUEID=02001&amp;SDATE=201002&amp;PERIODTYPE=QTR_STD&amp;window=popup_no_bar&amp;width=385&amp;height=120&amp;START_MAXIMIZED=FALSE&amp;creator=factset&amp;display_string=Audit"}</definedName>
    <definedName function="false" hidden="true" name="_2876__FDSAUDITLINK__" vbProcedure="false">{"fdsup://Directions/FactSet Auditing Viewer?action=AUDIT_VALUE&amp;DB=129&amp;ID1=90328S50&amp;VALUEID=02001&amp;SDATE=201004&amp;PERIODTYPE=QTR_STD&amp;window=popup_no_bar&amp;width=385&amp;height=120&amp;START_MAXIMIZED=FALSE&amp;creator=factset&amp;display_string=Audit"}</definedName>
    <definedName function="false" hidden="true" name="_2877__FDSAUDITLINK__" vbProcedure="false">{"fdsup://Directions/FactSet Auditing Viewer?action=AUDIT_VALUE&amp;DB=129&amp;ID1=11776U30&amp;VALUEID=02001&amp;SDATE=201002&amp;PERIODTYPE=QTR_STD&amp;window=popup_no_bar&amp;width=385&amp;height=120&amp;START_MAXIMIZED=FALSE&amp;creator=factset&amp;display_string=Audit"}</definedName>
    <definedName function="false" hidden="true" name="_2878__FDSAUDITLINK__" vbProcedure="false">{"fdsup://Directions/FactSet Auditing Viewer?action=AUDIT_VALUE&amp;DB=129&amp;ID1=520632&amp;VALUEID=02001&amp;SDATE=201001&amp;PERIODTYPE=SEMI_STD&amp;window=popup_no_bar&amp;width=385&amp;height=120&amp;START_MAXIMIZED=FALSE&amp;creator=factset&amp;display_string=Audit"}</definedName>
    <definedName function="false" hidden="true" name="_2879__FDSAUDITLINK__" vbProcedure="false">{"fdsup://Directions/FactSet Auditing Viewer?action=AUDIT_VALUE&amp;DB=129&amp;ID1=70553610&amp;VALUEID=02001&amp;SDATE=201002&amp;PERIODTYPE=QTR_STD&amp;window=popup_no_bar&amp;width=385&amp;height=120&amp;START_MAXIMIZED=FALSE&amp;creator=factset&amp;display_string=Audit"}</definedName>
    <definedName function="false" hidden="true" name="_287__FDSAUDITLINK__" vbProcedure="false">{"fdsup://directions/FAT Viewer?action=UPDATE&amp;creator=factset&amp;DYN_ARGS=TRUE&amp;DOC_NAME=FAT:FQL_AUDITING_CLIENT_TEMPLATE.FAT&amp;display_string=Audit&amp;VAR:KEY=LIDKROLSDK&amp;VAR:QUERY=RkZfRUJJVERBX09QRVIoTFRNLDAsLCwsVVNEKQ==&amp;WINDOW=FIRST_POPUP&amp;HEIGHT=450&amp;WIDTH=450&amp;STAR","T_MAXIMIZED=FALSE&amp;VAR:CALENDAR=US&amp;VAR:SYMBOL=SKH&amp;VAR:INDEX=0"}</definedName>
    <definedName function="false" hidden="true" name="_2880__FDSAUDITLINK__" vbProcedure="false">{"fdsup://Directions/FactSet Auditing Viewer?action=AUDIT_VALUE&amp;DB=129&amp;ID1=526741&amp;VALUEID=02001&amp;SDATE=201001&amp;PERIODTYPE=SEMI_STD&amp;window=popup_no_bar&amp;width=385&amp;height=120&amp;START_MAXIMIZED=FALSE&amp;creator=factset&amp;display_string=Audit"}</definedName>
    <definedName function="false" hidden="true" name="_2881__FDSAUDITLINK__" vbProcedure="false">{"fdsup://Directions/FactSet Auditing Viewer?action=AUDIT_VALUE&amp;DB=129&amp;ID1=09173610&amp;VALUEID=02001&amp;SDATE=201002&amp;PERIODTYPE=QTR_STD&amp;window=popup_no_bar&amp;width=385&amp;height=120&amp;START_MAXIMIZED=FALSE&amp;creator=factset&amp;display_string=Audit"}</definedName>
    <definedName function="false" hidden="true" name="_2882__FDSAUDITLINK__" vbProcedure="false">{"fdsup://Directions/FactSet Auditing Viewer?action=AUDIT_VALUE&amp;DB=129&amp;ID1=519527&amp;VALUEID=02001&amp;SDATE=201003&amp;PERIODTYPE=QTR_STD&amp;window=popup_no_bar&amp;width=385&amp;height=120&amp;START_MAXIMIZED=FALSE&amp;creator=factset&amp;display_string=Audit"}</definedName>
    <definedName function="false" hidden="true" name="_2883__FDSAUDITLINK__" vbProcedure="false">{"fdsup://Directions/FactSet Auditing Viewer?action=AUDIT_VALUE&amp;DB=129&amp;ID1=427680&amp;VALUEID=02001&amp;SDATE=201003&amp;PERIODTYPE=QTR_STD&amp;window=popup_no_bar&amp;width=385&amp;height=120&amp;START_MAXIMIZED=FALSE&amp;creator=factset&amp;display_string=Audit"}</definedName>
    <definedName function="false" hidden="true" name="_2884__FDSAUDITLINK__" vbProcedure="false">{"fdsup://Directions/FactSet Auditing Viewer?action=AUDIT_VALUE&amp;DB=129&amp;ID1=71915310&amp;VALUEID=02001&amp;SDATE=201003&amp;PERIODTYPE=QTR_STD&amp;window=popup_no_bar&amp;width=385&amp;height=120&amp;START_MAXIMIZED=FALSE&amp;creator=factset&amp;display_string=Audit"}</definedName>
    <definedName function="false" hidden="true" name="_2885__FDSAUDITLINK__" vbProcedure="false">{"fdsup://Directions/FactSet Auditing Viewer?action=AUDIT_VALUE&amp;DB=129&amp;ID1=45252110&amp;VALUEID=02001&amp;SDATE=201002&amp;PERIODTYPE=QTR_STD&amp;window=popup_no_bar&amp;width=385&amp;height=120&amp;START_MAXIMIZED=FALSE&amp;creator=factset&amp;display_string=Audit"}</definedName>
    <definedName function="false" hidden="true" name="_2886__FDSAUDITLINK__" vbProcedure="false">{"fdsup://Directions/FactSet Auditing Viewer?action=AUDIT_VALUE&amp;DB=129&amp;ID1=83215410&amp;VALUEID=02001&amp;SDATE=201002&amp;PERIODTYPE=QTR_STD&amp;window=popup_no_bar&amp;width=385&amp;height=120&amp;START_MAXIMIZED=FALSE&amp;creator=factset&amp;display_string=Audit"}</definedName>
    <definedName function="false" hidden="true" name="_2887__FDSAUDITLINK__" vbProcedure="false">{"fdsup://Directions/FactSet Auditing Viewer?action=AUDIT_VALUE&amp;DB=129&amp;ID1=75605L10&amp;VALUEID=02001&amp;SDATE=201002&amp;PERIODTYPE=QTR_STD&amp;window=popup_no_bar&amp;width=385&amp;height=120&amp;START_MAXIMIZED=FALSE&amp;creator=factset&amp;display_string=Audit"}</definedName>
    <definedName function="false" hidden="true" name="_2888__FDSAUDITLINK__" vbProcedure="false">{"fdsup://Directions/FactSet Auditing Viewer?action=AUDIT_VALUE&amp;DB=129&amp;ID1=705772&amp;VALUEID=02001&amp;SDATE=201002&amp;PERIODTYPE=QTR_STD&amp;window=popup_no_bar&amp;width=385&amp;height=120&amp;START_MAXIMIZED=FALSE&amp;creator=factset&amp;display_string=Audit"}</definedName>
    <definedName function="false" hidden="true" name="_2889__FDSAUDITLINK__" vbProcedure="false">{"fdsup://Directions/FactSet Auditing Viewer?action=AUDIT_VALUE&amp;DB=129&amp;ID1=560891&amp;VALUEID=02001&amp;SDATE=201001&amp;PERIODTYPE=SEMI_STD&amp;window=popup_no_bar&amp;width=385&amp;height=120&amp;START_MAXIMIZED=FALSE&amp;creator=factset&amp;display_string=Audit"}</definedName>
    <definedName function="false" hidden="true" name="_288__FDSAUDITLINK__" vbProcedure="false">{"fdsup://directions/FAT Viewer?action=UPDATE&amp;creator=factset&amp;DYN_ARGS=TRUE&amp;DOC_NAME=FAT:FQL_AUDITING_CLIENT_TEMPLATE.FAT&amp;display_string=Audit&amp;VAR:KEY=LOFIXWDCDW&amp;VAR:QUERY=RkZfRUJJVERBX09QRVIoTFRNLDAsLCwsVVNEKQ==&amp;WINDOW=FIRST_POPUP&amp;HEIGHT=450&amp;WIDTH=450&amp;STAR","T_MAXIMIZED=FALSE&amp;VAR:CALENDAR=US&amp;VAR:SYMBOL=BAS&amp;VAR:INDEX=0"}</definedName>
    <definedName function="false" hidden="true" name="_2890__FDSAUDITLINK__" vbProcedure="false">{"fdsup://Directions/FactSet Auditing Viewer?action=AUDIT_VALUE&amp;DB=129&amp;ID1=46574110&amp;VALUEID=02001&amp;SDATE=201002&amp;PERIODTYPE=QTR_STD&amp;window=popup_no_bar&amp;width=385&amp;height=120&amp;START_MAXIMIZED=FALSE&amp;creator=factset&amp;display_string=Audit"}</definedName>
    <definedName function="false" hidden="true" name="_2891__FDSAUDITLINK__" vbProcedure="false">{"fdsup://Directions/FactSet Auditing Viewer?action=AUDIT_VALUE&amp;DB=129&amp;ID1=25659T10&amp;VALUEID=02001&amp;SDATE=201003&amp;PERIODTYPE=QTR_STD&amp;window=popup_no_bar&amp;width=385&amp;height=120&amp;START_MAXIMIZED=FALSE&amp;creator=factset&amp;display_string=Audit"}</definedName>
    <definedName function="false" hidden="true" name="_2892__FDSAUDITLINK__" vbProcedure="false">{"fdsup://Directions/FactSet Auditing Viewer?action=AUDIT_VALUE&amp;DB=129&amp;ID1=67020Y10&amp;VALUEID=02001&amp;SDATE=201003&amp;PERIODTYPE=QTR_STD&amp;window=popup_no_bar&amp;width=385&amp;height=120&amp;START_MAXIMIZED=FALSE&amp;creator=factset&amp;display_string=Audit"}</definedName>
    <definedName function="false" hidden="true" name="_2893__FDSAUDITLINK__" vbProcedure="false">{"fdsup://directions/FAT Viewer?action=UPDATE&amp;creator=factset&amp;DYN_ARGS=TRUE&amp;DOC_NAME=FAT:FQL_AUDITING_CLIENT_TEMPLATE.FAT&amp;display_string=Audit&amp;VAR:KEY=JWTKREBEVC&amp;VAR:QUERY=KEZTTF9ORVRfSU5DKE5PVyxOT1csRlNBLCxVU0QpQEZGX05FVF9JTkMoTFRNUywwLCwsLFVTRCkp&amp;WINDOW=F","IRST_POPUP&amp;HEIGHT=450&amp;WIDTH=450&amp;START_MAXIMIZED=FALSE&amp;VAR:CALENDAR=US&amp;VAR:SYMBOL=BVSN&amp;VAR:INDEX=0"}</definedName>
    <definedName function="false" hidden="true" name="_2894__FDSAUDITLINK__" vbProcedure="false">{"fdsup://directions/FAT Viewer?action=UPDATE&amp;creator=factset&amp;DYN_ARGS=TRUE&amp;DOC_NAME=FAT:FQL_AUDITING_CLIENT_TEMPLATE.FAT&amp;display_string=Audit&amp;VAR:KEY=RUDCRCTEBS&amp;VAR:QUERY=KEZTTF9ORVRfSU5DKE5PVyxOT1csRlNBLCxVU0QpQEZGX05FVF9JTkMoTFRNUywwLCwsLFVTRCkp&amp;WINDOW=F","IRST_POPUP&amp;HEIGHT=450&amp;WIDTH=450&amp;START_MAXIMIZED=FALSE&amp;VAR:CALENDAR=US&amp;VAR:SYMBOL=VCSY&amp;VAR:INDEX=0"}</definedName>
    <definedName function="false" hidden="true" name="_2895__FDSAUDITLINK__" vbProcedure="false">{"fdsup://directions/FAT Viewer?action=UPDATE&amp;creator=factset&amp;DYN_ARGS=TRUE&amp;DOC_NAME=FAT:FQL_AUDITING_CLIENT_TEMPLATE.FAT&amp;display_string=Audit&amp;VAR:KEY=DEHWZYLYDM&amp;VAR:QUERY=KEZTTF9ORVRfSU5DKE5PVyxOT1csRlNBLCxVU0QpQEZGX05FVF9JTkMoTFRNUywwLCwsLFVTRCkp&amp;WINDOW=F","IRST_POPUP&amp;HEIGHT=450&amp;WIDTH=450&amp;START_MAXIMIZED=FALSE&amp;VAR:CALENDAR=US&amp;VAR:SYMBOL=B05DWM&amp;VAR:INDEX=0"}</definedName>
    <definedName function="false" hidden="true" name="_2896__FDSAUDITLINK__" vbProcedure="false">{"fdsup://directions/FAT Viewer?action=UPDATE&amp;creator=factset&amp;DYN_ARGS=TRUE&amp;DOC_NAME=FAT:FQL_AUDITING_CLIENT_TEMPLATE.FAT&amp;display_string=Audit&amp;VAR:KEY=PKBINAVMTM&amp;VAR:QUERY=KEZTTF9ORVRfSU5DKE5PVyxOT1csRlNBLCxVU0QpQEZGX05FVF9JTkMoTFRNUywwLCwsLFVTRCkp&amp;WINDOW=F","IRST_POPUP&amp;HEIGHT=450&amp;WIDTH=450&amp;START_MAXIMIZED=FALSE&amp;VAR:CALENDAR=US&amp;VAR:SYMBOL=B089JF&amp;VAR:INDEX=0"}</definedName>
    <definedName function="false" hidden="true" name="_2897__FDSAUDITLINK__" vbProcedure="false">{"fdsup://directions/FAT Viewer?action=UPDATE&amp;creator=factset&amp;DYN_ARGS=TRUE&amp;DOC_NAME=FAT:FQL_AUDITING_CLIENT_TEMPLATE.FAT&amp;display_string=Audit&amp;VAR:KEY=TSLCNCPSTK&amp;VAR:QUERY=KEZTTF9ORVRfSU5DKE5PVyxOT1csRlNBLCxVU0QpQEZGX05FVF9JTkMoTFRNUywwLCwsLFVTRCkp&amp;WINDOW=F","IRST_POPUP&amp;HEIGHT=450&amp;WIDTH=450&amp;START_MAXIMIZED=FALSE&amp;VAR:CALENDAR=US&amp;VAR:SYMBOL=571617&amp;VAR:INDEX=0"}</definedName>
    <definedName function="false" hidden="true" name="_2898__FDSAUDITLINK__" vbProcedure="false">{"fdsup://directions/FAT Viewer?action=UPDATE&amp;creator=factset&amp;DYN_ARGS=TRUE&amp;DOC_NAME=FAT:FQL_AUDITING_CLIENT_TEMPLATE.FAT&amp;display_string=Audit&amp;VAR:KEY=XSPYBCLWBY&amp;VAR:QUERY=KEZTTF9ORVRfSU5DKE5PVyxOT1csRlNBLCxVU0QpQEZGX05FVF9JTkMoTFRNUywwLCwsLFVTRCkp&amp;WINDOW=F","IRST_POPUP&amp;HEIGHT=450&amp;WIDTH=450&amp;START_MAXIMIZED=FALSE&amp;VAR:CALENDAR=US&amp;VAR:SYMBOL=B0L2K1&amp;VAR:INDEX=0"}</definedName>
    <definedName function="false" hidden="true" name="_2899__FDSAUDITLINK__" vbProcedure="false">{"fdsup://directions/FAT Viewer?action=UPDATE&amp;creator=factset&amp;DYN_ARGS=TRUE&amp;DOC_NAME=FAT:FQL_AUDITING_CLIENT_TEMPLATE.FAT&amp;display_string=Audit&amp;VAR:KEY=LWXUBYZMRC&amp;VAR:QUERY=KEZTTF9ORVRfSU5DKE5PVyxOT1csRlNBLCxVU0QpQEZGX05FVF9JTkMoTFRNUywwLCwsLFVTRCkp&amp;WINDOW=F","IRST_POPUP&amp;HEIGHT=450&amp;WIDTH=450&amp;START_MAXIMIZED=FALSE&amp;VAR:CALENDAR=US&amp;VAR:SYMBOL=ARTG&amp;VAR:INDEX=0"}</definedName>
    <definedName function="false" hidden="true" name="_289__FDSAUDITLINK__" vbProcedure="false">{"fdsup://directions/FAT Viewer?action=UPDATE&amp;creator=factset&amp;DYN_ARGS=TRUE&amp;DOC_NAME=FAT:FQL_AUDITING_CLIENT_TEMPLATE.FAT&amp;display_string=Audit&amp;VAR:KEY=QBYXERKHED&amp;VAR:QUERY=RkZfRUJJVERBX09QRVIoTFRNLDAsLCwsVVNEKQ==&amp;WINDOW=FIRST_POPUP&amp;HEIGHT=450&amp;WIDTH=450&amp;STAR","T_MAXIMIZED=FALSE&amp;VAR:CALENDAR=US&amp;VAR:SYMBOL=AVAV&amp;VAR:INDEX=0"}</definedName>
    <definedName function="false" hidden="true" name="_28__123Graph_CDIAGR_9" vbProcedure="false">#REF!</definedName>
    <definedName function="false" hidden="true" name="_28__FDSAUDITLINK__" vbProcedure="false">{"fdsup://directions/FAT Viewer?action=UPDATE&amp;creator=factset&amp;DYN_ARGS=TRUE&amp;DOC_NAME=FAT:FQL_AUDITING_CLIENT_TEMPLATE.FAT&amp;display_string=Audit&amp;VAR:KEY=AFMROTURMN&amp;VAR:QUERY=RkZfRUJJVERBX09QRVIoTFRNLDAsLCwsVVNEKQ==&amp;WINDOW=FIRST_POPUP&amp;HEIGHT=450&amp;WIDTH=450&amp;STAR","T_MAXIMIZED=FALSE&amp;VAR:CALENDAR=US&amp;VAR:SYMBOL=QEP&amp;VAR:INDEX=0"}</definedName>
    <definedName function="false" hidden="true" name="_2900__FDSAUDITLINK__" vbProcedure="false">{"fdsup://directions/FAT Viewer?action=UPDATE&amp;creator=factset&amp;DYN_ARGS=TRUE&amp;DOC_NAME=FAT:FQL_AUDITING_CLIENT_TEMPLATE.FAT&amp;display_string=Audit&amp;VAR:KEY=LQBMLQDQ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LSW&amp;VAR:INDEX=0"}</definedName>
    <definedName function="false" hidden="true" name="_2901__FDSAUDITLINK__" vbProcedure="false">{"fdsup://directions/FAT Viewer?action=UPDATE&amp;creator=factset&amp;DYN_ARGS=TRUE&amp;DOC_NAME=FAT:FQL_AUDITING_CLIENT_TEMPLATE.FAT&amp;display_string=Audit&amp;VAR:KEY=RIPYDORURG&amp;VAR:QUERY=KEZTTF9ORVRfSU5DKE5PVyxOT1csRlNBLCxVU0QpQEZGX05FVF9JTkMoTFRNUywwLCwsLFVTRCkp&amp;WINDOW=F","IRST_POPUP&amp;HEIGHT=450&amp;WIDTH=450&amp;START_MAXIMIZED=FALSE&amp;VAR:CALENDAR=US&amp;VAR:SYMBOL=069051&amp;VAR:INDEX=0"}</definedName>
    <definedName function="false" hidden="true" name="_2902__FDSAUDITLINK__" vbProcedure="false">{"fdsup://directions/FAT Viewer?action=UPDATE&amp;creator=factset&amp;DYN_ARGS=TRUE&amp;DOC_NAME=FAT:FQL_AUDITING_CLIENT_TEMPLATE.FAT&amp;display_string=Audit&amp;VAR:KEY=DQFKPCLIVY&amp;VAR:QUERY=KEZTTF9ORVRfSU5DKE5PVyxOT1csRlNBLCxVU0QpQEZGX05FVF9JTkMoTFRNUywwLCwsLFVTRCkp&amp;WINDOW=F","IRST_POPUP&amp;HEIGHT=450&amp;WIDTH=450&amp;START_MAXIMIZED=FALSE&amp;VAR:CALENDAR=US&amp;VAR:SYMBOL=226082&amp;VAR:INDEX=0"}</definedName>
    <definedName function="false" hidden="true" name="_2903__FDSAUDITLINK__" vbProcedure="false">{"fdsup://directions/FAT Viewer?action=UPDATE&amp;creator=factset&amp;DYN_ARGS=TRUE&amp;DOC_NAME=FAT:FQL_AUDITING_CLIENT_TEMPLATE.FAT&amp;display_string=Audit&amp;VAR:KEY=JCLWPOZID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AT&amp;VAR:INDEX=0"}</definedName>
    <definedName function="false" hidden="true" name="_2904__FDSAUDITLINK__" vbProcedure="false">{"fdsup://directions/FAT Viewer?action=UPDATE&amp;creator=factset&amp;DYN_ARGS=TRUE&amp;DOC_NAME=FAT:FQL_AUDITING_CLIENT_TEMPLATE.FAT&amp;display_string=Audit&amp;VAR:KEY=TQRKDOVA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WSY&amp;VAR:INDEX=0"}</definedName>
    <definedName function="false" hidden="true" name="_2905__FDSAUDITLINK__" vbProcedure="false">{"fdsup://directions/FAT Viewer?action=UPDATE&amp;creator=factset&amp;DYN_ARGS=TRUE&amp;DOC_NAME=FAT:FQL_AUDITING_CLIENT_TEMPLATE.FAT&amp;display_string=Audit&amp;VAR:KEY=ZGVOJYHKX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15706&amp;VAR:INDEX=0"}</definedName>
    <definedName function="false" hidden="true" name="_2906__FDSAUDITLINK__" vbProcedure="false">{"fdsup://directions/FAT Viewer?action=UPDATE&amp;creator=factset&amp;DYN_ARGS=TRUE&amp;DOC_NAME=FAT:FQL_AUDITING_CLIENT_TEMPLATE.FAT&amp;display_string=Audit&amp;VAR:KEY=VYNGPMZA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CSY&amp;VAR:INDEX=0"}</definedName>
    <definedName function="false" hidden="true" name="_2907__FDSAUDITLINK__" vbProcedure="false">{"fdsup://directions/FAT Viewer?action=UPDATE&amp;creator=factset&amp;DYN_ARGS=TRUE&amp;DOC_NAME=FAT:FQL_AUDITING_CLIENT_TEMPLATE.FAT&amp;display_string=Audit&amp;VAR:KEY=TERCBSZE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VSN&amp;VAR:INDEX=0"}</definedName>
    <definedName function="false" hidden="true" name="_2908__FDSAUDITLINK__" vbProcedure="false">{"fdsup://directions/FAT Viewer?action=UPDATE&amp;creator=factset&amp;DYN_ARGS=TRUE&amp;DOC_NAME=FAT:FQL_AUDITING_CLIENT_TEMPLATE.FAT&amp;display_string=Audit&amp;VAR:KEY=LWFCLWDG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RC&amp;VAR:INDEX=0"}</definedName>
    <definedName function="false" hidden="true" name="_2909__FDSAUDITLINK__" vbProcedure="false">{"fdsup://directions/FAT Viewer?action=UPDATE&amp;creator=factset&amp;DYN_ARGS=TRUE&amp;DOC_NAME=FAT:FQL_AUDITING_CLIENT_TEMPLATE.FAT&amp;display_string=Audit&amp;VAR:KEY=PAPKFCJQ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L2K1&amp;VAR:INDEX=0"}</definedName>
    <definedName function="false" hidden="true" name="_290__FDSAUDITLINK__" vbProcedure="false">{"fdsup://directions/FAT Viewer?action=UPDATE&amp;creator=factset&amp;DYN_ARGS=TRUE&amp;DOC_NAME=FAT:FQL_AUDITING_CLIENT_TEMPLATE.FAT&amp;display_string=Audit&amp;VAR:KEY=FQHOPUHABE&amp;VAR:QUERY=RkZfRUJJVERBX09QRVIoTFRNLDAsLCwsVVNEKQ==&amp;WINDOW=FIRST_POPUP&amp;HEIGHT=450&amp;WIDTH=450&amp;STAR","T_MAXIMIZED=FALSE&amp;VAR:CALENDAR=US&amp;VAR:SYMBOL=CSFS&amp;VAR:INDEX=0"}</definedName>
    <definedName function="false" hidden="true" name="_2910__FDSAUDITLINK__" vbProcedure="false">{"fdsup://directions/FAT Viewer?action=UPDATE&amp;creator=factset&amp;DYN_ARGS=TRUE&amp;DOC_NAME=FAT:FQL_AUDITING_CLIENT_TEMPLATE.FAT&amp;display_string=Audit&amp;VAR:KEY=RGNCHWFK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TG&amp;VAR:INDEX=0"}</definedName>
    <definedName function="false" hidden="true" name="_2911__FDSAUDITLINK__" vbProcedure="false">{"fdsup://directions/FAT Viewer?action=UPDATE&amp;creator=factset&amp;DYN_ARGS=TRUE&amp;DOC_NAME=FAT:FQL_AUDITING_CLIENT_TEMPLATE.FAT&amp;display_string=Audit&amp;VAR:KEY=VQFAFIRI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079W5&amp;VAR:INDEX=0"}</definedName>
    <definedName function="false" hidden="true" name="_2912__FDSAUDITLINK__" vbProcedure="false">{"fdsup://directions/FAT Viewer?action=UPDATE&amp;creator=factset&amp;DYN_ARGS=TRUE&amp;DOC_NAME=FAT:FQL_AUDITING_CLIENT_TEMPLATE.FAT&amp;display_string=Audit&amp;VAR:KEY=ZEJQPALW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226082&amp;VAR:INDEX=0"}</definedName>
    <definedName function="false" hidden="true" name="_2913__FDSAUDITLINK__" vbProcedure="false">{"fdsup://directions/FAT Viewer?action=UPDATE&amp;creator=factset&amp;DYN_ARGS=TRUE&amp;DOC_NAME=FAT:FQL_AUDITING_CLIENT_TEMPLATE.FAT&amp;display_string=Audit&amp;VAR:KEY=FCJQVUBWDA&amp;VAR:QUERY=KEZTTF9ORVRfSU5DKE5PVyxOT1csRlNBLCxVU0QpQEZGX05FVF9JTkMoTFRNUywwLCwsLFVTRCkp&amp;WINDOW=F","IRST_POPUP&amp;HEIGHT=450&amp;WIDTH=450&amp;START_MAXIMIZED=FALSE&amp;VAR:CALENDAR=US&amp;VAR:SYMBOL=BLSW&amp;VAR:INDEX=0"}</definedName>
    <definedName function="false" hidden="true" name="_2914__FDSAUDITLINK__" vbProcedure="false">{"fdsup://Directions/FactSet Auditing Viewer?action=AUDIT_VALUE&amp;DB=129&amp;ID1=B15706&amp;VALUEID=02001&amp;SDATE=200902&amp;PERIODTYPE=SEMI_STD&amp;window=popup_no_bar&amp;width=385&amp;height=120&amp;START_MAXIMIZED=FALSE&amp;creator=factset&amp;display_string=Audit"}</definedName>
    <definedName function="false" hidden="true" name="_2915__FDSAUDITLINK__" vbProcedure="false">{"fdsup://Directions/FactSet Auditing Viewer?action=AUDIT_VALUE&amp;DB=129&amp;ID1=05266610&amp;VALUEID=02001&amp;SDATE=201004&amp;PERIODTYPE=QTR_STD&amp;window=popup_no_bar&amp;width=385&amp;height=120&amp;START_MAXIMIZED=FALSE&amp;creator=factset&amp;display_string=Audit"}</definedName>
    <definedName function="false" hidden="true" name="_2916__FDSAUDITLINK__" vbProcedure="false">{"fdsup://Directions/FactSet Auditing Viewer?action=AUDIT_VALUE&amp;DB=129&amp;ID1=92532R20&amp;VALUEID=02001&amp;SDATE=201002&amp;PERIODTYPE=QTR_STD&amp;window=popup_no_bar&amp;width=385&amp;height=120&amp;START_MAXIMIZED=FALSE&amp;creator=factset&amp;display_string=Audit"}</definedName>
    <definedName function="false" hidden="true" name="_2917__FDSAUDITLINK__" vbProcedure="false">{"fdsup://Directions/FactSet Auditing Viewer?action=AUDIT_VALUE&amp;DB=129&amp;ID1=25381B10&amp;VALUEID=02001&amp;SDATE=201003&amp;PERIODTYPE=QTR_STD&amp;window=popup_no_bar&amp;width=385&amp;height=120&amp;START_MAXIMIZED=FALSE&amp;creator=factset&amp;display_string=Audit"}</definedName>
    <definedName function="false" hidden="true" name="_2918__FDSAUDITLINK__" vbProcedure="false">{"fdsup://directions/FAT Viewer?action=UPDATE&amp;creator=factset&amp;DYN_ARGS=TRUE&amp;DOC_NAME=FAT:FQL_AUDITING_CLIENT_TEMPLATE.FAT&amp;display_string=Audit&amp;VAR:KEY=XUJSFUZOLO&amp;VAR:QUERY=KEZTTF9ORVRfSU5DKE5PVyxOT1csRlNBLCxVU0QpQEZGX05FVF9JTkMoTFRNUywwLCwsLFVTRCkp&amp;WINDOW=F","IRST_POPUP&amp;HEIGHT=450&amp;WIDTH=450&amp;START_MAXIMIZED=FALSE&amp;VAR:CALENDAR=US&amp;VAR:SYMBOL=ADAT&amp;VAR:INDEX=0"}</definedName>
    <definedName function="false" hidden="true" name="_2919__FDSAUDITLINK__" vbProcedure="false">{"fdsup://Directions/FactSet Auditing Viewer?action=AUDIT_VALUE&amp;DB=129&amp;ID1=B079W5&amp;VALUEID=02001&amp;SDATE=200902&amp;PERIODTYPE=SEMI_STD&amp;window=popup_no_bar&amp;width=385&amp;height=120&amp;START_MAXIMIZED=FALSE&amp;creator=factset&amp;display_string=Audit"}</definedName>
    <definedName function="false" hidden="true" name="_291__123Graph_BChart_1A" vbProcedure="false">#REF!</definedName>
    <definedName function="false" hidden="true" name="_291__FDSAUDITLINK__" vbProcedure="false">{"fdsup://directions/FAT Viewer?action=UPDATE&amp;creator=factset&amp;DYN_ARGS=TRUE&amp;DOC_NAME=FAT:FQL_AUDITING_CLIENT_TEMPLATE.FAT&amp;display_string=Audit&amp;VAR:KEY=BQFAXOVOHG&amp;VAR:QUERY=RkZfRUJJVERBX09QRVIoTFRNLDAsLCwsVVNEKQ==&amp;WINDOW=FIRST_POPUP&amp;HEIGHT=450&amp;WIDTH=450&amp;STAR","T_MAXIMIZED=FALSE&amp;VAR:CALENDAR=US&amp;VAR:SYMBOL=ORN&amp;VAR:INDEX=0"}</definedName>
    <definedName function="false" hidden="true" name="_2920__FDSAUDITLINK__" vbProcedure="false">{"fdsup://Directions/FactSet Auditing Viewer?action=AUDIT_VALUE&amp;DB=129&amp;ID1=226082&amp;VALUEID=02001&amp;SDATE=201004&amp;PERIODTYPE=QTR_STD&amp;window=popup_no_bar&amp;width=385&amp;height=120&amp;START_MAXIMIZED=FALSE&amp;creator=factset&amp;display_string=Audit"}</definedName>
    <definedName function="false" hidden="true" name="_2921__FDSAUDITLINK__" vbProcedure="false">{"fdsup://directions/FAT Viewer?action=UPDATE&amp;creator=factset&amp;DYN_ARGS=TRUE&amp;DOC_NAME=FAT:FQL_AUDITING_CLIENT_TEMPLATE.FAT&amp;display_string=Audit&amp;VAR:KEY=BWTGTOTGPM&amp;VAR:QUERY=KEZTTF9ORVRfSU5DKE5PVyxOT1csRlNBLCxVU0QpQEZGX05FVF9JTkMoTFRNUywwLCwsLFVTRCkp&amp;WINDOW=F","IRST_POPUP&amp;HEIGHT=450&amp;WIDTH=450&amp;START_MAXIMIZED=FALSE&amp;VAR:CALENDAR=US&amp;VAR:SYMBOL=AVSR&amp;VAR:INDEX=0"}</definedName>
    <definedName function="false" hidden="true" name="_2922__FDSAUDITLINK__" vbProcedure="false">{"fdsup://directions/FAT Viewer?action=UPDATE&amp;creator=factset&amp;DYN_ARGS=TRUE&amp;DOC_NAME=FAT:FQL_AUDITING_CLIENT_TEMPLATE.FAT&amp;display_string=Audit&amp;VAR:KEY=ZEFCJENCNY&amp;VAR:QUERY=KEZTTF9ORVRfSU5DKE5PVyxOT1csRlNBLCxVU0QpQEZGX05FVF9JTkMoTFRNUywwLCwsLFVTRCkp&amp;WINDOW=F","IRST_POPUP&amp;HEIGHT=450&amp;WIDTH=450&amp;START_MAXIMIZED=FALSE&amp;VAR:CALENDAR=US&amp;VAR:SYMBOL=700485&amp;VAR:INDEX=0"}</definedName>
    <definedName function="false" hidden="true" name="_2923__FDSAUDITLINK__" vbProcedure="false">{"fdsup://directions/FAT Viewer?action=UPDATE&amp;creator=factset&amp;DYN_ARGS=TRUE&amp;DOC_NAME=FAT:FQL_AUDITING_CLIENT_TEMPLATE.FAT&amp;display_string=Audit&amp;VAR:KEY=DARCPEZOFK&amp;VAR:QUERY=KEZTTF9ORVRfSU5DKE5PVyxOT1csRlNBLCxVU0QpQEZGX05FVF9JTkMoTFRNUywwLCwsLFVTRCkp&amp;WINDOW=F","IRST_POPUP&amp;HEIGHT=450&amp;WIDTH=450&amp;START_MAXIMIZED=FALSE&amp;VAR:CALENDAR=US&amp;VAR:SYMBOL=EVOLD&amp;VAR:INDEX=0"}</definedName>
    <definedName function="false" hidden="true" name="_2924__FDSAUDITLINK__" vbProcedure="false">{"fdsup://directions/FAT Viewer?action=UPDATE&amp;creator=factset&amp;DYN_ARGS=TRUE&amp;DOC_NAME=FAT:FQL_AUDITING_CLIENT_TEMPLATE.FAT&amp;display_string=Audit&amp;VAR:KEY=HKNAHKDGNE&amp;VAR:QUERY=KEZTTF9ORVRfSU5DKE5PVyxOT1csRlNBLCxVU0QpQEZGX05FVF9JTkMoTFRNUywwLCwsLFVTRCkp&amp;WINDOW=F","IRST_POPUP&amp;HEIGHT=450&amp;WIDTH=450&amp;START_MAXIMIZED=FALSE&amp;VAR:CALENDAR=US&amp;VAR:SYMBOL=598817&amp;VAR:INDEX=0"}</definedName>
    <definedName function="false" hidden="true" name="_2925__FDSAUDITLINK__" vbProcedure="false">{"fdsup://directions/FAT Viewer?action=UPDATE&amp;creator=factset&amp;DYN_ARGS=TRUE&amp;DOC_NAME=FAT:FQL_AUDITING_CLIENT_TEMPLATE.FAT&amp;display_string=Audit&amp;VAR:KEY=NEZEFAXYVW&amp;VAR:QUERY=KEZTTF9ORVRfSU5DKE5PVyxOT1csRlNBLCxVU0QpQEZGX05FVF9JTkMoTFRNUywwLCwsLFVTRCkp&amp;WINDOW=F","IRST_POPUP&amp;HEIGHT=450&amp;WIDTH=450&amp;START_MAXIMIZED=FALSE&amp;VAR:CALENDAR=US&amp;VAR:SYMBOL=VHC&amp;VAR:INDEX=0"}</definedName>
    <definedName function="false" hidden="true" name="_2926__FDSAUDITLINK__" vbProcedure="false">{"fdsup://directions/FAT Viewer?action=UPDATE&amp;creator=factset&amp;DYN_ARGS=TRUE&amp;DOC_NAME=FAT:FQL_AUDITING_CLIENT_TEMPLATE.FAT&amp;display_string=Audit&amp;VAR:KEY=ZGJEPYRAVC&amp;VAR:QUERY=KEZTTF9ORVRfSU5DKE5PVyxOT1csRlNBLCxVU0QpQEZGX05FVF9JTkMoTFRNUywwLCwsLFVTRCkp&amp;WINDOW=F","IRST_POPUP&amp;HEIGHT=450&amp;WIDTH=450&amp;START_MAXIMIZED=FALSE&amp;VAR:CALENDAR=US&amp;VAR:SYMBOL=712125&amp;VAR:INDEX=0"}</definedName>
    <definedName function="false" hidden="true" name="_2927__FDSAUDITLINK__" vbProcedure="false">{"fdsup://directions/FAT Viewer?action=UPDATE&amp;creator=factset&amp;DYN_ARGS=TRUE&amp;DOC_NAME=FAT:FQL_AUDITING_CLIENT_TEMPLATE.FAT&amp;display_string=Audit&amp;VAR:KEY=LCJCFKPYBC&amp;VAR:QUERY=KEZTTF9ORVRfSU5DKE5PVyxOT1csRlNBLCxVU0QpQEZGX05FVF9JTkMoTFRNUywwLCwsLFVTRCkp&amp;WINDOW=F","IRST_POPUP&amp;HEIGHT=450&amp;WIDTH=450&amp;START_MAXIMIZED=FALSE&amp;VAR:CALENDAR=US&amp;VAR:SYMBOL=CVG&amp;VAR:INDEX=0"}</definedName>
    <definedName function="false" hidden="true" name="_2928__FDSAUDITLINK__" vbProcedure="false">{"fdsup://directions/FAT Viewer?action=UPDATE&amp;creator=factset&amp;DYN_ARGS=TRUE&amp;DOC_NAME=FAT:FQL_AUDITING_CLIENT_TEMPLATE.FAT&amp;display_string=Audit&amp;VAR:KEY=BMZSZWDCNG&amp;VAR:QUERY=KEZTTF9ORVRfSU5DKE5PVyxOT1csRlNBLCxVU0QpQEZGX05FVF9JTkMoTFRNUywwLCwsLFVTRCkp&amp;WINDOW=F","IRST_POPUP&amp;HEIGHT=450&amp;WIDTH=450&amp;START_MAXIMIZED=FALSE&amp;VAR:CALENDAR=US&amp;VAR:SYMBOL=DST&amp;VAR:INDEX=0"}</definedName>
    <definedName function="false" hidden="true" name="_2929__FDSAUDITLINK__" vbProcedure="false">{"fdsup://directions/FAT Viewer?action=UPDATE&amp;creator=factset&amp;DYN_ARGS=TRUE&amp;DOC_NAME=FAT:FQL_AUDITING_CLIENT_TEMPLATE.FAT&amp;display_string=Audit&amp;VAR:KEY=HQNGZGNGLI&amp;VAR:QUERY=KEZTTF9ORVRfSU5DKE5PVyxOT1csRlNBLCxVU0QpQEZGX05FVF9JTkMoTFRNUywwLCwsLFVTRCkp&amp;WINDOW=F","IRST_POPUP&amp;HEIGHT=450&amp;WIDTH=450&amp;START_MAXIMIZED=FALSE&amp;VAR:CALENDAR=US&amp;VAR:SYMBOL=DOX&amp;VAR:INDEX=0"}</definedName>
    <definedName function="false" hidden="true" name="_292__FDSAUDITLINK__" vbProcedure="false">{"fdsup://directions/FAT Viewer?action=UPDATE&amp;creator=factset&amp;DYN_ARGS=TRUE&amp;DOC_NAME=FAT:FQL_AUDITING_CLIENT_TEMPLATE.FAT&amp;display_string=Audit&amp;VAR:KEY=HQTYFKZEJQ&amp;VAR:QUERY=RkZfRUJJVERBX09QRVIoTFRNLDAsLCwsVVNEKQ==&amp;WINDOW=FIRST_POPUP&amp;HEIGHT=450&amp;WIDTH=450&amp;STAR","T_MAXIMIZED=FALSE&amp;VAR:CALENDAR=US&amp;VAR:SYMBOL=FLIR&amp;VAR:INDEX=0"}</definedName>
    <definedName function="false" hidden="true" name="_2930__FDSAUDITLINK__" vbProcedure="false">{"fdsup://directions/FAT Viewer?action=UPDATE&amp;creator=factset&amp;DYN_ARGS=TRUE&amp;DOC_NAME=FAT:FQL_AUDITING_CLIENT_TEMPLATE.FAT&amp;display_string=Audit&amp;VAR:KEY=PUFOFOPS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SR&amp;VAR:INDEX=0"}</definedName>
    <definedName function="false" hidden="true" name="_2931__FDSAUDITLINK__" vbProcedure="false">{"fdsup://directions/FAT Viewer?action=UPDATE&amp;creator=factset&amp;DYN_ARGS=TRUE&amp;DOC_NAME=FAT:FQL_AUDITING_CLIENT_TEMPLATE.FAT&amp;display_string=Audit&amp;VAR:KEY=FKBALCLI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700485&amp;VAR:INDEX=0"}</definedName>
    <definedName function="false" hidden="true" name="_2932__FDSAUDITLINK__" vbProcedure="false">{"fdsup://directions/FAT Viewer?action=UPDATE&amp;creator=factset&amp;DYN_ARGS=TRUE&amp;DOC_NAME=FAT:FQL_AUDITING_CLIENT_TEMPLATE.FAT&amp;display_string=Audit&amp;VAR:KEY=BYVUTODW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KT&amp;VAR:INDEX=0"}</definedName>
    <definedName function="false" hidden="true" name="_2933__FDSAUDITLINK__" vbProcedure="false">{"fdsup://directions/FAT Viewer?action=UPDATE&amp;creator=factset&amp;DYN_ARGS=TRUE&amp;DOC_NAME=FAT:FQL_AUDITING_CLIENT_TEMPLATE.FAT&amp;display_string=Audit&amp;VAR:KEY=DQTMJWZMT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598817&amp;VAR:INDEX=0"}</definedName>
    <definedName function="false" hidden="true" name="_2934__FDSAUDITLINK__" vbProcedure="false">{"fdsup://directions/FAT Viewer?action=UPDATE&amp;creator=factset&amp;DYN_ARGS=TRUE&amp;DOC_NAME=FAT:FQL_AUDITING_CLIENT_TEMPLATE.FAT&amp;display_string=Audit&amp;VAR:KEY=DELSJORW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HC&amp;VAR:INDEX=0"}</definedName>
    <definedName function="false" hidden="true" name="_2935__FDSAUDITLINK__" vbProcedure="false">{"fdsup://directions/FAT Viewer?action=UPDATE&amp;creator=factset&amp;DYN_ARGS=TRUE&amp;DOC_NAME=FAT:FQL_AUDITING_CLIENT_TEMPLATE.FAT&amp;display_string=Audit&amp;VAR:KEY=LQRMDUXQ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712125&amp;VAR:INDEX=0"}</definedName>
    <definedName function="false" hidden="true" name="_2936__FDSAUDITLINK__" vbProcedure="false">{"fdsup://directions/FAT Viewer?action=UPDATE&amp;creator=factset&amp;DYN_ARGS=TRUE&amp;DOC_NAME=FAT:FQL_AUDITING_CLIENT_TEMPLATE.FAT&amp;display_string=Audit&amp;VAR:KEY=HCLIFCPA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G&amp;VAR:INDEX=0"}</definedName>
    <definedName function="false" hidden="true" name="_2937__FDSAUDITLINK__" vbProcedure="false">{"fdsup://directions/FAT Viewer?action=UPDATE&amp;creator=factset&amp;DYN_ARGS=TRUE&amp;DOC_NAME=FAT:FQL_AUDITING_CLIENT_TEMPLATE.FAT&amp;display_string=Audit&amp;VAR:KEY=TKJMNGVU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ST&amp;VAR:INDEX=0"}</definedName>
    <definedName function="false" hidden="true" name="_2938__FDSAUDITLINK__" vbProcedure="false">{"fdsup://directions/FAT Viewer?action=UPDATE&amp;creator=factset&amp;DYN_ARGS=TRUE&amp;DOC_NAME=FAT:FQL_AUDITING_CLIENT_TEMPLATE.FAT&amp;display_string=Audit&amp;VAR:KEY=DOHOXOVW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OX&amp;VAR:INDEX=0"}</definedName>
    <definedName function="false" hidden="true" name="_2939__FDSAUDITLINK__" vbProcedure="false">{"fdsup://directions/FAT Viewer?action=UPDATE&amp;creator=factset&amp;DYN_ARGS=TRUE&amp;DOC_NAME=FAT:FQL_AUDITING_CLIENT_TEMPLATE.FAT&amp;display_string=Audit&amp;VAR:KEY=PWHCZYDGDU&amp;VAR:QUERY=KEZTTF9ORVRfSU5DKE5PVyxOT1csRlNBLCxVU0QpQEZGX05FVF9JTkMoTFRNUywwLCwsLFVTRCkp&amp;WINDOW=F","IRST_POPUP&amp;HEIGHT=450&amp;WIDTH=450&amp;START_MAXIMIZED=FALSE&amp;VAR:CALENDAR=US&amp;VAR:SYMBOL=DTVI&amp;VAR:INDEX=0"}</definedName>
    <definedName function="false" hidden="true" name="_293__FDSAUDITLINK__" vbProcedure="false">{"fdsup://directions/FAT Viewer?action=UPDATE&amp;creator=factset&amp;DYN_ARGS=TRUE&amp;DOC_NAME=FAT:FQL_AUDITING_CLIENT_TEMPLATE.FAT&amp;display_string=Audit&amp;VAR:KEY=LMFMTAXMBY&amp;VAR:QUERY=RkZfRUJJVERBX09QRVIoTFRNLDAsLCwsVVNEKQ==&amp;WINDOW=FIRST_POPUP&amp;HEIGHT=450&amp;WIDTH=450&amp;STAR","T_MAXIMIZED=FALSE&amp;VAR:CALENDAR=US&amp;VAR:SYMBOL=COMV&amp;VAR:INDEX=0"}</definedName>
    <definedName function="false" hidden="true" name="_2940__FDSAUDITLINK__" vbProcedure="false">{"fdsup://Directions/FactSet Auditing Viewer?action=AUDIT_VALUE&amp;DB=129&amp;ID1=700485&amp;VALUEID=02001&amp;SDATE=201001&amp;PERIODTYPE=SEMI_STD&amp;window=popup_no_bar&amp;width=385&amp;height=120&amp;START_MAXIMIZED=FALSE&amp;creator=factset&amp;display_string=Audit"}</definedName>
    <definedName function="false" hidden="true" name="_2941__FDSAUDITLINK__" vbProcedure="false">{"fdsup://Directions/FactSet Auditing Viewer?action=AUDIT_VALUE&amp;DB=129&amp;ID1=74269U10&amp;VALUEID=02001&amp;SDATE=201002&amp;PERIODTYPE=QTR_STD&amp;window=popup_no_bar&amp;width=385&amp;height=120&amp;START_MAXIMIZED=FALSE&amp;creator=factset&amp;display_string=Audit"}</definedName>
    <definedName function="false" hidden="true" name="_2942__FDSAUDITLINK__" vbProcedure="false">{"fdsup://Directions/FactSet Auditing Viewer?action=AUDIT_VALUE&amp;DB=129&amp;ID1=598817&amp;VALUEID=02001&amp;SDATE=200902&amp;PERIODTYPE=SEMI_STD&amp;window=popup_no_bar&amp;width=385&amp;height=120&amp;START_MAXIMIZED=FALSE&amp;creator=factset&amp;display_string=Audit"}</definedName>
    <definedName function="false" hidden="true" name="_2943__FDSAUDITLINK__" vbProcedure="false">{"fdsup://Directions/FactSet Auditing Viewer?action=AUDIT_VALUE&amp;DB=129&amp;ID1=B3F1KC&amp;VALUEID=02001&amp;SDATE=201003&amp;PERIODTYPE=QTR_STD&amp;window=popup_no_bar&amp;width=385&amp;height=120&amp;START_MAXIMIZED=FALSE&amp;creator=factset&amp;display_string=Audit"}</definedName>
    <definedName function="false" hidden="true" name="_2944__FDSAUDITLINK__" vbProcedure="false">{"fdsup://Directions/FactSet Auditing Viewer?action=AUDIT_VALUE&amp;DB=129&amp;ID1=712125&amp;VALUEID=02001&amp;SDATE=201001&amp;PERIODTYPE=SEMI_STD&amp;window=popup_no_bar&amp;width=385&amp;height=120&amp;START_MAXIMIZED=FALSE&amp;creator=factset&amp;display_string=Audit"}</definedName>
    <definedName function="false" hidden="true" name="_2945__FDSAUDITLINK__" vbProcedure="false">{"fdsup://Directions/FactSet Auditing Viewer?action=AUDIT_VALUE&amp;DB=129&amp;ID1=21248510&amp;VALUEID=02001&amp;SDATE=201002&amp;PERIODTYPE=QTR_STD&amp;window=popup_no_bar&amp;width=385&amp;height=120&amp;START_MAXIMIZED=FALSE&amp;creator=factset&amp;display_string=Audit"}</definedName>
    <definedName function="false" hidden="true" name="_2946__FDSAUDITLINK__" vbProcedure="false">{"fdsup://Directions/FactSet Auditing Viewer?action=AUDIT_VALUE&amp;DB=129&amp;ID1=23332610&amp;VALUEID=02001&amp;SDATE=201002&amp;PERIODTYPE=QTR_STD&amp;window=popup_no_bar&amp;width=385&amp;height=120&amp;START_MAXIMIZED=FALSE&amp;creator=factset&amp;display_string=Audit"}</definedName>
    <definedName function="false" hidden="true" name="_2947__FDSAUDITLINK__" vbProcedure="false">{"fdsup://Directions/FactSet Auditing Viewer?action=AUDIT_VALUE&amp;DB=129&amp;ID1=G0260210&amp;VALUEID=02001&amp;SDATE=201003&amp;PERIODTYPE=QTR_STD&amp;window=popup_no_bar&amp;width=385&amp;height=120&amp;START_MAXIMIZED=FALSE&amp;creator=factset&amp;display_string=Audit"}</definedName>
    <definedName function="false" hidden="true" name="_2948__FDSAUDITLINK__" vbProcedure="false">{"fdsup://directions/FAT Viewer?action=UPDATE&amp;creator=factset&amp;DYN_ARGS=TRUE&amp;DOC_NAME=FAT:FQL_AUDITING_CLIENT_TEMPLATE.FAT&amp;display_string=Audit&amp;VAR:KEY=HUTCZGFIBQ&amp;VAR:QUERY=KEZTTF9ORVRfSU5DKE5PVyxOT1csRlNBLCxVU0QpQEZGX05FVF9JTkMoTFRNUywwLCwsLFVTRCkp&amp;WINDOW=F","IRST_POPUP&amp;HEIGHT=450&amp;WIDTH=450&amp;START_MAXIMIZED=FALSE&amp;VAR:CALENDAR=US&amp;VAR:SYMBOL=CICI&amp;VAR:INDEX=0"}</definedName>
    <definedName function="false" hidden="true" name="_2949__FDSAUDITLINK__" vbProcedure="false">{"fdsup://directions/FAT Viewer?action=UPDATE&amp;creator=factset&amp;DYN_ARGS=TRUE&amp;DOC_NAME=FAT:FQL_AUDITING_CLIENT_TEMPLATE.FAT&amp;display_string=Audit&amp;VAR:KEY=NQLKRYNUDI&amp;VAR:QUERY=KEZTTF9ORVRfSU5DKE5PVyxOT1csRlNBLCxVU0QpQEZGX05FVF9JTkMoTFRNUywwLCwsLFVTRCkp&amp;WINDOW=F","IRST_POPUP&amp;HEIGHT=450&amp;WIDTH=450&amp;START_MAXIMIZED=FALSE&amp;VAR:CALENDAR=US&amp;VAR:SYMBOL=DWCH&amp;VAR:INDEX=0"}</definedName>
    <definedName function="false" hidden="true" name="_294__FDSAUDITLINK__" vbProcedure="false">{"fdsup://directions/FAT Viewer?action=UPDATE&amp;creator=factset&amp;DYN_ARGS=TRUE&amp;DOC_NAME=FAT:FQL_AUDITING_CLIENT_TEMPLATE.FAT&amp;display_string=Audit&amp;VAR:KEY=ZANSBIPOXK&amp;VAR:QUERY=RkZfRUJJVERBX09QRVIoTFRNLDAsLCwsVVNEKQ==&amp;WINDOW=FIRST_POPUP&amp;HEIGHT=450&amp;WIDTH=450&amp;STAR","T_MAXIMIZED=FALSE&amp;VAR:CALENDAR=US&amp;VAR:SYMBOL=ASEI&amp;VAR:INDEX=0"}</definedName>
    <definedName function="false" hidden="true" name="_2950__FDSAUDITLINK__" vbProcedure="false">{"fdsup://directions/FAT Viewer?action=UPDATE&amp;creator=factset&amp;DYN_ARGS=TRUE&amp;DOC_NAME=FAT:FQL_AUDITING_CLIENT_TEMPLATE.FAT&amp;display_string=Audit&amp;VAR:KEY=RQDIHCNYZE&amp;VAR:QUERY=KEZTTF9ORVRfSU5DKE5PVyxOT1csRlNBLCxVU0QpQEZGX05FVF9JTkMoTFRNUywwLCwsLFVTRCkp&amp;WINDOW=F","IRST_POPUP&amp;HEIGHT=450&amp;WIDTH=450&amp;START_MAXIMIZED=FALSE&amp;VAR:CALENDAR=US&amp;VAR:SYMBOL=B08VJF&amp;VAR:INDEX=0"}</definedName>
    <definedName function="false" hidden="true" name="_2951__FDSAUDITLINK__" vbProcedure="false">{"fdsup://directions/FAT Viewer?action=UPDATE&amp;creator=factset&amp;DYN_ARGS=TRUE&amp;DOC_NAME=FAT:FQL_AUDITING_CLIENT_TEMPLATE.FAT&amp;display_string=Audit&amp;VAR:KEY=DSVILEXCZC&amp;VAR:QUERY=KEZTTF9ORVRfSU5DKE5PVyxOT1csRlNBLCxVU0QpQEZGX05FVF9JTkMoTFRNUywwLCwsLFVTRCkp&amp;WINDOW=F","IRST_POPUP&amp;HEIGHT=450&amp;WIDTH=450&amp;START_MAXIMIZED=FALSE&amp;VAR:CALENDAR=US&amp;VAR:SYMBOL=B1XGD4&amp;VAR:INDEX=0"}</definedName>
    <definedName function="false" hidden="true" name="_2952__FDSAUDITLINK__" vbProcedure="false">{"fdsup://directions/FAT Viewer?action=UPDATE&amp;creator=factset&amp;DYN_ARGS=TRUE&amp;DOC_NAME=FAT:FQL_AUDITING_CLIENT_TEMPLATE.FAT&amp;display_string=Audit&amp;VAR:KEY=ZSFKRKDSTA&amp;VAR:QUERY=KEZTTF9ORVRfSU5DKE5PVyxOT1csRlNBLCxVU0QpQEZGX05FVF9JTkMoTFRNUywwLCwsLFVTRCkp&amp;WINDOW=F","IRST_POPUP&amp;HEIGHT=450&amp;WIDTH=450&amp;START_MAXIMIZED=FALSE&amp;VAR:CALENDAR=US&amp;VAR:SYMBOL=401870&amp;VAR:INDEX=0"}</definedName>
    <definedName function="false" hidden="true" name="_2953__FDSAUDITLINK__" vbProcedure="false">{"fdsup://directions/FAT Viewer?action=UPDATE&amp;creator=factset&amp;DYN_ARGS=TRUE&amp;DOC_NAME=FAT:FQL_AUDITING_CLIENT_TEMPLATE.FAT&amp;display_string=Audit&amp;VAR:KEY=VKLUBWDWLQ&amp;VAR:QUERY=KEZTTF9ORVRfSU5DKE5PVyxOT1csRlNBLCxVU0QpQEZGX05FVF9JTkMoTFRNUywwLCwsLFVTRCkp&amp;WINDOW=F","IRST_POPUP&amp;HEIGHT=450&amp;WIDTH=450&amp;START_MAXIMIZED=FALSE&amp;VAR:CALENDAR=US&amp;VAR:SYMBOL=QLIK&amp;VAR:INDEX=0"}</definedName>
    <definedName function="false" hidden="true" name="_2954__FDSAUDITLINK__" vbProcedure="false">{"fdsup://directions/FAT Viewer?action=UPDATE&amp;creator=factset&amp;DYN_ARGS=TRUE&amp;DOC_NAME=FAT:FQL_AUDITING_CLIENT_TEMPLATE.FAT&amp;display_string=Audit&amp;VAR:KEY=PERGVOHKVC&amp;VAR:QUERY=KEZTTF9ORVRfSU5DKE5PVyxOT1csRlNBLCxVU0QpQEZGX05FVF9JTkMoTFRNUywwLCwsLFVTRCkp&amp;WINDOW=F","IRST_POPUP&amp;HEIGHT=450&amp;WIDTH=450&amp;START_MAXIMIZED=FALSE&amp;VAR:CALENDAR=US&amp;VAR:SYMBOL=INFA&amp;VAR:INDEX=0"}</definedName>
    <definedName function="false" hidden="true" name="_2955__FDSAUDITLINK__" vbProcedure="false">{"fdsup://directions/FAT Viewer?action=UPDATE&amp;creator=factset&amp;DYN_ARGS=TRUE&amp;DOC_NAME=FAT:FQL_AUDITING_CLIENT_TEMPLATE.FAT&amp;display_string=Audit&amp;VAR:KEY=BEBADGXYPI&amp;VAR:QUERY=KEZTTF9ORVRfSU5DKE5PVyxOT1csRlNBLCxVU0QpQEZGX05FVF9JTkMoTFRNUywwLCwsLFVTRCkp&amp;WINDOW=F","IRST_POPUP&amp;HEIGHT=450&amp;WIDTH=450&amp;START_MAXIMIZED=FALSE&amp;VAR:CALENDAR=US&amp;VAR:SYMBOL=011827&amp;VAR:INDEX=0"}</definedName>
    <definedName function="false" hidden="true" name="_2956__FDSAUDITLINK__" vbProcedure="false">{"fdsup://directions/FAT Viewer?action=UPDATE&amp;creator=factset&amp;DYN_ARGS=TRUE&amp;DOC_NAME=FAT:FQL_AUDITING_CLIENT_TEMPLATE.FAT&amp;display_string=Audit&amp;VAR:KEY=LOXYBEHGJM&amp;VAR:QUERY=KEZTTF9ORVRfSU5DKE5PVyxOT1csRlNBLCxVU0QpQEZGX05FVF9JTkMoTFRNUywwLCwsLFVTRCkp&amp;WINDOW=F","IRST_POPUP&amp;HEIGHT=450&amp;WIDTH=450&amp;START_MAXIMIZED=FALSE&amp;VAR:CALENDAR=US&amp;VAR:SYMBOL=TDC&amp;VAR:INDEX=0"}</definedName>
    <definedName function="false" hidden="true" name="_2957__FDSAUDITLINK__" vbProcedure="false">{"fdsup://directions/FAT Viewer?action=UPDATE&amp;creator=factset&amp;DYN_ARGS=TRUE&amp;DOC_NAME=FAT:FQL_AUDITING_CLIENT_TEMPLATE.FAT&amp;display_string=Audit&amp;VAR:KEY=TOZWFEZG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ICI&amp;VAR:INDEX=0"}</definedName>
    <definedName function="false" hidden="true" name="_2958__FDSAUDITLINK__" vbProcedure="false">{"fdsup://directions/FAT Viewer?action=UPDATE&amp;creator=factset&amp;DYN_ARGS=TRUE&amp;DOC_NAME=FAT:FQL_AUDITING_CLIENT_TEMPLATE.FAT&amp;display_string=Audit&amp;VAR:KEY=ZCPKRUPW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WCH&amp;VAR:INDEX=0"}</definedName>
    <definedName function="false" hidden="true" name="_2959__FDSAUDITLINK__" vbProcedure="false">{"fdsup://directions/FAT Viewer?action=UPDATE&amp;creator=factset&amp;DYN_ARGS=TRUE&amp;DOC_NAME=FAT:FQL_AUDITING_CLIENT_TEMPLATE.FAT&amp;display_string=Audit&amp;VAR:KEY=HCXWZCJK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08VJF&amp;VAR:INDEX=0"}</definedName>
    <definedName function="false" hidden="true" name="_295__FDSAUDITLINK__" vbProcedure="false">{"fdsup://directions/FAT Viewer?action=UPDATE&amp;creator=factset&amp;DYN_ARGS=TRUE&amp;DOC_NAME=FAT:FQL_AUDITING_CLIENT_TEMPLATE.FAT&amp;display_string=Audit&amp;VAR:KEY=LULYPYPUFA&amp;VAR:QUERY=RkZfRUJJVERBX09QRVIoTFRNLDAsLCwsVVNEKQ==&amp;WINDOW=FIRST_POPUP&amp;HEIGHT=450&amp;WIDTH=450&amp;STAR","T_MAXIMIZED=FALSE&amp;VAR:CALENDAR=US&amp;VAR:SYMBOL=AVNW&amp;VAR:INDEX=0"}</definedName>
    <definedName function="false" hidden="true" name="_2960__FDSAUDITLINK__" vbProcedure="false">{"fdsup://directions/FAT Viewer?action=UPDATE&amp;creator=factset&amp;DYN_ARGS=TRUE&amp;DOC_NAME=FAT:FQL_AUDITING_CLIENT_TEMPLATE.FAT&amp;display_string=Audit&amp;VAR:KEY=PCTWLADE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XGD4&amp;VAR:INDEX=0"}</definedName>
    <definedName function="false" hidden="true" name="_2961__FDSAUDITLINK__" vbProcedure="false">{"fdsup://directions/FAT Viewer?action=UPDATE&amp;creator=factset&amp;DYN_ARGS=TRUE&amp;DOC_NAME=FAT:FQL_AUDITING_CLIENT_TEMPLATE.FAT&amp;display_string=Audit&amp;VAR:KEY=LYJYXYBI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401870&amp;VAR:INDEX=0"}</definedName>
    <definedName function="false" hidden="true" name="_2962__FDSAUDITLINK__" vbProcedure="false">{"fdsup://directions/FAT Viewer?action=UPDATE&amp;creator=factset&amp;DYN_ARGS=TRUE&amp;DOC_NAME=FAT:FQL_AUDITING_CLIENT_TEMPLATE.FAT&amp;display_string=Audit&amp;VAR:KEY=DGXOPOVGLS&amp;VAR:QUERY=KEZTTF9ORVRfSU5DKE5PVyxOT1csRlNBLCxVU0QpQEZGX05FVF9JTkMoTFRNUywwLCwsLFVTRCkp&amp;WINDOW=F","IRST_POPUP&amp;HEIGHT=450&amp;WIDTH=450&amp;START_MAXIMIZED=FALSE&amp;VAR:CALENDAR=US&amp;VAR:SYMBOL=CSGP&amp;VAR:INDEX=0"}</definedName>
    <definedName function="false" hidden="true" name="_2963__FDSAUDITLINK__" vbProcedure="false">{"fdsup://directions/FAT Viewer?action=UPDATE&amp;creator=factset&amp;DYN_ARGS=TRUE&amp;DOC_NAME=FAT:FQL_AUDITING_CLIENT_TEMPLATE.FAT&amp;display_string=Audit&amp;VAR:KEY=JQFAXYVC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FA&amp;VAR:INDEX=0"}</definedName>
    <definedName function="false" hidden="true" name="_2964__FDSAUDITLINK__" vbProcedure="false">{"fdsup://directions/FAT Viewer?action=UPDATE&amp;creator=factset&amp;DYN_ARGS=TRUE&amp;DOC_NAME=FAT:FQL_AUDITING_CLIENT_TEMPLATE.FAT&amp;display_string=Audit&amp;VAR:KEY=LSJILUDI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011827&amp;VAR:INDEX=0"}</definedName>
    <definedName function="false" hidden="true" name="_2965__FDSAUDITLINK__" vbProcedure="false">{"fdsup://directions/FAT Viewer?action=UPDATE&amp;creator=factset&amp;DYN_ARGS=TRUE&amp;DOC_NAME=FAT:FQL_AUDITING_CLIENT_TEMPLATE.FAT&amp;display_string=Audit&amp;VAR:KEY=BQXOHOPS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C&amp;VAR:INDEX=0"}</definedName>
    <definedName function="false" hidden="true" name="_2966__FDSAUDITLINK__" vbProcedure="false">{"fdsup://Directions/FactSet Auditing Viewer?action=AUDIT_VALUE&amp;DB=129&amp;ID1=20338K10&amp;VALUEID=02001&amp;SDATE=201002&amp;PERIODTYPE=QTR_STD&amp;window=popup_no_bar&amp;width=385&amp;height=120&amp;START_MAXIMIZED=FALSE&amp;creator=factset&amp;display_string=Audit"}</definedName>
    <definedName function="false" hidden="true" name="_2967__FDSAUDITLINK__" vbProcedure="false">{"fdsup://Directions/FactSet Auditing Viewer?action=AUDIT_VALUE&amp;DB=129&amp;ID1=23791720&amp;VALUEID=02001&amp;SDATE=201003&amp;PERIODTYPE=QTR_STD&amp;window=popup_no_bar&amp;width=385&amp;height=120&amp;START_MAXIMIZED=FALSE&amp;creator=factset&amp;display_string=Audit"}</definedName>
    <definedName function="false" hidden="true" name="_2968__FDSAUDITLINK__" vbProcedure="false">{"fdsup://Directions/FactSet Auditing Viewer?action=AUDIT_VALUE&amp;DB=129&amp;ID1=B08VJF&amp;VALUEID=02001&amp;SDATE=201002&amp;PERIODTYPE=QTR_STD&amp;window=popup_no_bar&amp;width=385&amp;height=120&amp;START_MAXIMIZED=FALSE&amp;creator=factset&amp;display_string=Audit"}</definedName>
    <definedName function="false" hidden="true" name="_2969__FDSAUDITLINK__" vbProcedure="false">{"fdsup://Directions/FactSet Auditing Viewer?action=AUDIT_VALUE&amp;DB=129&amp;ID1=B1XGD4&amp;VALUEID=02001&amp;SDATE=201002&amp;PERIODTYPE=QTR_STD&amp;window=popup_no_bar&amp;width=385&amp;height=120&amp;START_MAXIMIZED=FALSE&amp;creator=factset&amp;display_string=Audit"}</definedName>
    <definedName function="false" hidden="true" name="_296__FDSAUDITLINK__" vbProcedure="false">{"fdsup://directions/FAT Viewer?action=UPDATE&amp;creator=factset&amp;DYN_ARGS=TRUE&amp;DOC_NAME=FAT:FQL_AUDITING_CLIENT_TEMPLATE.FAT&amp;display_string=Audit&amp;VAR:KEY=JUPONYTGLQ&amp;VAR:QUERY=RkZfRUJJVERBX09QRVIoTFRNLDAsLCwsVVNEKQ==&amp;WINDOW=FIRST_POPUP&amp;HEIGHT=450&amp;WIDTH=450&amp;STAR","T_MAXIMIZED=FALSE&amp;VAR:CALENDAR=US&amp;VAR:SYMBOL=GPRE&amp;VAR:INDEX=0"}</definedName>
    <definedName function="false" hidden="true" name="_2970__FDSAUDITLINK__" vbProcedure="false">{"fdsup://Directions/FactSet Auditing Viewer?action=AUDIT_VALUE&amp;DB=129&amp;ID1=401870&amp;VALUEID=02001&amp;SDATE=201004&amp;PERIODTYPE=QTR_STD&amp;window=popup_no_bar&amp;width=385&amp;height=120&amp;START_MAXIMIZED=FALSE&amp;creator=factset&amp;display_string=Audit"}</definedName>
    <definedName function="false" hidden="true" name="_2971__FDSAUDITLINK__" vbProcedure="false">{"fdsup://Directions/FactSet Auditing Viewer?action=AUDIT_VALUE&amp;DB=129&amp;ID1=59497240&amp;VALUEID=02001&amp;SDATE=201002&amp;PERIODTYPE=QTR_STD&amp;window=popup_no_bar&amp;width=385&amp;height=120&amp;START_MAXIMIZED=FALSE&amp;creator=factset&amp;display_string=Audit"}</definedName>
    <definedName function="false" hidden="true" name="_2972__FDSAUDITLINK__" vbProcedure="false">{"fdsup://Directions/FactSet Auditing Viewer?action=AUDIT_VALUE&amp;DB=129&amp;ID1=45666Q10&amp;VALUEID=02001&amp;SDATE=201003&amp;PERIODTYPE=QTR_STD&amp;window=popup_no_bar&amp;width=385&amp;height=120&amp;START_MAXIMIZED=FALSE&amp;creator=factset&amp;display_string=Audit"}</definedName>
    <definedName function="false" hidden="true" name="_2973__FDSAUDITLINK__" vbProcedure="false">{"fdsup://Directions/FactSet Auditing Viewer?action=AUDIT_VALUE&amp;DB=129&amp;ID1=011827&amp;VALUEID=02001&amp;SDATE=201003&amp;PERIODTYPE=QTR_STD&amp;window=popup_no_bar&amp;width=385&amp;height=120&amp;START_MAXIMIZED=FALSE&amp;creator=factset&amp;display_string=Audit"}</definedName>
    <definedName function="false" hidden="true" name="_2974__FDSAUDITLINK__" vbProcedure="false">{"fdsup://Directions/FactSet Auditing Viewer?action=AUDIT_VALUE&amp;DB=129&amp;ID1=88076W10&amp;VALUEID=02001&amp;SDATE=201002&amp;PERIODTYPE=QTR_STD&amp;window=popup_no_bar&amp;width=385&amp;height=120&amp;START_MAXIMIZED=FALSE&amp;creator=factset&amp;display_string=Audit"}</definedName>
    <definedName function="false" hidden="true" name="_2975__FDSAUDITLINK__" vbProcedure="false">{"fdsup://directions/FAT Viewer?action=UPDATE&amp;creator=factset&amp;DYN_ARGS=TRUE&amp;DOC_NAME=FAT:FQL_AUDITING_CLIENT_TEMPLATE.FAT&amp;display_string=Audit&amp;VAR:KEY=FYPIRQRAJC&amp;VAR:QUERY=KEZTTF9ORVRfSU5DKE5PVyxOT1csRlNBLCxVU0QpQEZGX05FVF9JTkMoTFRNUywwLCwsLFVTRCkp&amp;WINDOW=F","IRST_POPUP&amp;HEIGHT=450&amp;WIDTH=450&amp;START_MAXIMIZED=FALSE&amp;VAR:CALENDAR=US&amp;VAR:SYMBOL=VCST&amp;VAR:INDEX=0"}</definedName>
    <definedName function="false" hidden="true" name="_2976__FDSAUDITLINK__" vbProcedure="false">{"fdsup://directions/FAT Viewer?action=UPDATE&amp;creator=factset&amp;DYN_ARGS=TRUE&amp;DOC_NAME=FAT:FQL_AUDITING_CLIENT_TEMPLATE.FAT&amp;display_string=Audit&amp;VAR:KEY=DCZCVYNIJC&amp;VAR:QUERY=KEZTTF9ORVRfSU5DKE5PVyxOT1csRlNBLCxVU0QpQEZGX05FVF9JTkMoTFRNUywwLCwsLFVTRCkp&amp;WINDOW=F","IRST_POPUP&amp;HEIGHT=450&amp;WIDTH=450&amp;START_MAXIMIZED=FALSE&amp;VAR:CALENDAR=US&amp;VAR:SYMBOL=NENG&amp;VAR:INDEX=0"}</definedName>
    <definedName function="false" hidden="true" name="_2977__FDSAUDITLINK__" vbProcedure="false">{"fdsup://directions/FAT Viewer?action=UPDATE&amp;creator=factset&amp;DYN_ARGS=TRUE&amp;DOC_NAME=FAT:FQL_AUDITING_CLIENT_TEMPLATE.FAT&amp;display_string=Audit&amp;VAR:KEY=FUFEXYXIZW&amp;VAR:QUERY=KEZTTF9ORVRfSU5DKE5PVyxOT1csRlNBLCxVU0QpQEZGX05FVF9JTkMoTFRNUywwLCwsLFVTRCkp&amp;WINDOW=F","IRST_POPUP&amp;HEIGHT=450&amp;WIDTH=450&amp;START_MAXIMIZED=FALSE&amp;VAR:CALENDAR=US&amp;VAR:SYMBOL=SMCI&amp;VAR:INDEX=0"}</definedName>
    <definedName function="false" hidden="true" name="_2978__FDSAUDITLINK__" vbProcedure="false">{"fdsup://directions/FAT Viewer?action=UPDATE&amp;creator=factset&amp;DYN_ARGS=TRUE&amp;DOC_NAME=FAT:FQL_AUDITING_CLIENT_TEMPLATE.FAT&amp;display_string=Audit&amp;VAR:KEY=KPKFSLGVCL&amp;VAR:QUERY=KEZTTF9ORVRfSU5DKE5PVyxOT1csRlNBLCxVU0QpQEZGX05FVF9JTkMoTFRNUywwLCwsLFVTRCkp&amp;WINDOW=F","IRST_POPUP&amp;HEIGHT=450&amp;WIDTH=450&amp;START_MAXIMIZED=FALSE&amp;VAR:CALENDAR=US&amp;VAR:SYMBOL=NZ&amp;VAR:INDEX=0"}</definedName>
    <definedName function="false" hidden="true" name="_2979__FDSAUDITLINK__" vbProcedure="false">{"fdsup://directions/FAT Viewer?action=UPDATE&amp;creator=factset&amp;DYN_ARGS=TRUE&amp;DOC_NAME=FAT:FQL_AUDITING_CLIENT_TEMPLATE.FAT&amp;display_string=Audit&amp;VAR:KEY=NAXAZABO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CST&amp;VAR:INDEX=0"}</definedName>
    <definedName function="false" hidden="true" name="_297__FDSAUDITLINK__" vbProcedure="false">{"fdsup://directions/FAT Viewer?action=UPDATE&amp;creator=factset&amp;DYN_ARGS=TRUE&amp;DOC_NAME=FAT:FQL_AUDITING_CLIENT_TEMPLATE.FAT&amp;display_string=Audit&amp;VAR:KEY=ZWHQTYHGBU&amp;VAR:QUERY=RkZfRUJJVERBX09QRVIoTFRNLDAsLCwsVVNEKQ==&amp;WINDOW=FIRST_POPUP&amp;HEIGHT=450&amp;WIDTH=450&amp;STAR","T_MAXIMIZED=FALSE&amp;VAR:CALENDAR=US&amp;VAR:SYMBOL=QEP&amp;VAR:INDEX=0"}</definedName>
    <definedName function="false" hidden="true" name="_2980__FDSAUDITLINK__" vbProcedure="false">{"fdsup://directions/FAT Viewer?action=UPDATE&amp;creator=factset&amp;DYN_ARGS=TRUE&amp;DOC_NAME=FAT:FQL_AUDITING_CLIENT_TEMPLATE.FAT&amp;display_string=Audit&amp;VAR:KEY=XWVUHMPG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ENG&amp;VAR:INDEX=0"}</definedName>
    <definedName function="false" hidden="true" name="_2981__FDSAUDITLINK__" vbProcedure="false">{"fdsup://directions/FAT Viewer?action=UPDATE&amp;creator=factset&amp;DYN_ARGS=TRUE&amp;DOC_NAME=FAT:FQL_AUDITING_CLIENT_TEMPLATE.FAT&amp;display_string=Audit&amp;VAR:KEY=LKRYTMTY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MCI&amp;VAR:INDEX=0"}</definedName>
    <definedName function="false" hidden="true" name="_2982__FDSAUDITLINK__" vbProcedure="false">{"fdsup://directions/FAT Viewer?action=UPDATE&amp;creator=factset&amp;DYN_ARGS=TRUE&amp;DOC_NAME=FAT:FQL_AUDITING_CLIENT_TEMPLATE.FAT&amp;display_string=Audit&amp;VAR:KEY=OPWDKJCPS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Z&amp;VAR:INDEX=0"}</definedName>
    <definedName function="false" hidden="true" name="_2983__FDSAUDITLINK__" vbProcedure="false">{"fdsup://Directions/FactSet Auditing Viewer?action=AUDIT_VALUE&amp;DB=129&amp;ID1=92671310&amp;VALUEID=02001&amp;SDATE=201002&amp;PERIODTYPE=QTR_STD&amp;window=popup_no_bar&amp;width=385&amp;height=120&amp;START_MAXIMIZED=FALSE&amp;creator=factset&amp;display_string=Audit"}</definedName>
    <definedName function="false" hidden="true" name="_2984__FDSAUDITLINK__" vbProcedure="false">{"fdsup://Directions/FactSet Auditing Viewer?action=AUDIT_VALUE&amp;DB=129&amp;ID1=64121A10&amp;VALUEID=02001&amp;SDATE=201003&amp;PERIODTYPE=QTR_STD&amp;window=popup_no_bar&amp;width=385&amp;height=120&amp;START_MAXIMIZED=FALSE&amp;creator=factset&amp;display_string=Audit"}</definedName>
    <definedName function="false" hidden="true" name="_2985__FDSAUDITLINK__" vbProcedure="false">{"fdsup://Directions/FactSet Auditing Viewer?action=AUDIT_VALUE&amp;DB=129&amp;ID1=86800U10&amp;VALUEID=02001&amp;SDATE=201004&amp;PERIODTYPE=QTR_STD&amp;window=popup_no_bar&amp;width=385&amp;height=120&amp;START_MAXIMIZED=FALSE&amp;creator=factset&amp;display_string=Audit"}</definedName>
    <definedName function="false" hidden="true" name="_2986__FDSAUDITLINK__" vbProcedure="false">{"fdsup://Directions/FactSet Auditing Viewer?action=AUDIT_VALUE&amp;DB=129&amp;ID1=64111N10&amp;VALUEID=02001&amp;SDATE=201002&amp;PERIODTYPE=QTR_STD&amp;window=popup_no_bar&amp;width=385&amp;height=120&amp;START_MAXIMIZED=FALSE&amp;creator=factset&amp;display_string=Audit"}</definedName>
    <definedName function="false" hidden="true" name="_2987__FDSAUDITLINK__" vbProcedure="false">{"fdsup://Directions/FactSet Auditing Viewer?action=AUDIT_VALUE&amp;DB=129&amp;ID1=599732&amp;VALUEID=02001&amp;SDATE=201001&amp;PERIODTYPE=SEMI_STD&amp;window=popup_no_bar&amp;width=385&amp;height=120&amp;START_MAXIMIZED=FALSE&amp;creator=factset&amp;display_string=Audit"}</definedName>
    <definedName function="false" hidden="true" name="_2988__FDSAUDITLINK__" vbProcedure="false">{"fdsup://Directions/FactSet Auditing Viewer?action=AUDIT_VALUE&amp;DB=129&amp;ID1=90225210&amp;VALUEID=02001&amp;SDATE=201002&amp;PERIODTYPE=QTR_STD&amp;window=popup_no_bar&amp;width=385&amp;height=120&amp;START_MAXIMIZED=FALSE&amp;creator=factset&amp;display_string=Audit"}</definedName>
    <definedName function="false" hidden="true" name="_2989__FDSAUDITLINK__" vbProcedure="false">{"fdsup://Directions/FactSet Auditing Viewer?action=AUDIT_VALUE&amp;DB=129&amp;ID1=45764220&amp;VALUEID=02001&amp;SDATE=201002&amp;PERIODTYPE=QTR_STD&amp;window=popup_no_bar&amp;width=385&amp;height=120&amp;START_MAXIMIZED=FALSE&amp;creator=factset&amp;display_string=Audit"}</definedName>
    <definedName function="false" hidden="true" name="_298__FDSAUDITLINK__" vbProcedure="false">{"fdsup://directions/FAT Viewer?action=UPDATE&amp;creator=factset&amp;DYN_ARGS=TRUE&amp;DOC_NAME=FAT:FQL_AUDITING_CLIENT_TEMPLATE.FAT&amp;display_string=Audit&amp;VAR:KEY=NMXYXOLIBQ&amp;VAR:QUERY=RkZfRUJJVERBX09QRVIoTFRNLDAsLCwsVVNEKQ==&amp;WINDOW=FIRST_POPUP&amp;HEIGHT=450&amp;WIDTH=450&amp;STAR","T_MAXIMIZED=FALSE&amp;VAR:CALENDAR=US&amp;VAR:SYMBOL=TPX&amp;VAR:INDEX=0"}</definedName>
    <definedName function="false" hidden="true" name="_2990__FDSAUDITLINK__" vbProcedure="false">{"fdsup://directions/FAT Viewer?action=UPDATE&amp;creator=factset&amp;DYN_ARGS=TRUE&amp;DOC_NAME=FAT:FQL_AUDITING_CLIENT_TEMPLATE.FAT&amp;display_string=Audit&amp;VAR:KEY=XMPQZUXS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1151C10&amp;VAR:INDEX=0"}</definedName>
    <definedName function="false" hidden="true" name="_2991__FDSAUDITLINK__" vbProcedure="false">{"fdsup://directions/FAT Viewer?action=UPDATE&amp;creator=factset&amp;DYN_ARGS=TRUE&amp;DOC_NAME=FAT:FQL_AUDITING_CLIENT_TEMPLATE.FAT&amp;display_string=Audit&amp;VAR:KEY=PCJSFAJQ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TC&amp;VAR:INDEX=0"}</definedName>
    <definedName function="false" hidden="true" name="_2992__FDSAUDITLINK__" vbProcedure="false">{"fdsup://directions/FAT Viewer?action=UPDATE&amp;creator=factset&amp;DYN_ARGS=TRUE&amp;DOC_NAME=FAT:FQL_AUDITING_CLIENT_TEMPLATE.FAT&amp;display_string=Audit&amp;VAR:KEY=LWLCZCHYHG&amp;VAR:QUERY=KEZTTF9ORVRfSU5DKE5PVyxOT1csRlNBLCxVU0QpQEZGX05FVF9JTkMoTFRNUywwLCwsLFVTRCkp&amp;WINDOW=F","IRST_POPUP&amp;HEIGHT=450&amp;WIDTH=450&amp;START_MAXIMIZED=FALSE&amp;VAR:CALENDAR=US&amp;VAR:SYMBOL=CRAI&amp;VAR:INDEX=0"}</definedName>
    <definedName function="false" hidden="true" name="_2993__FDSAUDITLINK__" vbProcedure="false">{"fdsup://directions/FAT Viewer?action=UPDATE&amp;creator=factset&amp;DYN_ARGS=TRUE&amp;DOC_NAME=FAT:FQL_AUDITING_CLIENT_TEMPLATE.FAT&amp;display_string=Audit&amp;VAR:KEY=POPUHMXG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C&amp;VAR:INDEX=0"}</definedName>
    <definedName function="false" hidden="true" name="_2994__FDSAUDITLINK__" vbProcedure="false">{"fdsup://directions/FAT Viewer?action=UPDATE&amp;creator=factset&amp;DYN_ARGS=TRUE&amp;DOC_NAME=FAT:FQL_AUDITING_CLIENT_TEMPLATE.FAT&amp;display_string=Audit&amp;VAR:KEY=LWFAVMLO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BM&amp;VAR:INDEX=0"}</definedName>
    <definedName function="false" hidden="true" name="_2995__FDSAUDITLINK__" vbProcedure="false">{"fdsup://directions/FAT Viewer?action=UPDATE&amp;creator=factset&amp;DYN_ARGS=TRUE&amp;DOC_NAME=FAT:FQL_AUDITING_CLIENT_TEMPLATE.FAT&amp;display_string=Audit&amp;VAR:KEY=DETURSZU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GX&amp;VAR:INDEX=0"}</definedName>
    <definedName function="false" hidden="true" name="_2996__FDSAUDITLINK__" vbProcedure="false">{"fdsup://Directions/FactSet Auditing Viewer?action=AUDIT_VALUE&amp;DB=129&amp;ID1=12480510&amp;VALUEID=02001&amp;SDATE=201002&amp;PERIODTYPE=QTR_STD&amp;window=popup_no_bar&amp;width=385&amp;height=120&amp;START_MAXIMIZED=FALSE&amp;creator=factset&amp;display_string=Audit"}</definedName>
    <definedName function="false" hidden="true" name="_2997__FDSAUDITLINK__" vbProcedure="false">{"fdsup://Directions/FactSet Auditing Viewer?action=AUDIT_VALUE&amp;DB=129&amp;ID1=88076W10&amp;VALUEID=02001&amp;SDATE=201002&amp;PERIODTYPE=QTR_STD&amp;window=popup_no_bar&amp;width=385&amp;height=120&amp;START_MAXIMIZED=FALSE&amp;creator=factset&amp;display_string=Audit"}</definedName>
    <definedName function="false" hidden="true" name="_2998__FDSAUDITLINK__" vbProcedure="false">{"fdsup://Directions/FactSet Auditing Viewer?action=AUDIT_VALUE&amp;DB=129&amp;ID1=20536310&amp;VALUEID=02001&amp;SDATE=201001&amp;PERIODTYPE=QTR_STD&amp;window=popup_no_bar&amp;width=385&amp;height=120&amp;START_MAXIMIZED=FALSE&amp;creator=factset&amp;display_string=Audit"}</definedName>
    <definedName function="false" hidden="true" name="_2999__FDSAUDITLINK__" vbProcedure="false">{"fdsup://Directions/FactSet Auditing Viewer?action=AUDIT_VALUE&amp;DB=129&amp;ID1=G1151C10&amp;VALUEID=02001&amp;SDATE=201004&amp;PERIODTYPE=QTR_STD&amp;window=popup_no_bar&amp;width=385&amp;height=120&amp;START_MAXIMIZED=FALSE&amp;creator=factset&amp;display_string=Audit"}</definedName>
    <definedName function="false" hidden="true" name="_299__FDSAUDITLINK__" vbProcedure="false">{"fdsup://directions/FAT Viewer?action=UPDATE&amp;creator=factset&amp;DYN_ARGS=TRUE&amp;DOC_NAME=FAT:FQL_AUDITING_CLIENT_TEMPLATE.FAT&amp;display_string=Audit&amp;VAR:KEY=ZUBEPGJCRA&amp;VAR:QUERY=RkZfRUJJVERBX09QRVIoTFRNLDAsLCwsVVNEKQ==&amp;WINDOW=FIRST_POPUP&amp;HEIGHT=450&amp;WIDTH=450&amp;STAR","T_MAXIMIZED=FALSE&amp;VAR:CALENDAR=US&amp;VAR:SYMBOL=CRZO&amp;VAR:INDEX=0"}</definedName>
    <definedName function="false" hidden="true" name="_29__123Graph_DDIAGR_10" vbProcedure="false">#REF!</definedName>
    <definedName function="false" hidden="true" name="_29__FDSAUDITLINK__" vbProcedure="false">{"fdsup://directions/FAT Viewer?action=UPDATE&amp;creator=factset&amp;DYN_ARGS=TRUE&amp;DOC_NAME=FAT:FQL_AUDITING_CLIENT_TEMPLATE.FAT&amp;display_string=Audit&amp;VAR:KEY=KBYZORMPCH&amp;VAR:QUERY=RkZfRUJJVERBX09QRVIoTFRNLDAsLCwsVVNEKQ==&amp;WINDOW=FIRST_POPUP&amp;HEIGHT=450&amp;WIDTH=450&amp;STAR","T_MAXIMIZED=FALSE&amp;VAR:CALENDAR=US&amp;VAR:SYMBOL=CSFS&amp;VAR:INDEX=0"}</definedName>
    <definedName function="false" hidden="true" name="_2__123Graph_AADV_GDPR" vbProcedure="false">#REF!</definedName>
    <definedName function="false" hidden="true" name="_2__123Graph_ACHART_1" vbProcedure="false">#REF!</definedName>
    <definedName function="false" hidden="true" name="_2__123Graph_AChart_1A" vbProcedure="false">#REF!</definedName>
    <definedName function="false" hidden="true" name="_2__123Graph_ACHART_2" vbProcedure="false">#REF!</definedName>
    <definedName function="false" hidden="true" name="_2__123Graph_AChart_58B" vbProcedure="false">#REF!</definedName>
    <definedName function="false" hidden="true" name="_2__123Graph_A_FABP_L.WK1_FAB" vbProcedure="false">#REF!</definedName>
    <definedName function="false" hidden="true" name="_2__123Graph_BCHART_1" vbProcedure="false">#REF!</definedName>
    <definedName function="false" hidden="true" name="_2__123Graph_CCHART_1" vbProcedure="false">#REF!</definedName>
    <definedName function="false" hidden="true" name="_2__FDSAUDITLINK__" vbProcedure="false">{"fdsup://directions/FAT Viewer?action=UPDATE&amp;creator=factset&amp;DYN_ARGS=TRUE&amp;DOC_NAME=FAT:FQL_AUDITING_CLIENT_TEMPLATE.FAT&amp;display_string=Audit&amp;VAR:KEY=TKPODQTYNY&amp;VAR:QUERY=KEZTTF9ORVRfSU5DKE5PVyxOT1csRlNBLCxVU0QpQEZGX05FVF9JTkMoTFRNUywwLCwsLFVTRCkp&amp;WINDOW=F","IRST_POPUP&amp;HEIGHT=450&amp;WIDTH=450&amp;START_MAXIMIZED=FALSE&amp;VAR:CALENDAR=US&amp;VAR:SYMBOL=NWK&amp;VAR:INDEX=0"}</definedName>
    <definedName function="false" hidden="true" name="_2___123Graph_AChart_58B" vbProcedure="false">#REF!</definedName>
    <definedName function="false" hidden="true" name="_2____123Graph_BCHART_1A" vbProcedure="false">#REF!</definedName>
    <definedName function="false" hidden="true" name="_3000__FDSAUDITLINK__" vbProcedure="false">{"fdsup://Directions/FactSet Auditing Viewer?action=AUDIT_VALUE&amp;DB=129&amp;ID1=42823610&amp;VALUEID=02001&amp;SDATE=201003&amp;PERIODTYPE=QTR_STD&amp;window=popup_no_bar&amp;width=385&amp;height=120&amp;START_MAXIMIZED=FALSE&amp;creator=factset&amp;display_string=Audit"}</definedName>
    <definedName function="false" hidden="true" name="_3001__FDSAUDITLINK__" vbProcedure="false">{"fdsup://directions/FAT Viewer?action=UPDATE&amp;creator=factset&amp;DYN_ARGS=TRUE&amp;DOC_NAME=FAT:FQL_AUDITING_CLIENT_TEMPLATE.FAT&amp;display_string=Audit&amp;VAR:KEY=NSBCHGZCFA&amp;VAR:QUERY=KEZTTF9ORVRfSU5DKE5PVyxOT1csRlNBLCxVU0QpQEZGX05FVF9JTkMoTFRNUywwLCwsLFVTRCkp&amp;WINDOW=F","IRST_POPUP&amp;HEIGHT=450&amp;WIDTH=450&amp;START_MAXIMIZED=FALSE&amp;VAR:CALENDAR=US&amp;VAR:SYMBOL=12719030&amp;VAR:INDEX=0"}</definedName>
    <definedName function="false" hidden="true" name="_3002__FDSAUDITLINK__" vbProcedure="false">{"fdsup://directions/FAT Viewer?action=UPDATE&amp;creator=factset&amp;DYN_ARGS=TRUE&amp;DOC_NAME=FAT:FQL_AUDITING_CLIENT_TEMPLATE.FAT&amp;display_string=Audit&amp;VAR:KEY=PADUPWVUPY&amp;VAR:QUERY=KEZTTF9ORVRfSU5DKE5PVyxOT1csRlNBLCxVU0QpQEZGX05FVF9JTkMoTFRNUywwLCwsLFVTRCkp&amp;WINDOW=F","IRST_POPUP&amp;HEIGHT=450&amp;WIDTH=450&amp;START_MAXIMIZED=FALSE&amp;VAR:CALENDAR=US&amp;VAR:SYMBOL=00512510&amp;VAR:INDEX=0"}</definedName>
    <definedName function="false" hidden="true" name="_3003__FDSAUDITLINK__" vbProcedure="false">{"fdsup://directions/FAT Viewer?action=UPDATE&amp;creator=factset&amp;DYN_ARGS=TRUE&amp;DOC_NAME=FAT:FQL_AUDITING_CLIENT_TEMPLATE.FAT&amp;display_string=Audit&amp;VAR:KEY=PGVGPKJK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80306210&amp;VAR:INDEX=0"}</definedName>
    <definedName function="false" hidden="true" name="_3004__FDSAUDITLINK__" vbProcedure="false">{"fdsup://directions/FAT Viewer?action=UPDATE&amp;creator=factset&amp;DYN_ARGS=TRUE&amp;DOC_NAME=FAT:FQL_AUDITING_CLIENT_TEMPLATE.FAT&amp;display_string=Audit&amp;VAR:KEY=XIBUVQXK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00512510&amp;VAR:INDEX=0"}</definedName>
    <definedName function="false" hidden="true" name="_3005__FDSAUDITLINK__" vbProcedure="false">{"fdsup://Directions/FactSet Auditing Viewer?action=AUDIT_VALUE&amp;DB=129&amp;ID1=90921430&amp;VALUEID=02001&amp;SDATE=201002&amp;PERIODTYPE=QTR_STD&amp;window=popup_no_bar&amp;width=385&amp;height=120&amp;START_MAXIMIZED=FALSE&amp;creator=factset&amp;display_string=Audit"}</definedName>
    <definedName function="false" hidden="true" name="_3006__FDSAUDITLINK__" vbProcedure="false">{"fdsup://directions/FAT Viewer?action=UPDATE&amp;creator=factset&amp;DYN_ARGS=TRUE&amp;DOC_NAME=FAT:FQL_AUDITING_CLIENT_TEMPLATE.FAT&amp;display_string=Audit&amp;VAR:KEY=TIHKVEBE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LOY&amp;VAR:INDEX=0"}</definedName>
    <definedName function="false" hidden="true" name="_3007__FDSAUDITLINK__" vbProcedure="false">{"fdsup://Directions/FactSet Auditing Viewer?action=AUDIT_VALUE&amp;DB=129&amp;ID1=28035810&amp;VALUEID=02001&amp;SDATE=201002&amp;PERIODTYPE=QTR_STD&amp;window=popup_no_bar&amp;width=385&amp;height=120&amp;START_MAXIMIZED=FALSE&amp;creator=factset&amp;display_string=Audit"}</definedName>
    <definedName function="false" hidden="true" name="_3008__FDSAUDITLINK__" vbProcedure="false">{"fdsup://directions/FAT Viewer?action=UPDATE&amp;creator=factset&amp;DYN_ARGS=TRUE&amp;DOC_NAME=FAT:FQL_AUDITING_CLIENT_TEMPLATE.FAT&amp;display_string=Audit&amp;VAR:KEY=ZIHAROBETI&amp;VAR:QUERY=KEZTTF9ORVRfSU5DKE5PVyxOT1csRlNBLCxVU0QpQEZGX05FVF9JTkMoTFRNUywwLCwsLFVTRCkp&amp;WINDOW=F","IRST_POPUP&amp;HEIGHT=450&amp;WIDTH=450&amp;START_MAXIMIZED=FALSE&amp;VAR:CALENDAR=US&amp;VAR:SYMBOL=XPRT&amp;VAR:INDEX=0"}</definedName>
    <definedName function="false" hidden="true" name="_3009__FDSAUDITLINK__" vbProcedure="false">{"fdsup://directions/FAT Viewer?action=UPDATE&amp;creator=factset&amp;DYN_ARGS=TRUE&amp;DOC_NAME=FAT:FQL_AUDITING_CLIENT_TEMPLATE.FAT&amp;display_string=Audit&amp;VAR:KEY=ZMBIZARSHE&amp;VAR:QUERY=KEZTTF9ORVRfSU5DKE5PVyxOT1csRlNBLCxVU0QpQEZGX05FVF9JTkMoTFRNUywwLCwsLFVTRCkp&amp;WINDOW=F","IRST_POPUP&amp;HEIGHT=450&amp;WIDTH=450&amp;START_MAXIMIZED=FALSE&amp;VAR:CALENDAR=US&amp;VAR:SYMBOL=12480510&amp;VAR:INDEX=0"}</definedName>
    <definedName function="false" hidden="true" name="_300__FDSAUDITLINK__" vbProcedure="false">{"fdsup://directions/FAT Viewer?action=UPDATE&amp;creator=factset&amp;DYN_ARGS=TRUE&amp;DOC_NAME=FAT:FQL_AUDITING_CLIENT_TEMPLATE.FAT&amp;display_string=Audit&amp;VAR:KEY=NIHUBSBSJY&amp;VAR:QUERY=RkZfRUJJVERBX09QRVIoTFRNLDAsLCwsVVNEKQ==&amp;WINDOW=FIRST_POPUP&amp;HEIGHT=450&amp;WIDTH=450&amp;STAR","T_MAXIMIZED=FALSE&amp;VAR:CALENDAR=US&amp;VAR:SYMBOL=BGFV&amp;VAR:INDEX=0"}</definedName>
    <definedName function="false" hidden="true" name="_3010__FDSAUDITLINK__" vbProcedure="false">{"fdsup://directions/FAT Viewer?action=UPDATE&amp;creator=factset&amp;DYN_ARGS=TRUE&amp;DOC_NAME=FAT:FQL_AUDITING_CLIENT_TEMPLATE.FAT&amp;display_string=Audit&amp;VAR:KEY=PSTCXYTGNG&amp;VAR:QUERY=KEZTTF9ORVRfSU5DKE5PVyxOT1csRlNBLCxVU0QpQEZGX05FVF9JTkMoTFRNUywwLCwsLFVTRCkp&amp;WINDOW=F","IRST_POPUP&amp;HEIGHT=450&amp;WIDTH=450&amp;START_MAXIMIZED=FALSE&amp;VAR:CALENDAR=US&amp;VAR:SYMBOL=HURN&amp;VAR:INDEX=0"}</definedName>
    <definedName function="false" hidden="true" name="_3011__FDSAUDITLINK__" vbProcedure="false">{"fdsup://directions/FAT Viewer?action=UPDATE&amp;creator=factset&amp;DYN_ARGS=TRUE&amp;DOC_NAME=FAT:FQL_AUDITING_CLIENT_TEMPLATE.FAT&amp;display_string=Audit&amp;VAR:KEY=FSTWHILYLU&amp;VAR:QUERY=KEZTTF9ORVRfSU5DKE5PVyxOT1csRlNBLCxVU0QpQEZGX05FVF9JTkMoTFRNUywwLCwsLFVTRCkp&amp;WINDOW=F","IRST_POPUP&amp;HEIGHT=450&amp;WIDTH=450&amp;START_MAXIMIZED=FALSE&amp;VAR:CALENDAR=US&amp;VAR:SYMBOL=63935N10&amp;VAR:INDEX=0"}</definedName>
    <definedName function="false" hidden="true" name="_3012__FDSAUDITLINK__" vbProcedure="false">{"fdsup://directions/FAT Viewer?action=UPDATE&amp;creator=factset&amp;DYN_ARGS=TRUE&amp;DOC_NAME=FAT:FQL_AUDITING_CLIENT_TEMPLATE.FAT&amp;display_string=Audit&amp;VAR:KEY=PEHWHYRKRU&amp;VAR:QUERY=KEZTTF9ORVRfSU5DKE5PVyxOT1csRlNBLCxVU0QpQEZGX05FVF9JTkMoTFRNUywwLCwsLFVTRCkp&amp;WINDOW=F","IRST_POPUP&amp;HEIGHT=450&amp;WIDTH=450&amp;START_MAXIMIZED=FALSE&amp;VAR:CALENDAR=US&amp;VAR:SYMBOL=76122Q10&amp;VAR:INDEX=0"}</definedName>
    <definedName function="false" hidden="true" name="_3013__FDSAUDITLINK__" vbProcedure="false">{"fdsup://directions/FAT Viewer?action=UPDATE&amp;creator=factset&amp;DYN_ARGS=TRUE&amp;DOC_NAME=FAT:FQL_AUDITING_CLIENT_TEMPLATE.FAT&amp;display_string=Audit&amp;VAR:KEY=ZMVGFYVGVY&amp;VAR:QUERY=KEZTTF9ORVRfSU5DKE5PVyxOT1csRlNBLCxVU0QpQEZGX05FVF9JTkMoTFRNUywwLCwsLFVTRCkp&amp;WINDOW=F","IRST_POPUP&amp;HEIGHT=450&amp;WIDTH=450&amp;START_MAXIMIZED=FALSE&amp;VAR:CALENDAR=US&amp;VAR:SYMBOL=30294110&amp;VAR:INDEX=0"}</definedName>
    <definedName function="false" hidden="true" name="_3014__FDSAUDITLINK__" vbProcedure="false">{"fdsup://directions/FAT Viewer?action=UPDATE&amp;creator=factset&amp;DYN_ARGS=TRUE&amp;DOC_NAME=FAT:FQL_AUDITING_CLIENT_TEMPLATE.FAT&amp;display_string=Audit&amp;VAR:KEY=RINMXIFSX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PRT&amp;VAR:INDEX=0"}</definedName>
    <definedName function="false" hidden="true" name="_3015__FDSAUDITLINK__" vbProcedure="false">{"fdsup://directions/FAT Viewer?action=UPDATE&amp;creator=factset&amp;DYN_ARGS=TRUE&amp;DOC_NAME=FAT:FQL_AUDITING_CLIENT_TEMPLATE.FAT&amp;display_string=Audit&amp;VAR:KEY=PWPUNMLM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OI&amp;VAR:INDEX=0"}</definedName>
    <definedName function="false" hidden="true" name="_3016__FDSAUDITLINK__" vbProcedure="false">{"fdsup://directions/FAT Viewer?action=UPDATE&amp;creator=factset&amp;DYN_ARGS=TRUE&amp;DOC_NAME=FAT:FQL_AUDITING_CLIENT_TEMPLATE.FAT&amp;display_string=Audit&amp;VAR:KEY=JIDYRCLQZ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12480510&amp;VAR:INDEX=0"}</definedName>
    <definedName function="false" hidden="true" name="_3017__FDSAUDITLINK__" vbProcedure="false">{"fdsup://directions/FAT Viewer?action=UPDATE&amp;creator=factset&amp;DYN_ARGS=TRUE&amp;DOC_NAME=FAT:FQL_AUDITING_CLIENT_TEMPLATE.FAT&amp;display_string=Audit&amp;VAR:KEY=LGLYRSPE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AI&amp;VAR:INDEX=0"}</definedName>
    <definedName function="false" hidden="true" name="_3018__FDSAUDITLINK__" vbProcedure="false">{"fdsup://directions/FAT Viewer?action=UPDATE&amp;creator=factset&amp;DYN_ARGS=TRUE&amp;DOC_NAME=FAT:FQL_AUDITING_CLIENT_TEMPLATE.FAT&amp;display_string=Audit&amp;VAR:KEY=VCDIHSHG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R&amp;VAR:INDEX=0"}</definedName>
    <definedName function="false" hidden="true" name="_3019__FDSAUDITLINK__" vbProcedure="false">{"fdsup://Directions/FactSet Auditing Viewer?action=AUDIT_VALUE&amp;DB=129&amp;ID1=45675Y10&amp;VALUEID=02001&amp;SDATE=201002&amp;PERIODTYPE=QTR_STD&amp;window=popup_no_bar&amp;width=385&amp;height=120&amp;START_MAXIMIZED=FALSE&amp;creator=factset&amp;display_string=Audit"}</definedName>
    <definedName function="false" hidden="true" name="_301__FDSAUDITLINK__" vbProcedure="false">{"fdsup://directions/FAT Viewer?action=UPDATE&amp;creator=factset&amp;DYN_ARGS=TRUE&amp;DOC_NAME=FAT:FQL_AUDITING_CLIENT_TEMPLATE.FAT&amp;display_string=Audit&amp;VAR:KEY=FKFSDYHWJE&amp;VAR:QUERY=RkZfRUJJVERBX09QRVIoTFRNLDAsLCwsVVNEKQ==&amp;WINDOW=FIRST_POPUP&amp;HEIGHT=450&amp;WIDTH=450&amp;STAR","T_MAXIMIZED=FALSE&amp;VAR:CALENDAR=US&amp;VAR:SYMBOL=NR&amp;VAR:INDEX=0"}</definedName>
    <definedName function="false" hidden="true" name="_3020__FDSAUDITLINK__" vbProcedure="false">{"fdsup://directions/FAT Viewer?action=UPDATE&amp;creator=factset&amp;DYN_ARGS=TRUE&amp;DOC_NAME=FAT:FQL_AUDITING_CLIENT_TEMPLATE.FAT&amp;display_string=Audit&amp;VAR:KEY=XCHWVAJGNC&amp;VAR:QUERY=KEZTTF9ORVRfSU5DKE5PVyxOT1csRlNBLCxVU0QpQEZGX05FVF9JTkMoTFRNUywwLCwsLFVTRCkp&amp;WINDOW=F","IRST_POPUP&amp;HEIGHT=450&amp;WIDTH=450&amp;START_MAXIMIZED=FALSE&amp;VAR:CALENDAR=US&amp;VAR:SYMBOL=ELOY&amp;VAR:INDEX=0"}</definedName>
    <definedName function="false" hidden="true" name="_3021__FDSAUDITLINK__" vbProcedure="false">{"fdsup://Directions/FactSet Auditing Viewer?action=AUDIT_VALUE&amp;DB=129&amp;ID1=52323410&amp;VALUEID=02001&amp;SDATE=201002&amp;PERIODTYPE=QTR_STD&amp;window=popup_no_bar&amp;width=385&amp;height=120&amp;START_MAXIMIZED=FALSE&amp;creator=factset&amp;display_string=Audit"}</definedName>
    <definedName function="false" hidden="true" name="_3022__FDSAUDITLINK__" vbProcedure="false">{"fdsup://directions/FAT Viewer?action=UPDATE&amp;creator=factset&amp;DYN_ARGS=TRUE&amp;DOC_NAME=FAT:FQL_AUDITING_CLIENT_TEMPLATE.FAT&amp;display_string=Audit&amp;VAR:KEY=JINIDEBQ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URN&amp;VAR:INDEX=0"}</definedName>
    <definedName function="false" hidden="true" name="_3023__FDSAUDITLINK__" vbProcedure="false">{"fdsup://Directions/FactSet Auditing Viewer?action=AUDIT_VALUE&amp;DB=129&amp;ID1=37946D20&amp;VALUEID=02001&amp;SDATE=201002&amp;PERIODTYPE=QTR_STD&amp;window=popup_no_bar&amp;width=385&amp;height=120&amp;START_MAXIMIZED=FALSE&amp;creator=factset&amp;display_string=Audit"}</definedName>
    <definedName function="false" hidden="true" name="_3024__FDSAUDITLINK__" vbProcedure="false">{"fdsup://directions/FAT Viewer?action=UPDATE&amp;creator=factset&amp;DYN_ARGS=TRUE&amp;DOC_NAME=FAT:FQL_AUDITING_CLIENT_TEMPLATE.FAT&amp;display_string=Audit&amp;VAR:KEY=NUVWJAJW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30294110&amp;VAR:INDEX=0"}</definedName>
    <definedName function="false" hidden="true" name="_3025__FDSAUDITLINK__" vbProcedure="false">{"fdsup://directions/FAT Viewer?action=UPDATE&amp;creator=factset&amp;DYN_ARGS=TRUE&amp;DOC_NAME=FAT:FQL_AUDITING_CLIENT_TEMPLATE.FAT&amp;display_string=Audit&amp;VAR:KEY=NSJYJINS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76122Q10&amp;VAR:INDEX=0"}</definedName>
    <definedName function="false" hidden="true" name="_3026__FDSAUDITLINK__" vbProcedure="false">{"fdsup://directions/FAT Viewer?action=UPDATE&amp;creator=factset&amp;DYN_ARGS=TRUE&amp;DOC_NAME=FAT:FQL_AUDITING_CLIENT_TEMPLATE.FAT&amp;display_string=Audit&amp;VAR:KEY=NCFKRERGZU&amp;VAR:QUERY=KEZTTF9ORVRfSU5DKE5PVyxOT1csRlNBLCxVU0QpQEZGX05FVF9JTkMoTFRNUywwLCwsLFVTRCkp&amp;WINDOW=F","IRST_POPUP&amp;HEIGHT=450&amp;WIDTH=450&amp;START_MAXIMIZED=FALSE&amp;VAR:CALENDAR=US&amp;VAR:SYMBOL=GLOI&amp;VAR:INDEX=0"}</definedName>
    <definedName function="false" hidden="true" name="_3027__FDSAUDITLINK__" vbProcedure="false">{"fdsup://Directions/FactSet Auditing Viewer?action=AUDIT_VALUE&amp;DB=129&amp;ID1=12618T10&amp;VALUEID=02001&amp;SDATE=201003&amp;PERIODTYPE=QTR_STD&amp;window=popup_no_bar&amp;width=385&amp;height=120&amp;START_MAXIMIZED=FALSE&amp;creator=factset&amp;display_string=Audit"}</definedName>
    <definedName function="false" hidden="true" name="_3028__FDSAUDITLINK__" vbProcedure="false">{"fdsup://Directions/FactSet Auditing Viewer?action=AUDIT_VALUE&amp;DB=129&amp;ID1=44746210&amp;VALUEID=02001&amp;SDATE=201002&amp;PERIODTYPE=QTR_STD&amp;window=popup_no_bar&amp;width=385&amp;height=120&amp;START_MAXIMIZED=FALSE&amp;creator=factset&amp;display_string=Audit"}</definedName>
    <definedName function="false" hidden="true" name="_3029__FDSAUDITLINK__" vbProcedure="false">{"fdsup://Directions/FactSet Auditing Viewer?action=AUDIT_VALUE&amp;DB=129&amp;ID1=63935N10&amp;VALUEID=02001&amp;SDATE=201002&amp;PERIODTYPE=QTR_STD&amp;window=popup_no_bar&amp;width=385&amp;height=120&amp;START_MAXIMIZED=FALSE&amp;creator=factset&amp;display_string=Audit"}</definedName>
    <definedName function="false" hidden="true" name="_302__FDSAUDITLINK__" vbProcedure="false">{"fdsup://directions/FAT Viewer?action=UPDATE&amp;creator=factset&amp;DYN_ARGS=TRUE&amp;DOC_NAME=FAT:FQL_AUDITING_CLIENT_TEMPLATE.FAT&amp;display_string=Audit&amp;VAR:KEY=NCZQBYVIFG&amp;VAR:QUERY=RkZfRUJJVERBX09QRVIoTFRNLDAsLCwsVVNEKQ==&amp;WINDOW=FIRST_POPUP&amp;HEIGHT=450&amp;WIDTH=450&amp;STAR","T_MAXIMIZED=FALSE&amp;VAR:CALENDAR=US&amp;VAR:SYMBOL=PQ&amp;VAR:INDEX=0"}</definedName>
    <definedName function="false" hidden="true" name="_3030__FDSAUDITLINK__" vbProcedure="false">{"fdsup://Directions/FactSet Auditing Viewer?action=AUDIT_VALUE&amp;DB=129&amp;ID1=76122Q10&amp;VALUEID=02001&amp;SDATE=201001&amp;PERIODTYPE=QTR_STD&amp;window=popup_no_bar&amp;width=385&amp;height=120&amp;START_MAXIMIZED=FALSE&amp;creator=factset&amp;display_string=Audit"}</definedName>
    <definedName function="false" hidden="true" name="_3031__FDSAUDITLINK__" vbProcedure="false">{"fdsup://Directions/FactSet Auditing Viewer?action=AUDIT_VALUE&amp;DB=129&amp;ID1=30294110&amp;VALUEID=02001&amp;SDATE=201002&amp;PERIODTYPE=QTR_STD&amp;window=popup_no_bar&amp;width=385&amp;height=120&amp;START_MAXIMIZED=FALSE&amp;creator=factset&amp;display_string=Audit"}</definedName>
    <definedName function="false" hidden="true" name="_3037__FDSAUDITLINK__" vbProcedure="false">{"fdsup://directions/FAT Viewer?action=UPDATE&amp;creator=factset&amp;DYN_ARGS=TRUE&amp;DOC_NAME=FAT:FQL_AUDITING_CLIENT_TEMPLATE.FAT&amp;display_string=Audit&amp;VAR:KEY=ZENKBYTITY&amp;VAR:QUERY=KEZTTF9ORVRfSU5DKE5PVyxOT1csRlNBLCxVU0QpQEZGX05FVF9JTkMoTFRNUywwLCwsLFVTRCkp&amp;WINDOW=F","IRST_POPUP&amp;HEIGHT=450&amp;WIDTH=450&amp;START_MAXIMIZED=FALSE&amp;VAR:CALENDAR=US&amp;VAR:SYMBOL=20038K10&amp;VAR:INDEX=0"}</definedName>
    <definedName function="false" hidden="true" name="_3039__FDSAUDITLINK__" vbProcedure="false">{"fdsup://Directions/FactSet Auditing Viewer?action=AUDIT_VALUE&amp;DB=129&amp;ID1=44379210&amp;VALUEID=02001&amp;SDATE=201002&amp;PERIODTYPE=QTR_STD&amp;window=popup_no_bar&amp;width=385&amp;height=120&amp;START_MAXIMIZED=FALSE&amp;creator=factset&amp;display_string=Audit"}</definedName>
    <definedName function="false" hidden="true" name="_303__FDSAUDITLINK__" vbProcedure="false">{"fdsup://directions/FAT Viewer?action=UPDATE&amp;creator=factset&amp;DYN_ARGS=TRUE&amp;DOC_NAME=FAT:FQL_AUDITING_CLIENT_TEMPLATE.FAT&amp;display_string=Audit&amp;VAR:KEY=TABKXQHEVC&amp;VAR:QUERY=RkZfRUJJVERBX09QRVIoTFRNLDAsLCwsVVNEKQ==&amp;WINDOW=FIRST_POPUP&amp;HEIGHT=450&amp;WIDTH=450&amp;STAR","T_MAXIMIZED=FALSE&amp;VAR:CALENDAR=US&amp;VAR:SYMBOL=MXWL&amp;VAR:INDEX=0"}</definedName>
    <definedName function="false" hidden="true" name="_3041__FDSAUDITLINK__" vbProcedure="false">{"fdsup://directions/FAT Viewer?action=UPDATE&amp;creator=factset&amp;DYN_ARGS=TRUE&amp;DOC_NAME=FAT:FQL_AUDITING_CLIENT_TEMPLATE.FAT&amp;display_string=Audit&amp;VAR:KEY=LEFANQXE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44379210&amp;VAR:INDEX=0"}</definedName>
    <definedName function="false" hidden="true" name="_3043__FDSAUDITLINK__" vbProcedure="false">{"fdsup://directions/FAT Viewer?action=UPDATE&amp;creator=factset&amp;DYN_ARGS=TRUE&amp;DOC_NAME=FAT:FQL_AUDITING_CLIENT_TEMPLATE.FAT&amp;display_string=Audit&amp;VAR:KEY=NEHSDUFMHW&amp;VAR:QUERY=KEZTTF9ORVRfSU5DKE5PVyxOT1csRlNBLCxVU0QpQEZGX05FVF9JTkMoTFRNUywwLCwsLFVTRCkp&amp;WINDOW=F","IRST_POPUP&amp;HEIGHT=450&amp;WIDTH=450&amp;START_MAXIMIZED=FALSE&amp;VAR:CALENDAR=US&amp;VAR:SYMBOL=44379210&amp;VAR:INDEX=0"}</definedName>
    <definedName function="false" hidden="true" name="_3045__FDSAUDITLINK__" vbProcedure="false">{"fdsup://Directions/FactSet Auditing Viewer?action=AUDIT_VALUE&amp;DB=129&amp;ID1=48815220&amp;VALUEID=02001&amp;SDATE=201002&amp;PERIODTYPE=QTR_STD&amp;window=popup_no_bar&amp;width=385&amp;height=120&amp;START_MAXIMIZED=FALSE&amp;creator=factset&amp;display_string=Audit"}</definedName>
    <definedName function="false" hidden="true" name="_3047__FDSAUDITLINK__" vbProcedure="false">{"fdsup://directions/FAT Viewer?action=UPDATE&amp;creator=factset&amp;DYN_ARGS=TRUE&amp;DOC_NAME=FAT:FQL_AUDITING_CLIENT_TEMPLATE.FAT&amp;display_string=Audit&amp;VAR:KEY=FCHULIBI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48815220&amp;VAR:INDEX=0"}</definedName>
    <definedName function="false" hidden="true" name="_3049__FDSAUDITLINK__" vbProcedure="false">{"fdsup://directions/FAT Viewer?action=UPDATE&amp;creator=factset&amp;DYN_ARGS=TRUE&amp;DOC_NAME=FAT:FQL_AUDITING_CLIENT_TEMPLATE.FAT&amp;display_string=Audit&amp;VAR:KEY=HKBGTCNYZO&amp;VAR:QUERY=KEZTTF9ORVRfSU5DKE5PVyxOT1csRlNBLCxVU0QpQEZGX05FVF9JTkMoTFRNUywwLCwsLFVTRCkp&amp;WINDOW=F","IRST_POPUP&amp;HEIGHT=450&amp;WIDTH=450&amp;START_MAXIMIZED=FALSE&amp;VAR:CALENDAR=US&amp;VAR:SYMBOL=48815220&amp;VAR:INDEX=0"}</definedName>
    <definedName function="false" hidden="true" name="_304__FDSAUDITLINK__" vbProcedure="false">{"fdsup://directions/FAT Viewer?action=UPDATE&amp;creator=factset&amp;DYN_ARGS=TRUE&amp;DOC_NAME=FAT:FQL_AUDITING_CLIENT_TEMPLATE.FAT&amp;display_string=Audit&amp;VAR:KEY=VSZABUZUVS&amp;VAR:QUERY=KEZTTF9ORVRfSU5DKE5PVyxOT1csRlNBLCxVU0QpQEZGX05FVF9JTkMoTFRNUywwLCwsLFVTRCkp&amp;WINDOW=F","IRST_POPUP&amp;HEIGHT=450&amp;WIDTH=450&amp;START_MAXIMIZED=FALSE&amp;VAR:CALENDAR=US&amp;VAR:SYMBOL=TUNE&amp;VAR:INDEX=0"}</definedName>
    <definedName function="false" hidden="true" name="_3050__FDSAUDITLINK__" vbProcedure="false">{"fdsup://directions/FAT Viewer?action=UPDATE&amp;creator=factset&amp;DYN_ARGS=TRUE&amp;DOC_NAME=FAT:FQL_AUDITING_CLIENT_TEMPLATE.FAT&amp;display_string=Audit&amp;VAR:KEY=PUXINSPIDA&amp;VAR:QUERY=KEZTTF9ORVRfSU5DKE5PVyxOT1csRlNBLCxVU0QpQEZGX05FVF9JTkMoTFRNUywwLCwsLFVTRCkp&amp;WINDOW=F","IRST_POPUP&amp;HEIGHT=450&amp;WIDTH=450&amp;START_MAXIMIZED=FALSE&amp;VAR:CALENDAR=US&amp;VAR:SYMBOL=77032310&amp;VAR:INDEX=0"}</definedName>
    <definedName function="false" hidden="true" name="_3051__FDSAUDITLINK__" vbProcedure="false">{"fdsup://directions/FAT Viewer?action=UPDATE&amp;creator=factset&amp;DYN_ARGS=TRUE&amp;DOC_NAME=FAT:FQL_AUDITING_CLIENT_TEMPLATE.FAT&amp;display_string=Audit&amp;VAR:KEY=VEDKDGPQLW&amp;VAR:QUERY=KEZTTF9ORVRfSU5DKE5PVyxOT1csRlNBLCxVU0QpQEZGX05FVF9JTkMoTFRNUywwLCwsLFVTRCkp&amp;WINDOW=F","IRST_POPUP&amp;HEIGHT=450&amp;WIDTH=450&amp;START_MAXIMIZED=FALSE&amp;VAR:CALENDAR=US&amp;VAR:SYMBOL=B0V3YH&amp;VAR:INDEX=0"}</definedName>
    <definedName function="false" hidden="true" name="_3052__FDSAUDITLINK__" vbProcedure="false">{"fdsup://directions/FAT Viewer?action=UPDATE&amp;creator=factset&amp;DYN_ARGS=TRUE&amp;DOC_NAME=FAT:FQL_AUDITING_CLIENT_TEMPLATE.FAT&amp;display_string=Audit&amp;VAR:KEY=LQNKZGZSNW&amp;VAR:QUERY=KEZTTF9ORVRfSU5DKE5PVyxOT1csRlNBLCxVU0QpQEZGX05FVF9JTkMoTFRNUywwLCwsLFVTRCkp&amp;WINDOW=F","IRST_POPUP&amp;HEIGHT=450&amp;WIDTH=450&amp;START_MAXIMIZED=FALSE&amp;VAR:CALENDAR=US&amp;VAR:SYMBOL=49373210&amp;VAR:INDEX=0"}</definedName>
    <definedName function="false" hidden="true" name="_3057__FDSAUDITLINK__" vbProcedure="false">{"fdsup://directions/FAT Viewer?action=UPDATE&amp;creator=factset&amp;DYN_ARGS=TRUE&amp;DOC_NAME=FAT:FQL_AUDITING_CLIENT_TEMPLATE.FAT&amp;display_string=Audit&amp;VAR:KEY=DQBCDKDO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01923A10&amp;VAR:INDEX=0"}</definedName>
    <definedName function="false" hidden="true" name="_3058__FDSAUDITLINK__" vbProcedure="false">{"fdsup://directions/FAT Viewer?action=UPDATE&amp;creator=factset&amp;DYN_ARGS=TRUE&amp;DOC_NAME=FAT:FQL_AUDITING_CLIENT_TEMPLATE.FAT&amp;display_string=Audit&amp;VAR:KEY=DIZSNKXKTY&amp;VAR:QUERY=KEZTTF9ORVRfSU5DKE5PVyxOT1csRlNBLCxVU0QpQEZGX05FVF9JTkMoTFRNUywwLCwsLFVTRCkp&amp;WINDOW=F","IRST_POPUP&amp;HEIGHT=450&amp;WIDTH=450&amp;START_MAXIMIZED=FALSE&amp;VAR:CALENDAR=US&amp;VAR:SYMBOL=B06965&amp;VAR:INDEX=0"}</definedName>
    <definedName function="false" hidden="true" name="_3059__FDSAUDITLINK__" vbProcedure="false">{"fdsup://directions/FAT Viewer?action=UPDATE&amp;creator=factset&amp;DYN_ARGS=TRUE&amp;DOC_NAME=FAT:FQL_AUDITING_CLIENT_TEMPLATE.FAT&amp;display_string=Audit&amp;VAR:KEY=NAPYZMZE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92870310&amp;VAR:INDEX=0"}</definedName>
    <definedName function="false" hidden="true" name="_305__FDSAUDITLINK__" vbProcedure="false">{"fdsup://directions/FAT Viewer?action=UPDATE&amp;creator=factset&amp;DYN_ARGS=TRUE&amp;DOC_NAME=FAT:FQL_AUDITING_CLIENT_TEMPLATE.FAT&amp;display_string=Audit&amp;VAR:KEY=VEFMDIFYXW&amp;VAR:QUERY=KEZTTF9ORVRfSU5DKE5PVyxOT1csRlNBLCxVU0QpQEZGX05FVF9JTkMoTFRNUywwLCwsLFVTRCkp&amp;WINDOW=F","IRST_POPUP&amp;HEIGHT=450&amp;WIDTH=450&amp;START_MAXIMIZED=FALSE&amp;VAR:CALENDAR=US&amp;VAR:SYMBOL=OCNW&amp;VAR:INDEX=0"}</definedName>
    <definedName function="false" hidden="true" name="_3060__FDSAUDITLINK__" vbProcedure="false">{"fdsup://directions/FAT Viewer?action=UPDATE&amp;creator=factset&amp;DYN_ARGS=TRUE&amp;DOC_NAME=FAT:FQL_AUDITING_CLIENT_TEMPLATE.FAT&amp;display_string=Audit&amp;VAR:KEY=BEDAHMJU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89785X10&amp;VAR:INDEX=0"}</definedName>
    <definedName function="false" hidden="true" name="_3061__FDSAUDITLINK__" vbProcedure="false">{"fdsup://directions/FAT Viewer?action=UPDATE&amp;creator=factset&amp;DYN_ARGS=TRUE&amp;DOC_NAME=FAT:FQL_AUDITING_CLIENT_TEMPLATE.FAT&amp;display_string=Audit&amp;VAR:KEY=VANAXCNW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FN&amp;VAR:INDEX=0"}</definedName>
    <definedName function="false" hidden="true" name="_3062__FDSAUDITLINK__" vbProcedure="false">{"fdsup://directions/FAT Viewer?action=UPDATE&amp;creator=factset&amp;DYN_ARGS=TRUE&amp;DOC_NAME=FAT:FQL_AUDITING_CLIENT_TEMPLATE.FAT&amp;display_string=Audit&amp;VAR:KEY=HQTCVWRC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77032310&amp;VAR:INDEX=0"}</definedName>
    <definedName function="false" hidden="true" name="_3063__FDSAUDITLINK__" vbProcedure="false">{"fdsup://directions/FAT Viewer?action=UPDATE&amp;creator=factset&amp;DYN_ARGS=TRUE&amp;DOC_NAME=FAT:FQL_AUDITING_CLIENT_TEMPLATE.FAT&amp;display_string=Audit&amp;VAR:KEY=TUVIHIXM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V3YH&amp;VAR:INDEX=0"}</definedName>
    <definedName function="false" hidden="true" name="_3064__FDSAUDITLINK__" vbProcedure="false">{"fdsup://directions/FAT Viewer?action=UPDATE&amp;creator=factset&amp;DYN_ARGS=TRUE&amp;DOC_NAME=FAT:FQL_AUDITING_CLIENT_TEMPLATE.FAT&amp;display_string=Audit&amp;VAR:KEY=RGBGBSRK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49373210&amp;VAR:INDEX=0"}</definedName>
    <definedName function="false" hidden="true" name="_3067__FDSAUDITLINK__" vbProcedure="false">{"fdsup://directions/FAT Viewer?action=UPDATE&amp;creator=factset&amp;DYN_ARGS=TRUE&amp;DOC_NAME=FAT:FQL_AUDITING_CLIENT_TEMPLATE.FAT&amp;display_string=Audit&amp;VAR:KEY=HEVIDIPGFU&amp;VAR:QUERY=KEZTTF9ORVRfSU5DKE5PVyxOT1csRlNBLCxVU0QpQEZGX05FVF9JTkMoTFRNUywwLCwsLFVTRCkp&amp;WINDOW=F","IRST_POPUP&amp;HEIGHT=450&amp;WIDTH=450&amp;START_MAXIMIZED=FALSE&amp;VAR:CALENDAR=US&amp;VAR:SYMBOL=VRTU&amp;VAR:INDEX=0"}</definedName>
    <definedName function="false" hidden="true" name="_3068__FDSAUDITLINK__" vbProcedure="false">{"fdsup://Directions/FactSet Auditing Viewer?action=AUDIT_VALUE&amp;DB=129&amp;ID1=01923A10&amp;VALUEID=02001&amp;SDATE=201003&amp;PERIODTYPE=QTR_STD&amp;window=popup_no_bar&amp;width=385&amp;height=120&amp;START_MAXIMIZED=FALSE&amp;creator=factset&amp;display_string=Audit"}</definedName>
    <definedName function="false" hidden="true" name="_3069__FDSAUDITLINK__" vbProcedure="false">{"fdsup://Directions/FactSet Auditing Viewer?action=AUDIT_VALUE&amp;DB=129&amp;ID1=22748310&amp;VALUEID=02001&amp;SDATE=201002&amp;PERIODTYPE=QTR_STD&amp;window=popup_no_bar&amp;width=385&amp;height=120&amp;START_MAXIMIZED=FALSE&amp;creator=factset&amp;display_string=Audit"}</definedName>
    <definedName function="false" hidden="true" name="_306__FDSAUDITLINK__" vbProcedure="false">{"fdsup://directions/FAT Viewer?action=UPDATE&amp;creator=factset&amp;DYN_ARGS=TRUE&amp;DOC_NAME=FAT:FQL_AUDITING_CLIENT_TEMPLATE.FAT&amp;display_string=Audit&amp;VAR:KEY=JQLSFKBKTA&amp;VAR:QUERY=RkZfRUJJVERBX09QRVIoTFRNLDAsLCwsVVNEKQ==&amp;WINDOW=FIRST_POPUP&amp;HEIGHT=450&amp;WIDTH=450&amp;STAR","T_MAXIMIZED=FALSE&amp;VAR:CALENDAR=US&amp;VAR:SYMBOL=TESO&amp;VAR:INDEX=0"}</definedName>
    <definedName function="false" hidden="true" name="_3070__FDSAUDITLINK__" vbProcedure="false">{"fdsup://Directions/FactSet Auditing Viewer?action=AUDIT_VALUE&amp;DB=129&amp;ID1=92870310&amp;VALUEID=02001&amp;SDATE=200902&amp;PERIODTYPE=QTR_STD&amp;window=popup_no_bar&amp;width=385&amp;height=120&amp;START_MAXIMIZED=FALSE&amp;creator=factset&amp;display_string=Audit"}</definedName>
    <definedName function="false" hidden="true" name="_3071__FDSAUDITLINK__" vbProcedure="false">{"fdsup://Directions/FactSet Auditing Viewer?action=AUDIT_VALUE&amp;DB=129&amp;ID1=78415310&amp;VALUEID=02001&amp;SDATE=201002&amp;PERIODTYPE=QTR_STD&amp;window=popup_no_bar&amp;width=385&amp;height=120&amp;START_MAXIMIZED=FALSE&amp;creator=factset&amp;display_string=Audit"}</definedName>
    <definedName function="false" hidden="true" name="_3072__FDSAUDITLINK__" vbProcedure="false">{"fdsup://Directions/FactSet Auditing Viewer?action=AUDIT_VALUE&amp;DB=129&amp;ID1=B0V3YH&amp;VALUEID=02001&amp;SDATE=201001&amp;PERIODTYPE=QTR_STD&amp;window=popup_no_bar&amp;width=385&amp;height=120&amp;START_MAXIMIZED=FALSE&amp;creator=factset&amp;display_string=Audit"}</definedName>
    <definedName function="false" hidden="true" name="_3073__FDSAUDITLINK__" vbProcedure="false">{"fdsup://Directions/FactSet Auditing Viewer?action=AUDIT_VALUE&amp;DB=129&amp;ID1=49373210&amp;VALUEID=02001&amp;SDATE=201002&amp;PERIODTYPE=QTR_STD&amp;window=popup_no_bar&amp;width=385&amp;height=120&amp;START_MAXIMIZED=FALSE&amp;creator=factset&amp;display_string=Audit"}</definedName>
    <definedName function="false" hidden="true" name="_3074__FDSAUDITLINK__" vbProcedure="false">{"fdsup://directions/FAT Viewer?action=UPDATE&amp;creator=factset&amp;DYN_ARGS=TRUE&amp;DOC_NAME=FAT:FQL_AUDITING_CLIENT_TEMPLATE.FAT&amp;display_string=Audit&amp;VAR:KEY=PYJWJGNQRK&amp;VAR:QUERY=KEZTTF9ORVRfSU5DKE5PVyxOT1csRlNBLCxVU0QpQEZGX05FVF9JTkMoTFRNUywwLCwsLFVTRCkp&amp;WINDOW=F","IRST_POPUP&amp;HEIGHT=450&amp;WIDTH=450&amp;START_MAXIMIZED=FALSE&amp;VAR:CALENDAR=US&amp;VAR:SYMBOL=34415V10&amp;VAR:INDEX=0"}</definedName>
    <definedName function="false" hidden="true" name="_3075__FDSAUDITLINK__" vbProcedure="false">{"fdsup://directions/FAT Viewer?action=UPDATE&amp;creator=factset&amp;DYN_ARGS=TRUE&amp;DOC_NAME=FAT:FQL_AUDITING_CLIENT_TEMPLATE.FAT&amp;display_string=Audit&amp;VAR:KEY=BKVSDGNILQ&amp;VAR:QUERY=KEZTTF9ORVRfSU5DKE5PVyxOT1csRlNBLCxVU0QpQEZGX05FVF9JTkMoTFRNUywwLCwsLFVTRCkp&amp;WINDOW=F","IRST_POPUP&amp;HEIGHT=450&amp;WIDTH=450&amp;START_MAXIMIZED=FALSE&amp;VAR:CALENDAR=US&amp;VAR:SYMBOL=63530910&amp;VAR:INDEX=0"}</definedName>
    <definedName function="false" hidden="true" name="_3076__FDSAUDITLINK__" vbProcedure="false">{"fdsup://directions/FAT Viewer?action=UPDATE&amp;creator=factset&amp;DYN_ARGS=TRUE&amp;DOC_NAME=FAT:FQL_AUDITING_CLIENT_TEMPLATE.FAT&amp;display_string=Audit&amp;VAR:KEY=XAPATKDODO&amp;VAR:QUERY=KEZTTF9ORVRfSU5DKE5PVyxOT1csRlNBLCxVU0QpQEZGX05FVF9JTkMoTFRNUywwLCwsLFVTRCkp&amp;WINDOW=F","IRST_POPUP&amp;HEIGHT=450&amp;WIDTH=450&amp;START_MAXIMIZED=FALSE&amp;VAR:CALENDAR=US&amp;VAR:SYMBOL=713666&amp;VAR:INDEX=0"}</definedName>
    <definedName function="false" hidden="true" name="_3077__FDSAUDITLINK__" vbProcedure="false">{"fdsup://directions/FAT Viewer?action=UPDATE&amp;creator=factset&amp;DYN_ARGS=TRUE&amp;DOC_NAME=FAT:FQL_AUDITING_CLIENT_TEMPLATE.FAT&amp;display_string=Audit&amp;VAR:KEY=RUJWVCDMLW&amp;VAR:QUERY=KEZTTF9ORVRfSU5DKE5PVyxOT1csRlNBLCxVU0QpQEZGX05FVF9JTkMoTFRNUywwLCwsLFVTRCkp&amp;WINDOW=F","IRST_POPUP&amp;HEIGHT=450&amp;WIDTH=450&amp;START_MAXIMIZED=FALSE&amp;VAR:CALENDAR=US&amp;VAR:SYMBOL=CCO&amp;VAR:INDEX=0"}</definedName>
    <definedName function="false" hidden="true" name="_3078__FDSAUDITLINK__" vbProcedure="false">{"fdsup://directions/FAT Viewer?action=UPDATE&amp;creator=factset&amp;DYN_ARGS=TRUE&amp;DOC_NAME=FAT:FQL_AUDITING_CLIENT_TEMPLATE.FAT&amp;display_string=Audit&amp;VAR:KEY=VWDIROBQXY&amp;VAR:QUERY=KEZTTF9ORVRfSU5DKE5PVyxOT1csRlNBLCxVU0QpQEZGX05FVF9JTkMoTFRNUywwLCwsLFVTRCkp&amp;WINDOW=F","IRST_POPUP&amp;HEIGHT=450&amp;WIDTH=450&amp;START_MAXIMIZED=FALSE&amp;VAR:CALENDAR=US&amp;VAR:SYMBOL=51281510&amp;VAR:INDEX=0"}</definedName>
    <definedName function="false" hidden="true" name="_3079__FDSAUDITLINK__" vbProcedure="false">{"fdsup://directions/FAT Viewer?action=UPDATE&amp;creator=factset&amp;DYN_ARGS=TRUE&amp;DOC_NAME=FAT:FQL_AUDITING_CLIENT_TEMPLATE.FAT&amp;display_string=Audit&amp;VAR:KEY=BORYRYZW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34415V10&amp;VAR:INDEX=0"}</definedName>
    <definedName function="false" hidden="true" name="_307__FDSAUDITLINK__" vbProcedure="false">{"fdsup://directions/FAT Viewer?action=UPDATE&amp;creator=factset&amp;DYN_ARGS=TRUE&amp;DOC_NAME=FAT:FQL_AUDITING_CLIENT_TEMPLATE.FAT&amp;display_string=Audit&amp;VAR:KEY=VMPKVQTWFW&amp;VAR:QUERY=RkZfRUJJVERBX09QRVIoTFRNLDAsLCwsVVNEKQ==&amp;WINDOW=FIRST_POPUP&amp;HEIGHT=450&amp;WIDTH=450&amp;STAR","T_MAXIMIZED=FALSE&amp;VAR:CALENDAR=US&amp;VAR:SYMBOL=SPRT&amp;VAR:INDEX=0"}</definedName>
    <definedName function="false" hidden="true" name="_3080__FDSAUDITLINK__" vbProcedure="false">{"fdsup://directions/FAT Viewer?action=UPDATE&amp;creator=factset&amp;DYN_ARGS=TRUE&amp;DOC_NAME=FAT:FQL_AUDITING_CLIENT_TEMPLATE.FAT&amp;display_string=Audit&amp;VAR:KEY=JYPIFERW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63530910&amp;VAR:INDEX=0"}</definedName>
    <definedName function="false" hidden="true" name="_3081__FDSAUDITLINK__" vbProcedure="false">{"fdsup://directions/FAT Viewer?action=UPDATE&amp;creator=factset&amp;DYN_ARGS=TRUE&amp;DOC_NAME=FAT:FQL_AUDITING_CLIENT_TEMPLATE.FAT&amp;display_string=Audit&amp;VAR:KEY=BKFUFCXY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713666&amp;VAR:INDEX=0"}</definedName>
    <definedName function="false" hidden="true" name="_3082__FDSAUDITLINK__" vbProcedure="false">{"fdsup://directions/FAT Viewer?action=UPDATE&amp;creator=factset&amp;DYN_ARGS=TRUE&amp;DOC_NAME=FAT:FQL_AUDITING_CLIENT_TEMPLATE.FAT&amp;display_string=Audit&amp;VAR:KEY=BMBMDWDE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CO&amp;VAR:INDEX=0"}</definedName>
    <definedName function="false" hidden="true" name="_3083__FDSAUDITLINK__" vbProcedure="false">{"fdsup://directions/FAT Viewer?action=UPDATE&amp;creator=factset&amp;DYN_ARGS=TRUE&amp;DOC_NAME=FAT:FQL_AUDITING_CLIENT_TEMPLATE.FAT&amp;display_string=Audit&amp;VAR:KEY=JMRGPOJAP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51281510&amp;VAR:INDEX=0"}</definedName>
    <definedName function="false" hidden="true" name="_3084__FDSAUDITLINK__" vbProcedure="false">{"fdsup://Directions/FactSet Auditing Viewer?action=AUDIT_VALUE&amp;DB=129&amp;ID1=63530910&amp;VALUEID=02001&amp;SDATE=201002&amp;PERIODTYPE=QTR_STD&amp;window=popup_no_bar&amp;width=385&amp;height=120&amp;START_MAXIMIZED=FALSE&amp;creator=factset&amp;display_string=Audit"}</definedName>
    <definedName function="false" hidden="true" name="_3085__FDSAUDITLINK__" vbProcedure="false">{"fdsup://Directions/FactSet Auditing Viewer?action=AUDIT_VALUE&amp;DB=129&amp;ID1=713666&amp;VALUEID=02001&amp;SDATE=201001&amp;PERIODTYPE=SEMI_STD&amp;window=popup_no_bar&amp;width=385&amp;height=120&amp;START_MAXIMIZED=FALSE&amp;creator=factset&amp;display_string=Audit"}</definedName>
    <definedName function="false" hidden="true" name="_3086__FDSAUDITLINK__" vbProcedure="false">{"fdsup://Directions/FactSet Auditing Viewer?action=AUDIT_VALUE&amp;DB=129&amp;ID1=18451C10&amp;VALUEID=02001&amp;SDATE=201002&amp;PERIODTYPE=QTR_STD&amp;window=popup_no_bar&amp;width=385&amp;height=120&amp;START_MAXIMIZED=FALSE&amp;creator=factset&amp;display_string=Audit"}</definedName>
    <definedName function="false" hidden="true" name="_3087__FDSAUDITLINK__" vbProcedure="false">{"fdsup://Directions/FactSet Auditing Viewer?action=AUDIT_VALUE&amp;DB=129&amp;ID1=51281510&amp;VALUEID=02001&amp;SDATE=201002&amp;PERIODTYPE=QTR_STD&amp;window=popup_no_bar&amp;width=385&amp;height=120&amp;START_MAXIMIZED=FALSE&amp;creator=factset&amp;display_string=Audit"}</definedName>
    <definedName function="false" hidden="true" name="_3088__FDSAUDITLINK__" vbProcedure="false">{"fdsup://Directions/FactSet Auditing Viewer?action=AUDIT_VALUE&amp;DB=129&amp;ID1=41454910&amp;VALUEID=02001&amp;SDATE=201004&amp;PERIODTYPE=QTR_STD&amp;window=popup_no_bar&amp;width=385&amp;height=120&amp;START_MAXIMIZED=FALSE&amp;creator=factset&amp;display_string=Audit"}</definedName>
    <definedName function="false" hidden="true" name="_3089__FDSAUDITLINK__" vbProcedure="false">{"fdsup://Directions/FactSet Auditing Viewer?action=AUDIT_VALUE&amp;DB=129&amp;ID1=21988R10&amp;VALUEID=02001&amp;SDATE=201002&amp;PERIODTYPE=QTR_STD&amp;window=popup_no_bar&amp;width=385&amp;height=120&amp;START_MAXIMIZED=FALSE&amp;creator=factset&amp;display_string=Audit"}</definedName>
    <definedName function="false" hidden="true" name="_308__FDSAUDITLINK__" vbProcedure="false">{"fdsup://directions/FAT Viewer?action=UPDATE&amp;creator=factset&amp;DYN_ARGS=TRUE&amp;DOC_NAME=FAT:FQL_AUDITING_CLIENT_TEMPLATE.FAT&amp;display_string=Audit&amp;VAR:KEY=FWZYLALCTQ&amp;VAR:QUERY=RkZfRUJJVERBX09QRVIoTFRNLDAsLCwsVVNEKQ==&amp;WINDOW=FIRST_POPUP&amp;HEIGHT=450&amp;WIDTH=450&amp;STAR","T_MAXIMIZED=FALSE&amp;VAR:CALENDAR=US&amp;VAR:SYMBOL=MHR&amp;VAR:INDEX=0"}</definedName>
    <definedName function="false" hidden="true" name="_3090__FDSAUDITLINK__" vbProcedure="false">{"fdsup://directions/FAT Viewer?action=UPDATE&amp;creator=factset&amp;DYN_ARGS=TRUE&amp;DOC_NAME=FAT:FQL_AUDITING_CLIENT_TEMPLATE.FAT&amp;display_string=Audit&amp;VAR:KEY=BKHSHEZMRO&amp;VAR:QUERY=KEZTTF9ORVRfSU5DKE5PVyxOT1csRlNBLCxVU0QpQEZGX05FVF9JTkMoTFRNUywwLCwsLFVTRCkp&amp;WINDOW=F","IRST_POPUP&amp;HEIGHT=450&amp;WIDTH=450&amp;START_MAXIMIZED=FALSE&amp;VAR:CALENDAR=US&amp;VAR:SYMBOL=34656310&amp;VAR:INDEX=0"}</definedName>
    <definedName function="false" hidden="true" name="_3091__FDSAUDITLINK__" vbProcedure="false">{"fdsup://directions/FAT Viewer?action=UPDATE&amp;creator=factset&amp;DYN_ARGS=TRUE&amp;DOC_NAME=FAT:FQL_AUDITING_CLIENT_TEMPLATE.FAT&amp;display_string=Audit&amp;VAR:KEY=JMVETCLORI&amp;VAR:QUERY=KEZTTF9ORVRfSU5DKE5PVyxOT1csRlNBLCxVU0QpQEZGX05FVF9JTkMoTFRNUywwLCwsLFVTRCkp&amp;WINDOW=F","IRST_POPUP&amp;HEIGHT=450&amp;WIDTH=450&amp;START_MAXIMIZED=FALSE&amp;VAR:CALENDAR=US&amp;VAR:SYMBOL=36665110&amp;VAR:INDEX=0"}</definedName>
    <definedName function="false" hidden="true" name="_3092__FDSAUDITLINK__" vbProcedure="false">{"fdsup://directions/FAT Viewer?action=UPDATE&amp;creator=factset&amp;DYN_ARGS=TRUE&amp;DOC_NAME=FAT:FQL_AUDITING_CLIENT_TEMPLATE.FAT&amp;display_string=Audit&amp;VAR:KEY=FARIVQFW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096575&amp;VAR:INDEX=0"}</definedName>
    <definedName function="false" hidden="true" name="_3093__FDSAUDITLINK__" vbProcedure="false">{"fdsup://Directions/FactSet Auditing Viewer?action=AUDIT_VALUE&amp;DB=129&amp;ID1=92046N10&amp;VALUEID=02001&amp;SDATE=201002&amp;PERIODTYPE=QTR_STD&amp;window=popup_no_bar&amp;width=385&amp;height=120&amp;START_MAXIMIZED=FALSE&amp;creator=factset&amp;display_string=Audit"}</definedName>
    <definedName function="false" hidden="true" name="_3094__FDSAUDITLINK__" vbProcedure="false">{"fdsup://directions/FAT Viewer?action=UPDATE&amp;creator=factset&amp;DYN_ARGS=TRUE&amp;DOC_NAME=FAT:FQL_AUDITING_CLIENT_TEMPLATE.FAT&amp;display_string=Audit&amp;VAR:KEY=ZAJMXKFOLY&amp;VAR:QUERY=KEZTTF9ORVRfSU5DKE5PVyxOT1csRlNBLCxVU0QpQEZGX05FVF9JTkMoTFRNUywwLCwsLFVTRCkp&amp;WINDOW=F","IRST_POPUP&amp;HEIGHT=450&amp;WIDTH=450&amp;START_MAXIMIZED=FALSE&amp;VAR:CALENDAR=US&amp;VAR:SYMBOL=92046N10&amp;VAR:INDEX=0"}</definedName>
    <definedName function="false" hidden="true" name="_3095__FDSAUDITLINK__" vbProcedure="false">{"fdsup://directions/FAT Viewer?action=UPDATE&amp;creator=factset&amp;DYN_ARGS=TRUE&amp;DOC_NAME=FAT:FQL_AUDITING_CLIENT_TEMPLATE.FAT&amp;display_string=Audit&amp;VAR:KEY=LEXMBYNCFI&amp;VAR:QUERY=KEZTTF9ORVRfSU5DKE5PVyxOT1csRlNBLCxVU0QpQEZGX05FVF9JTkMoTFRNUywwLCwsLFVTRCkp&amp;WINDOW=F","IRST_POPUP&amp;HEIGHT=450&amp;WIDTH=450&amp;START_MAXIMIZED=FALSE&amp;VAR:CALENDAR=US&amp;VAR:SYMBOL=91886610&amp;VAR:INDEX=0"}</definedName>
    <definedName function="false" hidden="true" name="_3096__FDSAUDITLINK__" vbProcedure="false">{"fdsup://directions/FAT Viewer?action=UPDATE&amp;creator=factset&amp;DYN_ARGS=TRUE&amp;DOC_NAME=FAT:FQL_AUDITING_CLIENT_TEMPLATE.FAT&amp;display_string=Audit&amp;VAR:KEY=TMXUHUHKB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TU&amp;VAR:INDEX=0"}</definedName>
    <definedName function="false" hidden="true" name="_3097__FDSAUDITLINK__" vbProcedure="false">{"fdsup://Directions/FactSet Auditing Viewer?action=AUDIT_VALUE&amp;DB=129&amp;ID1=92827P10&amp;VALUEID=02001&amp;SDATE=201001&amp;PERIODTYPE=QTR_STD&amp;window=popup_no_bar&amp;width=385&amp;height=120&amp;START_MAXIMIZED=FALSE&amp;creator=factset&amp;display_string=Audit"}</definedName>
    <definedName function="false" hidden="true" name="_3098__FDSAUDITLINK__" vbProcedure="false">{"fdsup://directions/FAT Viewer?action=UPDATE&amp;creator=factset&amp;DYN_ARGS=TRUE&amp;DOC_NAME=FAT:FQL_AUDITING_CLIENT_TEMPLATE.FAT&amp;display_string=Audit&amp;VAR:KEY=ZIDMPWNE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01858110&amp;VAR:INDEX=0"}</definedName>
    <definedName function="false" hidden="true" name="_3099__FDSAUDITLINK__" vbProcedure="false">{"fdsup://directions/FAT Viewer?action=UPDATE&amp;creator=factset&amp;DYN_ARGS=TRUE&amp;DOC_NAME=FAT:FQL_AUDITING_CLIENT_TEMPLATE.FAT&amp;display_string=Audit&amp;VAR:KEY=NWDSBONCLO&amp;VAR:QUERY=KEZTTF9ORVRfSU5DKE5PVyxOT1csRlNBLCxVU0QpQEZGX05FVF9JTkMoTFRNUywwLCwsLFVTRCkp&amp;WINDOW=F","IRST_POPUP&amp;HEIGHT=450&amp;WIDTH=450&amp;START_MAXIMIZED=FALSE&amp;VAR:CALENDAR=US&amp;VAR:SYMBOL=41619610&amp;VAR:INDEX=0"}</definedName>
    <definedName function="false" hidden="true" name="_309__FDSAUDITLINK__" vbProcedure="false">{"fdsup://directions/FAT Viewer?action=UPDATE&amp;creator=factset&amp;DYN_ARGS=TRUE&amp;DOC_NAME=FAT:FQL_AUDITING_CLIENT_TEMPLATE.FAT&amp;display_string=Audit&amp;VAR:KEY=BEXUZQFSPE&amp;VAR:QUERY=RkZfRUJJVERBX09QRVIoTFRNLDAsLCwsVVNEKQ==&amp;WINDOW=FIRST_POPUP&amp;HEIGHT=450&amp;WIDTH=450&amp;STAR","T_MAXIMIZED=FALSE&amp;VAR:CALENDAR=US&amp;VAR:SYMBOL=FRM&amp;VAR:INDEX=0"}</definedName>
    <definedName function="false" hidden="true" name="_30__123Graph_DDIAGR_2" vbProcedure="false">#REF!</definedName>
    <definedName function="false" hidden="true" name="_30__FDSAUDITLINK__" vbProcedure="false">{"fdsup://directions/FAT Viewer?action=UPDATE&amp;creator=factset&amp;DYN_ARGS=TRUE&amp;DOC_NAME=FAT:FQL_AUDITING_CLIENT_TEMPLATE.FAT&amp;display_string=Audit&amp;VAR:KEY=ULSLWLSPAV&amp;VAR:QUERY=RkZfRUJJVERBX09QRVIoTFRNLDAsLCwsVVNEKQ==&amp;WINDOW=FIRST_POPUP&amp;HEIGHT=450&amp;WIDTH=450&amp;STAR","T_MAXIMIZED=FALSE&amp;VAR:CALENDAR=US&amp;VAR:SYMBOL=SAI&amp;VAR:INDEX=0"}</definedName>
    <definedName function="false" hidden="true" name="_3100__FDSAUDITLINK__" vbProcedure="false">{"fdsup://directions/FAT Viewer?action=UPDATE&amp;creator=factset&amp;DYN_ARGS=TRUE&amp;DOC_NAME=FAT:FQL_AUDITING_CLIENT_TEMPLATE.FAT&amp;display_string=Audit&amp;VAR:KEY=FUJQZIHCRQ&amp;VAR:QUERY=KEZTTF9ORVRfSU5DKE5PVyxOT1csRlNBLCxVU0QpQEZGX05FVF9JTkMoTFRNUywwLCwsLFVTRCkp&amp;WINDOW=F","IRST_POPUP&amp;HEIGHT=450&amp;WIDTH=450&amp;START_MAXIMIZED=FALSE&amp;VAR:CALENDAR=US&amp;VAR:SYMBOL=03875Q10&amp;VAR:INDEX=0"}</definedName>
    <definedName function="false" hidden="true" name="_3101__FDSAUDITLINK__" vbProcedure="false">{"fdsup://directions/FAT Viewer?action=UPDATE&amp;creator=factset&amp;DYN_ARGS=TRUE&amp;DOC_NAME=FAT:FQL_AUDITING_CLIENT_TEMPLATE.FAT&amp;display_string=Audit&amp;VAR:KEY=NGNYPCZIDW&amp;VAR:QUERY=KEZTTF9ORVRfSU5DKE5PVyxOT1csRlNBLCxVU0QpQEZGX05FVF9JTkMoTFRNUywwLCwsLFVTRCkp&amp;WINDOW=F","IRST_POPUP&amp;HEIGHT=450&amp;WIDTH=450&amp;START_MAXIMIZED=FALSE&amp;VAR:CALENDAR=US&amp;VAR:SYMBOL=21988R10&amp;VAR:INDEX=0"}</definedName>
    <definedName function="false" hidden="true" name="_3102__FDSAUDITLINK__" vbProcedure="false">{"fdsup://directions/FAT Viewer?action=UPDATE&amp;creator=factset&amp;DYN_ARGS=TRUE&amp;DOC_NAME=FAT:FQL_AUDITING_CLIENT_TEMPLATE.FAT&amp;display_string=Audit&amp;VAR:KEY=DIBCTINUFE&amp;VAR:QUERY=KEZTTF9ORVRfSU5DKE5PVyxOT1csRlNBLCxVU0QpQEZGX05FVF9JTkMoTFRNUywwLCwsLFVTRCkp&amp;WINDOW=F","IRST_POPUP&amp;HEIGHT=450&amp;WIDTH=450&amp;START_MAXIMIZED=FALSE&amp;VAR:CALENDAR=US&amp;VAR:SYMBOL=246078&amp;VAR:INDEX=0"}</definedName>
    <definedName function="false" hidden="true" name="_3103__FDSAUDITLINK__" vbProcedure="false">{"fdsup://directions/FAT Viewer?action=UPDATE&amp;creator=factset&amp;DYN_ARGS=TRUE&amp;DOC_NAME=FAT:FQL_AUDITING_CLIENT_TEMPLATE.FAT&amp;display_string=Audit&amp;VAR:KEY=ZCTMVMVS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3DMTY&amp;VAR:INDEX=0"}</definedName>
    <definedName function="false" hidden="true" name="_3104__FDSAUDITLINK__" vbProcedure="false">{"fdsup://directions/FAT Viewer?action=UPDATE&amp;creator=factset&amp;DYN_ARGS=TRUE&amp;DOC_NAME=FAT:FQL_AUDITING_CLIENT_TEMPLATE.FAT&amp;display_string=Audit&amp;VAR:KEY=NILSBCPU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92046N10&amp;VAR:INDEX=0"}</definedName>
    <definedName function="false" hidden="true" name="_3105__FDSAUDITLINK__" vbProcedure="false">{"fdsup://directions/FAT Viewer?action=UPDATE&amp;creator=factset&amp;DYN_ARGS=TRUE&amp;DOC_NAME=FAT:FQL_AUDITING_CLIENT_TEMPLATE.FAT&amp;display_string=Audit&amp;VAR:KEY=LKBMZQNC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91886610&amp;VAR:INDEX=0"}</definedName>
    <definedName function="false" hidden="true" name="_3106__FDSAUDITLINK__" vbProcedure="false">{"fdsup://directions/FAT Viewer?action=UPDATE&amp;creator=factset&amp;DYN_ARGS=TRUE&amp;DOC_NAME=FAT:FQL_AUDITING_CLIENT_TEMPLATE.FAT&amp;display_string=Audit&amp;VAR:KEY=BMVUBYFIDI&amp;VAR:QUERY=KEZTTF9ORVRfSU5DKE5PVyxOT1csRlNBLCxVU0QpQEZGX05FVF9JTkMoTFRNUywwLCwsLFVTRCkp&amp;WINDOW=F","IRST_POPUP&amp;HEIGHT=450&amp;WIDTH=450&amp;START_MAXIMIZED=FALSE&amp;VAR:CALENDAR=US&amp;VAR:SYMBOL=68191910&amp;VAR:INDEX=0"}</definedName>
    <definedName function="false" hidden="true" name="_3107__FDSAUDITLINK__" vbProcedure="false">{"fdsup://Directions/FactSet Auditing Viewer?action=AUDIT_VALUE&amp;DB=129&amp;ID1=80306210&amp;VALUEID=02001&amp;SDATE=201002&amp;PERIODTYPE=QTR_STD&amp;window=popup_no_bar&amp;width=385&amp;height=120&amp;START_MAXIMIZED=FALSE&amp;creator=factset&amp;display_string=Audit"}</definedName>
    <definedName function="false" hidden="true" name="_3108__FDSAUDITLINK__" vbProcedure="false">{"fdsup://Directions/FactSet Auditing Viewer?action=AUDIT_VALUE&amp;DB=129&amp;ID1=620605&amp;VALUEID=02001&amp;SDATE=201001&amp;PERIODTYPE=QTR_STD&amp;window=popup_no_bar&amp;width=385&amp;height=120&amp;START_MAXIMIZED=FALSE&amp;creator=factset&amp;display_string=Audit"}</definedName>
    <definedName function="false" hidden="true" name="_3109__FDSAUDITLINK__" vbProcedure="false">{"fdsup://directions/FAT Viewer?action=UPDATE&amp;creator=factset&amp;DYN_ARGS=TRUE&amp;DOC_NAME=FAT:FQL_AUDITING_CLIENT_TEMPLATE.FAT&amp;display_string=Audit&amp;VAR:KEY=JMLWHIPA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function="false" hidden="true" name="_310__FDSAUDITLINK__" vbProcedure="false">{"fdsup://directions/FAT Viewer?action=UPDATE&amp;creator=factset&amp;DYN_ARGS=TRUE&amp;DOC_NAME=FAT:FQL_AUDITING_CLIENT_TEMPLATE.FAT&amp;display_string=Audit&amp;VAR:KEY=ZGFIVALUJY&amp;VAR:QUERY=RkZfRUJJVERBX09QRVIoTFRNLDAsLCwsVVNEKQ==&amp;WINDOW=FIRST_POPUP&amp;HEIGHT=450&amp;WIDTH=450&amp;STAR","T_MAXIMIZED=FALSE&amp;VAR:CALENDAR=US&amp;VAR:SYMBOL=SPN&amp;VAR:INDEX=0"}</definedName>
    <definedName function="false" hidden="true" name="_3110__FDSAUDITLINK__" vbProcedure="false">{"fdsup://Directions/FactSet Auditing Viewer?action=AUDIT_VALUE&amp;DB=129&amp;ID1=71375U10&amp;VALUEID=02001&amp;SDATE=201002&amp;PERIODTYPE=QTR_STD&amp;window=popup_no_bar&amp;width=385&amp;height=120&amp;START_MAXIMIZED=FALSE&amp;creator=factset&amp;display_string=Audit"}</definedName>
    <definedName function="false" hidden="true" name="_3111__FDSAUDITLINK__" vbProcedure="false">{"fdsup://directions/FAT Viewer?action=UPDATE&amp;creator=factset&amp;DYN_ARGS=TRUE&amp;DOC_NAME=FAT:FQL_AUDITING_CLIENT_TEMPLATE.FAT&amp;display_string=Audit&amp;VAR:KEY=TUVIHIXM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V3YH&amp;VAR:INDEX=0"}</definedName>
    <definedName function="false" hidden="true" name="_3112__FDSAUDITLINK__" vbProcedure="false">{"fdsup://Directions/FactSet Auditing Viewer?action=AUDIT_VALUE&amp;DB=129&amp;ID1=B0V3YH&amp;VALUEID=02001&amp;SDATE=201001&amp;PERIODTYPE=QTR_STD&amp;window=popup_no_bar&amp;width=385&amp;height=120&amp;START_MAXIMIZED=FALSE&amp;creator=factset&amp;display_string=Audit"}</definedName>
    <definedName function="false" hidden="true" name="_3113__FDSAUDITLINK__" vbProcedure="false">{"fdsup://directions/FAT Viewer?action=UPDATE&amp;creator=factset&amp;DYN_ARGS=TRUE&amp;DOC_NAME=FAT:FQL_AUDITING_CLIENT_TEMPLATE.FAT&amp;display_string=Audit&amp;VAR:KEY=BGPGZCVCZI&amp;VAR:QUERY=KEZTTF9ORVRfSU5DKE5PVyxOT1csRlNBLCxVU0QpQEZGX05FVF9JTkMoTFRNUywwLCwsLFVTRCkp&amp;WINDOW=F","IRST_POPUP&amp;HEIGHT=450&amp;WIDTH=450&amp;START_MAXIMIZED=FALSE&amp;VAR:CALENDAR=US&amp;VAR:SYMBOL=EDGW&amp;VAR:INDEX=0"}</definedName>
    <definedName function="false" hidden="true" name="_3114__FDSAUDITLINK__" vbProcedure="false">{"fdsup://Directions/FactSet Auditing Viewer?action=AUDIT_VALUE&amp;DB=129&amp;ID1=45920010&amp;VALUEID=02001&amp;SDATE=201003&amp;PERIODTYPE=QTR_STD&amp;window=popup_no_bar&amp;width=385&amp;height=120&amp;START_MAXIMIZED=FALSE&amp;creator=factset&amp;display_string=Audit"}</definedName>
    <definedName function="false" hidden="true" name="_3115__FDSAUDITLINK__" vbProcedure="false">{"fdsup://directions/FAT Viewer?action=UPDATE&amp;creator=factset&amp;DYN_ARGS=TRUE&amp;DOC_NAME=FAT:FQL_AUDITING_CLIENT_TEMPLATE.FAT&amp;display_string=Audit&amp;VAR:KEY=RWHGHCHYXW&amp;VAR:QUERY=KEZTTF9ORVRfSU5DKE5PVyxOT1csRlNBLCxVU0QpQEZGX05FVF9JTkMoTFRNUywwLCwsLFVTRCkp&amp;WINDOW=F","IRST_POPUP&amp;HEIGHT=450&amp;WIDTH=450&amp;START_MAXIMIZED=FALSE&amp;VAR:CALENDAR=US&amp;VAR:SYMBOL=AAPL&amp;VAR:INDEX=0"}</definedName>
    <definedName function="false" hidden="true" name="_3116__FDSAUDITLINK__" vbProcedure="false">{"fdsup://Directions/FactSet Auditing Viewer?action=AUDIT_VALUE&amp;DB=129&amp;ID1=27864210&amp;VALUEID=02001&amp;SDATE=201003&amp;PERIODTYPE=QTR_STD&amp;window=popup_no_bar&amp;width=385&amp;height=120&amp;START_MAXIMIZED=FALSE&amp;creator=factset&amp;display_string=Audit"}</definedName>
    <definedName function="false" hidden="true" name="_3117__FDSAUDITLINK__" vbProcedure="false">{"fdsup://Directions/FactSet Auditing Viewer?action=AUDIT_VALUE&amp;DB=129&amp;ID1=00508B10&amp;VALUEID=02001&amp;SDATE=201002&amp;PERIODTYPE=QTR_STD&amp;window=popup_no_bar&amp;width=385&amp;height=120&amp;START_MAXIMIZED=FALSE&amp;creator=factset&amp;display_string=Audit"}</definedName>
    <definedName function="false" hidden="true" name="_3118__FDSAUDITLINK__" vbProcedure="false">{"fdsup://directions/FAT Viewer?action=UPDATE&amp;creator=factset&amp;DYN_ARGS=TRUE&amp;DOC_NAME=FAT:FQL_AUDITING_CLIENT_TEMPLATE.FAT&amp;display_string=Audit&amp;VAR:KEY=JGZSRIBA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VOLD&amp;VAR:INDEX=0"}</definedName>
    <definedName function="false" hidden="true" name="_3119__FDSAUDITLINK__" vbProcedure="false">{"fdsup://Directions/FactSet Auditing Viewer?action=AUDIT_VALUE&amp;DB=129&amp;ID1=30049R20&amp;VALUEID=02001&amp;SDATE=201002&amp;PERIODTYPE=QTR_STD&amp;window=popup_no_bar&amp;width=385&amp;height=120&amp;START_MAXIMIZED=FALSE&amp;creator=factset&amp;display_string=Audit"}</definedName>
    <definedName function="false" hidden="true" name="_311__FDSAUDITLINK__" vbProcedure="false">{"fdsup://directions/FAT Viewer?action=UPDATE&amp;creator=factset&amp;DYN_ARGS=TRUE&amp;DOC_NAME=FAT:FQL_AUDITING_CLIENT_TEMPLATE.FAT&amp;display_string=Audit&amp;VAR:KEY=BERWXUVKJY&amp;VAR:QUERY=RkZfRUJJVERBX09QRVIoTFRNLDAsLCwsVVNEKQ==&amp;WINDOW=FIRST_POPUP&amp;HEIGHT=450&amp;WIDTH=450&amp;STAR","T_MAXIMIZED=FALSE&amp;VAR:CALENDAR=US&amp;VAR:SYMBOL=PWER&amp;VAR:INDEX=0"}</definedName>
    <definedName function="false" hidden="true" name="_3120__FDSAUDITLINK__" vbProcedure="false">{"fdsup://directions/FAT Viewer?action=UPDATE&amp;creator=factset&amp;DYN_ARGS=TRUE&amp;DOC_NAME=FAT:FQL_AUDITING_CLIENT_TEMPLATE.FAT&amp;display_string=Audit&amp;VAR:KEY=TSLYZKPCNQ&amp;VAR:QUERY=KEZTTF9ORVRfSU5DKE5PVyxOT1csRlNBLCxVU0QpQEZGX05FVF9JTkMoTFRNUywwLCwsLFVTRCkp&amp;WINDOW=F","IRST_POPUP&amp;HEIGHT=450&amp;WIDTH=450&amp;START_MAXIMIZED=FALSE&amp;VAR:CALENDAR=US&amp;VAR:SYMBOL=DMRC&amp;VAR:INDEX=0"}</definedName>
    <definedName function="false" hidden="true" name="_3121__FDSAUDITLINK__" vbProcedure="false">{"fdsup://directions/FAT Viewer?action=UPDATE&amp;creator=factset&amp;DYN_ARGS=TRUE&amp;DOC_NAME=FAT:FQL_AUDITING_CLIENT_TEMPLATE.FAT&amp;display_string=Audit&amp;VAR:KEY=HUZCVQLY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05DWM&amp;VAR:INDEX=0"}</definedName>
    <definedName function="false" hidden="true" name="_3122__FDSAUDITLINK__" vbProcedure="false">{"fdsup://directions/FAT Viewer?action=UPDATE&amp;creator=factset&amp;DYN_ARGS=TRUE&amp;DOC_NAME=FAT:FQL_AUDITING_CLIENT_TEMPLATE.FAT&amp;display_string=Audit&amp;VAR:KEY=BYRGLIRI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C2PW&amp;VAR:INDEX=0"}</definedName>
    <definedName function="false" hidden="true" name="_3123__FDSAUDITLINK__" vbProcedure="false">{"fdsup://Directions/FactSet Auditing Viewer?action=AUDIT_VALUE&amp;DB=129&amp;ID1=B0C2PW&amp;VALUEID=02001&amp;SDATE=201001&amp;PERIODTYPE=SEMI_STD&amp;window=popup_no_bar&amp;width=385&amp;height=120&amp;START_MAXIMIZED=FALSE&amp;creator=factset&amp;display_string=Audit"}</definedName>
    <definedName function="false" hidden="true" name="_3124__FDSAUDITLINK__" vbProcedure="false">{"fdsup://Directions/FactSet Auditing Viewer?action=AUDIT_VALUE&amp;DB=129&amp;ID1=27874N10&amp;VALUEID=02001&amp;SDATE=201002&amp;PERIODTYPE=QTR_STD&amp;window=popup_no_bar&amp;width=385&amp;height=120&amp;START_MAXIMIZED=FALSE&amp;creator=factset&amp;display_string=Audit"}</definedName>
    <definedName function="false" hidden="true" name="_3125__FDSAUDITLINK__" vbProcedure="false">{"fdsup://directions/FAT Viewer?action=UPDATE&amp;creator=factset&amp;DYN_ARGS=TRUE&amp;DOC_NAME=FAT:FQL_AUDITING_CLIENT_TEMPLATE.FAT&amp;display_string=Audit&amp;VAR:KEY=BMRWXETYZK&amp;VAR:QUERY=KEZTTF9ORVRfSU5DKE5PVyxOT1csRlNBLCxVU0QpQEZGX05FVF9JTkMoTFRNUywwLCwsLFVTRCkp&amp;WINDOW=F","IRST_POPUP&amp;HEIGHT=450&amp;WIDTH=450&amp;START_MAXIMIZED=FALSE&amp;VAR:CALENDAR=US&amp;VAR:SYMBOL=580685&amp;VAR:INDEX=0"}</definedName>
    <definedName function="false" hidden="true" name="_3126__FDSAUDITLINK__" vbProcedure="false">{"fdsup://directions/FAT Viewer?action=UPDATE&amp;creator=factset&amp;DYN_ARGS=TRUE&amp;DOC_NAME=FAT:FQL_AUDITING_CLIENT_TEMPLATE.FAT&amp;display_string=Audit&amp;VAR:KEY=FYRELEZCZC&amp;VAR:QUERY=KEZTTF9ORVRfSU5DKE5PVyxOT1csRlNBLCxVU0QpQEZGX05FVF9JTkMoTFRNUywwLCwsLFVTRCkp&amp;WINDOW=F","IRST_POPUP&amp;HEIGHT=450&amp;WIDTH=450&amp;START_MAXIMIZED=FALSE&amp;VAR:CALENDAR=US&amp;VAR:SYMBOL=FIRE&amp;VAR:INDEX=0"}</definedName>
    <definedName function="false" hidden="true" name="_3127__FDSAUDITLINK__" vbProcedure="false">{"fdsup://directions/FAT Viewer?action=UPDATE&amp;creator=factset&amp;DYN_ARGS=TRUE&amp;DOC_NAME=FAT:FQL_AUDITING_CLIENT_TEMPLATE.FAT&amp;display_string=Audit&amp;VAR:KEY=ROLIJMRI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01QGK&amp;VAR:INDEX=0"}</definedName>
    <definedName function="false" hidden="true" name="_3128__FDSAUDITLINK__" vbProcedure="false">{"fdsup://directions/FAT Viewer?action=UPDATE&amp;creator=factset&amp;DYN_ARGS=TRUE&amp;DOC_NAME=FAT:FQL_AUDITING_CLIENT_TEMPLATE.FAT&amp;display_string=Audit&amp;VAR:KEY=JWJOHIRO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580685&amp;VAR:INDEX=0"}</definedName>
    <definedName function="false" hidden="true" name="_3129__FDSAUDITLINK__" vbProcedure="false">{"fdsup://directions/FAT Viewer?action=UPDATE&amp;creator=factset&amp;DYN_ARGS=TRUE&amp;DOC_NAME=FAT:FQL_AUDITING_CLIENT_TEMPLATE.FAT&amp;display_string=Audit&amp;VAR:KEY=XMLQJKRI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RE&amp;VAR:INDEX=0"}</definedName>
    <definedName function="false" hidden="true" name="_312__FDSAUDITLINK__" vbProcedure="false">{"fdsup://directions/FAT Viewer?action=UPDATE&amp;creator=factset&amp;DYN_ARGS=TRUE&amp;DOC_NAME=FAT:FQL_AUDITING_CLIENT_TEMPLATE.FAT&amp;display_string=Audit&amp;VAR:KEY=BSVOBELYPU&amp;VAR:QUERY=RkZfRUJJVERBX09QRVIoTFRNLDAsLCwsVVNEKQ==&amp;WINDOW=FIRST_POPUP&amp;HEIGHT=450&amp;WIDTH=450&amp;STAR","T_MAXIMIZED=FALSE&amp;VAR:CALENDAR=US&amp;VAR:SYMBOL=AXAS&amp;VAR:INDEX=0"}</definedName>
    <definedName function="false" hidden="true" name="_3130__FDSAUDITLINK__" vbProcedure="false">{"fdsup://Directions/FactSet Auditing Viewer?action=AUDIT_VALUE&amp;DB=129&amp;ID1=B01QGK&amp;VALUEID=02001&amp;SDATE=200902&amp;PERIODTYPE=SEMI_STD&amp;window=popup_no_bar&amp;width=385&amp;height=120&amp;START_MAXIMIZED=FALSE&amp;creator=factset&amp;display_string=Audit"}</definedName>
    <definedName function="false" hidden="true" name="_3131__FDSAUDITLINK__" vbProcedure="false">{"fdsup://Directions/FactSet Auditing Viewer?action=AUDIT_VALUE&amp;DB=129&amp;ID1=580685&amp;VALUEID=02001&amp;SDATE=201002&amp;PERIODTYPE=QTR_STD&amp;window=popup_no_bar&amp;width=385&amp;height=120&amp;START_MAXIMIZED=FALSE&amp;creator=factset&amp;display_string=Audit"}</definedName>
    <definedName function="false" hidden="true" name="_3132__FDSAUDITLINK__" vbProcedure="false">{"fdsup://directions/FAT Viewer?action=UPDATE&amp;creator=factset&amp;DYN_ARGS=TRUE&amp;DOC_NAME=FAT:FQL_AUDITING_CLIENT_TEMPLATE.FAT&amp;display_string=Audit&amp;VAR:KEY=RUVWLKNC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ALC&amp;VAR:INDEX=0"}</definedName>
    <definedName function="false" hidden="true" name="_3133__FDSAUDITLINK__" vbProcedure="false">{"fdsup://Directions/FactSet Auditing Viewer?action=AUDIT_VALUE&amp;DB=129&amp;ID1=30613710&amp;VALUEID=02001&amp;SDATE=201002&amp;PERIODTYPE=QTR_STD&amp;window=popup_no_bar&amp;width=385&amp;height=120&amp;START_MAXIMIZED=FALSE&amp;creator=factset&amp;display_string=Audit"}</definedName>
    <definedName function="false" hidden="true" name="_3134__FDSAUDITLINK__" vbProcedure="false">{"fdsup://directions/FAT Viewer?action=UPDATE&amp;creator=factset&amp;DYN_ARGS=TRUE&amp;DOC_NAME=FAT:FQL_AUDITING_CLIENT_TEMPLATE.FAT&amp;display_string=Audit&amp;VAR:KEY=VQFAFIRI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079W5&amp;VAR:INDEX=0"}</definedName>
    <definedName function="false" hidden="true" name="_3135__FDSAUDITLINK__" vbProcedure="false">{"fdsup://directions/FAT Viewer?action=UPDATE&amp;creator=factset&amp;DYN_ARGS=TRUE&amp;DOC_NAME=FAT:FQL_AUDITING_CLIENT_TEMPLATE.FAT&amp;display_string=Audit&amp;VAR:KEY=ROPANYNS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OVL&amp;VAR:INDEX=0"}</definedName>
    <definedName function="false" hidden="true" name="_3136__FDSAUDITLINK__" vbProcedure="false">{"fdsup://Directions/FactSet Auditing Viewer?action=AUDIT_VALUE&amp;DB=129&amp;ID1=B079W5&amp;VALUEID=02001&amp;SDATE=200902&amp;PERIODTYPE=SEMI_STD&amp;window=popup_no_bar&amp;width=385&amp;height=120&amp;START_MAXIMIZED=FALSE&amp;creator=factset&amp;display_string=Audit"}</definedName>
    <definedName function="false" hidden="true" name="_3137__FDSAUDITLINK__" vbProcedure="false">{"fdsup://Directions/FactSet Auditing Viewer?action=AUDIT_VALUE&amp;DB=129&amp;ID1=67000610&amp;VALUEID=02001&amp;SDATE=201003&amp;PERIODTYPE=QTR_STD&amp;window=popup_no_bar&amp;width=385&amp;height=120&amp;START_MAXIMIZED=FALSE&amp;creator=factset&amp;display_string=Audit"}</definedName>
    <definedName function="false" hidden="true" name="_3138__FDSAUDITLINK__" vbProcedure="false">{"fdsup://directions/FAT Viewer?action=UPDATE&amp;creator=factset&amp;DYN_ARGS=TRUE&amp;DOC_NAME=FAT:FQL_AUDITING_CLIENT_TEMPLATE.FAT&amp;display_string=Audit&amp;VAR:KEY=RIFUFMFS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K95&amp;VAR:INDEX=0"}</definedName>
    <definedName function="false" hidden="true" name="_3139__FDSAUDITLINK__" vbProcedure="false">{"fdsup://directions/FAT Viewer?action=UPDATE&amp;creator=factset&amp;DYN_ARGS=TRUE&amp;DOC_NAME=FAT:FQL_AUDITING_CLIENT_TEMPLATE.FAT&amp;display_string=Audit&amp;VAR:KEY=TGLELWFG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F1W&amp;VAR:INDEX=0"}</definedName>
    <definedName function="false" hidden="true" name="_313__FDSAUDITLINK__" vbProcedure="false">{"fdsup://directions/FAT Viewer?action=UPDATE&amp;creator=factset&amp;DYN_ARGS=TRUE&amp;DOC_NAME=FAT:FQL_AUDITING_CLIENT_TEMPLATE.FAT&amp;display_string=Audit&amp;VAR:KEY=ZKDETMFKBS&amp;VAR:QUERY=RkZfRUJJVERBX09QRVIoTFRNLDAsLCwsVVNEKQ==&amp;WINDOW=FIRST_POPUP&amp;HEIGHT=450&amp;WIDTH=450&amp;STAR","T_MAXIMIZED=FALSE&amp;VAR:CALENDAR=US&amp;VAR:SYMBOL=KRO&amp;VAR:INDEX=0"}</definedName>
    <definedName function="false" hidden="true" name="_3140__FDSAUDITLINK__" vbProcedure="false">{"fdsup://directions/FAT Viewer?action=UPDATE&amp;creator=factset&amp;DYN_ARGS=TRUE&amp;DOC_NAME=FAT:FQL_AUDITING_CLIENT_TEMPLATE.FAT&amp;display_string=Audit&amp;VAR:KEY=BAPYHUNY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IPS&amp;VAR:INDEX=0"}</definedName>
    <definedName function="false" hidden="true" name="_3141__FDSAUDITLINK__" vbProcedure="false">{"fdsup://Directions/FactSet Auditing Viewer?action=AUDIT_VALUE&amp;DB=129&amp;ID1=60456710&amp;VALUEID=02001&amp;SDATE=201004&amp;PERIODTYPE=QTR_STD&amp;window=popup_no_bar&amp;width=385&amp;height=120&amp;START_MAXIMIZED=FALSE&amp;creator=factset&amp;display_string=Audit"}</definedName>
    <definedName function="false" hidden="true" name="_3142__FDSAUDITLINK__" vbProcedure="false">{"fdsup://directions/FAT Viewer?action=UPDATE&amp;creator=factset&amp;DYN_ARGS=TRUE&amp;DOC_NAME=FAT:FQL_AUDITING_CLIENT_TEMPLATE.FAT&amp;display_string=Audit&amp;VAR:KEY=ZWFGZKBCFO&amp;VAR:QUERY=KEZTTF9ORVRfSU5DKE5PVyxOT1csRlNBLCxVU0QpQEZGX05FVF9JTkMoTFRNUywwLCwsLFVTRCkp&amp;WINDOW=F","IRST_POPUP&amp;HEIGHT=450&amp;WIDTH=450&amp;START_MAXIMIZED=FALSE&amp;VAR:CALENDAR=US&amp;VAR:SYMBOL=EPIQ&amp;VAR:INDEX=0"}</definedName>
    <definedName function="false" hidden="true" name="_3143__FDSAUDITLINK__" vbProcedure="false">{"fdsup://directions/FAT Viewer?action=UPDATE&amp;creator=factset&amp;DYN_ARGS=TRUE&amp;DOC_NAME=FAT:FQL_AUDITING_CLIENT_TEMPLATE.FAT&amp;display_string=Audit&amp;VAR:KEY=DMLIJMRCHW&amp;VAR:QUERY=KEZTTF9ORVRfSU5DKE5PVyxOT1csRlNBLCxVU0QpQEZGX05FVF9JTkMoTFRNUywwLCwsLFVTRCkp&amp;WINDOW=F","IRST_POPUP&amp;HEIGHT=450&amp;WIDTH=450&amp;START_MAXIMIZED=FALSE&amp;VAR:CALENDAR=US&amp;VAR:SYMBOL=EPIC&amp;VAR:INDEX=0"}</definedName>
    <definedName function="false" hidden="true" name="_3144__FDSAUDITLINK__" vbProcedure="false">{"fdsup://directions/FAT Viewer?action=UPDATE&amp;creator=factset&amp;DYN_ARGS=TRUE&amp;DOC_NAME=FAT:FQL_AUDITING_CLIENT_TEMPLATE.FAT&amp;display_string=Audit&amp;VAR:KEY=TWHCBAVO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AN&amp;VAR:INDEX=0"}</definedName>
    <definedName function="false" hidden="true" name="_3145__FDSAUDITLINK__" vbProcedure="false">{"fdsup://directions/FAT Viewer?action=UPDATE&amp;creator=factset&amp;DYN_ARGS=TRUE&amp;DOC_NAME=FAT:FQL_AUDITING_CLIENT_TEMPLATE.FAT&amp;display_string=Audit&amp;VAR:KEY=LQDAJUVQ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IQ&amp;VAR:INDEX=0"}</definedName>
    <definedName function="false" hidden="true" name="_3146__FDSAUDITLINK__" vbProcedure="false">{"fdsup://directions/FAT Viewer?action=UPDATE&amp;creator=factset&amp;DYN_ARGS=TRUE&amp;DOC_NAME=FAT:FQL_AUDITING_CLIENT_TEMPLATE.FAT&amp;display_string=Audit&amp;VAR:KEY=JQVOLQRK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IC&amp;VAR:INDEX=0"}</definedName>
    <definedName function="false" hidden="true" name="_3147__FDSAUDITLINK__" vbProcedure="false">{"fdsup://Directions/FactSet Auditing Viewer?action=AUDIT_VALUE&amp;DB=129&amp;ID1=24802R50&amp;VALUEID=02001&amp;SDATE=201002&amp;PERIODTYPE=QTR_STD&amp;window=popup_no_bar&amp;width=385&amp;height=120&amp;START_MAXIMIZED=FALSE&amp;creator=factset&amp;display_string=Audit"}</definedName>
    <definedName function="false" hidden="true" name="_3148__FDSAUDITLINK__" vbProcedure="false">{"fdsup://Directions/FactSet Auditing Viewer?action=AUDIT_VALUE&amp;DB=129&amp;ID1=29426L10&amp;VALUEID=02001&amp;SDATE=201002&amp;PERIODTYPE=QTR_STD&amp;window=popup_no_bar&amp;width=385&amp;height=120&amp;START_MAXIMIZED=FALSE&amp;creator=factset&amp;display_string=Audit"}</definedName>
    <definedName function="false" hidden="true" name="_3149__FDSAUDITLINK__" vbProcedure="false">{"fdsup://Directions/FactSet Auditing Viewer?action=AUDIT_VALUE&amp;DB=129&amp;ID1=56275010&amp;VALUEID=02001&amp;SDATE=201003&amp;PERIODTYPE=QTR_STD&amp;window=popup_no_bar&amp;width=385&amp;height=120&amp;START_MAXIMIZED=FALSE&amp;creator=factset&amp;display_string=Audit"}</definedName>
    <definedName function="false" hidden="true" name="_314__FDSAUDITLINK__" vbProcedure="false">{"fdsup://directions/FAT Viewer?action=UPDATE&amp;creator=factset&amp;DYN_ARGS=TRUE&amp;DOC_NAME=FAT:FQL_AUDITING_CLIENT_TEMPLATE.FAT&amp;display_string=Audit&amp;VAR:KEY=BIXWLMPQXA&amp;VAR:QUERY=RkZfRUJJVERBX09QRVIoTFRNLDAsLCwsVVNEKQ==&amp;WINDOW=FIRST_POPUP&amp;HEIGHT=450&amp;WIDTH=450&amp;STAR","T_MAXIMIZED=FALSE&amp;VAR:CALENDAR=US&amp;VAR:SYMBOL=ASEI&amp;VAR:INDEX=0"}</definedName>
    <definedName function="false" hidden="true" name="_3150__FDSAUDITLINK__" vbProcedure="false">{"fdsup://Directions/FactSet Auditing Viewer?action=AUDIT_VALUE&amp;DB=129&amp;ID1=70021530&amp;VALUEID=02001&amp;SDATE=201004&amp;PERIODTYPE=QTR_STD&amp;window=popup_no_bar&amp;width=385&amp;height=120&amp;START_MAXIMIZED=FALSE&amp;creator=factset&amp;display_string=Audit"}</definedName>
    <definedName function="false" hidden="true" name="_3151__FDSAUDITLINK__" vbProcedure="false">{"fdsup://Directions/FactSet Auditing Viewer?action=AUDIT_VALUE&amp;DB=129&amp;ID1=703513&amp;VALUEID=02001&amp;SDATE=201001&amp;PERIODTYPE=SEMI_STD&amp;window=popup_no_bar&amp;width=385&amp;height=120&amp;START_MAXIMIZED=FALSE&amp;creator=factset&amp;display_string=Audit"}</definedName>
    <definedName function="false" hidden="true" name="_3152__FDSAUDITLINK__" vbProcedure="false">{"fdsup://Directions/FactSet Auditing Viewer?action=AUDIT_VALUE&amp;DB=129&amp;ID1=E9021510&amp;VALUEID=02001&amp;SDATE=201002&amp;PERIODTYPE=QTR_STD&amp;window=popup_no_bar&amp;width=385&amp;height=120&amp;START_MAXIMIZED=FALSE&amp;creator=factset&amp;display_string=Audit"}</definedName>
    <definedName function="false" hidden="true" name="_3153__FDSAUDITLINK__" vbProcedure="false">{"fdsup://directions/FAT Viewer?action=UPDATE&amp;creator=factset&amp;DYN_ARGS=TRUE&amp;DOC_NAME=FAT:FQL_AUDITING_CLIENT_TEMPLATE.FAT&amp;display_string=Audit&amp;VAR:KEY=LWPADSTM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TAL&amp;VAR:INDEX=0"}</definedName>
    <definedName function="false" hidden="true" name="_3154__FDSAUDITLINK__" vbProcedure="false">{"fdsup://Directions/FactSet Auditing Viewer?action=AUDIT_VALUE&amp;DB=129&amp;ID1=92846N10&amp;VALUEID=02001&amp;SDATE=201002&amp;PERIODTYPE=QTR_STD&amp;window=popup_no_bar&amp;width=385&amp;height=120&amp;START_MAXIMIZED=FALSE&amp;creator=factset&amp;display_string=Audit"}</definedName>
    <definedName function="false" hidden="true" name="_3155__FDSAUDITLINK__" vbProcedure="false">{"fdsup://directions/FAT Viewer?action=UPDATE&amp;creator=factset&amp;DYN_ARGS=TRUE&amp;DOC_NAME=FAT:FQL_AUDITING_CLIENT_TEMPLATE.FAT&amp;display_string=Audit&amp;VAR:KEY=LGFKDITE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455228&amp;VAR:INDEX=0"}</definedName>
    <definedName function="false" hidden="true" name="_3156__FDSAUDITLINK__" vbProcedure="false">{"fdsup://directions/FAT Viewer?action=UPDATE&amp;creator=factset&amp;DYN_ARGS=TRUE&amp;DOC_NAME=FAT:FQL_AUDITING_CLIENT_TEMPLATE.FAT&amp;display_string=Audit&amp;VAR:KEY=ZUXGBCRW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583121&amp;VAR:INDEX=0"}</definedName>
    <definedName function="false" hidden="true" name="_3157__FDSAUDITLINK__" vbProcedure="false">{"fdsup://Directions/FactSet Auditing Viewer?action=AUDIT_VALUE&amp;DB=129&amp;ID1=30049R20&amp;VALUEID=02001&amp;SDATE=201002&amp;PERIODTYPE=QTR_STD&amp;window=popup_no_bar&amp;width=385&amp;height=120&amp;START_MAXIMIZED=FALSE&amp;creator=factset&amp;display_string=Audit"}</definedName>
    <definedName function="false" hidden="true" name="_3158__FDSAUDITLINK__" vbProcedure="false">{"fdsup://directions/FAT Viewer?action=UPDATE&amp;creator=factset&amp;DYN_ARGS=TRUE&amp;DOC_NAME=FAT:FQL_AUDITING_CLIENT_TEMPLATE.FAT&amp;display_string=Audit&amp;VAR:KEY=FKJOTCBELI&amp;VAR:QUERY=KEZTTF9ORVRfSU5DKE5PVyxOT1csRlNBLCxVU0QpQEZGX05FVF9JTkMoTFRNUywwLCwsLFVTRCkp&amp;WINDOW=F","IRST_POPUP&amp;HEIGHT=450&amp;WIDTH=450&amp;START_MAXIMIZED=FALSE&amp;VAR:CALENDAR=US&amp;VAR:SYMBOL=SONE&amp;VAR:INDEX=0"}</definedName>
    <definedName function="false" hidden="true" name="_3159__FDSAUDITLINK__" vbProcedure="false">{"fdsup://directions/FAT Viewer?action=UPDATE&amp;creator=factset&amp;DYN_ARGS=TRUE&amp;DOC_NAME=FAT:FQL_AUDITING_CLIENT_TEMPLATE.FAT&amp;display_string=Audit&amp;VAR:KEY=TCZMDWNGBC&amp;VAR:QUERY=KEZTTF9ORVRfSU5DKE5PVyxOT1csRlNBLCxVU0QpQEZGX05FVF9JTkMoTFRNUywwLCwsLFVTRCkp&amp;WINDOW=F","IRST_POPUP&amp;HEIGHT=450&amp;WIDTH=450&amp;START_MAXIMIZED=FALSE&amp;VAR:CALENDAR=US&amp;VAR:SYMBOL=ACIW&amp;VAR:INDEX=0"}</definedName>
    <definedName function="false" hidden="true" name="_315__FDSAUDITLINK__" vbProcedure="false">{"fdsup://directions/FAT Viewer?action=UPDATE&amp;creator=factset&amp;DYN_ARGS=TRUE&amp;DOC_NAME=FAT:FQL_AUDITING_CLIENT_TEMPLATE.FAT&amp;display_string=Audit&amp;VAR:KEY=XWZCXUFERG&amp;VAR:QUERY=RkZfRUJJVERBX09QRVIoTFRNLDAsLCwsVVNEKQ==&amp;WINDOW=FIRST_POPUP&amp;HEIGHT=450&amp;WIDTH=450&amp;STAR","T_MAXIMIZED=FALSE&amp;VAR:CALENDAR=US&amp;VAR:SYMBOL=NOA&amp;VAR:INDEX=0"}</definedName>
    <definedName function="false" hidden="true" name="_3160__FDSAUDITLINK__" vbProcedure="false">{"fdsup://directions/FAT Viewer?action=UPDATE&amp;creator=factset&amp;DYN_ARGS=TRUE&amp;DOC_NAME=FAT:FQL_AUDITING_CLIENT_TEMPLATE.FAT&amp;display_string=Audit&amp;VAR:KEY=NQFKBONW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C&amp;VAR:INDEX=0"}</definedName>
    <definedName function="false" hidden="true" name="_3161__FDSAUDITLINK__" vbProcedure="false">{"fdsup://directions/FAT Viewer?action=UPDATE&amp;creator=factset&amp;DYN_ARGS=TRUE&amp;DOC_NAME=FAT:FQL_AUDITING_CLIENT_TEMPLATE.FAT&amp;display_string=Audit&amp;VAR:KEY=HWPAFKZK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NDT&amp;VAR:INDEX=0"}</definedName>
    <definedName function="false" hidden="true" name="_3162__FDSAUDITLINK__" vbProcedure="false">{"fdsup://directions/FAT Viewer?action=UPDATE&amp;creator=factset&amp;DYN_ARGS=TRUE&amp;DOC_NAME=FAT:FQL_AUDITING_CLIENT_TEMPLATE.FAT&amp;display_string=Audit&amp;VAR:KEY=ZUHMRSBU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NE&amp;VAR:INDEX=0"}</definedName>
    <definedName function="false" hidden="true" name="_3163__FDSAUDITLINK__" vbProcedure="false">{"fdsup://Directions/FactSet Auditing Viewer?action=AUDIT_VALUE&amp;DB=129&amp;ID1=68273G10&amp;VALUEID=02001&amp;SDATE=201002&amp;PERIODTYPE=QTR_STD&amp;window=popup_no_bar&amp;width=385&amp;height=120&amp;START_MAXIMIZED=FALSE&amp;creator=factset&amp;display_string=Audit"}</definedName>
    <definedName function="false" hidden="true" name="_3164__FDSAUDITLINK__" vbProcedure="false">{"fdsup://directions/FAT Viewer?action=UPDATE&amp;creator=factset&amp;DYN_ARGS=TRUE&amp;DOC_NAME=FAT:FQL_AUDITING_CLIENT_TEMPLATE.FAT&amp;display_string=Audit&amp;VAR:KEY=TMHGTUPYLO&amp;VAR:QUERY=KEZTTF9ORVRfSU5DKE5PVyxOT1csRlNBLCxVU0QpQEZGX05FVF9JTkMoTFRNUywwLCwsLFVTRCkp&amp;WINDOW=F","IRST_POPUP&amp;HEIGHT=450&amp;WIDTH=450&amp;START_MAXIMIZED=FALSE&amp;VAR:CALENDAR=US&amp;VAR:SYMBOL=SPSC&amp;VAR:INDEX=0"}</definedName>
    <definedName function="false" hidden="true" name="_3165__FDSAUDITLINK__" vbProcedure="false">{"fdsup://directions/FAT Viewer?action=UPDATE&amp;creator=factset&amp;DYN_ARGS=TRUE&amp;DOC_NAME=FAT:FQL_AUDITING_CLIENT_TEMPLATE.FAT&amp;display_string=Audit&amp;VAR:KEY=LWXMRMZU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594228&amp;VAR:INDEX=0"}</definedName>
    <definedName function="false" hidden="true" name="_3166__FDSAUDITLINK__" vbProcedure="false">{"fdsup://Directions/FactSet Auditing Viewer?action=AUDIT_VALUE&amp;DB=129&amp;ID1=596787&amp;VALUEID=02001&amp;SDATE=201001&amp;PERIODTYPE=SEMI_STD&amp;window=popup_no_bar&amp;width=385&amp;height=120&amp;START_MAXIMIZED=FALSE&amp;creator=factset&amp;display_string=Audit"}</definedName>
    <definedName function="false" hidden="true" name="_3167__FDSAUDITLINK__" vbProcedure="false">{"fdsup://directions/FAT Viewer?action=UPDATE&amp;creator=factset&amp;DYN_ARGS=TRUE&amp;DOC_NAME=FAT:FQL_AUDITING_CLIENT_TEMPLATE.FAT&amp;display_string=Audit&amp;VAR:KEY=PMFQTCNYJI&amp;VAR:QUERY=KEZTTF9ORVRfSU5DKE5PVyxOT1csRlNBLCxVU0QpQEZGX05FVF9JTkMoTFRNUywwLCwsLFVTRCkp&amp;WINDOW=F","IRST_POPUP&amp;HEIGHT=450&amp;WIDTH=450&amp;START_MAXIMIZED=FALSE&amp;VAR:CALENDAR=US&amp;VAR:SYMBOL=HSII&amp;VAR:INDEX=0"}</definedName>
    <definedName function="false" hidden="true" name="_3168__FDSAUDITLINK__" vbProcedure="false">{"fdsup://directions/FAT Viewer?action=UPDATE&amp;creator=factset&amp;DYN_ARGS=TRUE&amp;DOC_NAME=FAT:FQL_AUDITING_CLIENT_TEMPLATE.FAT&amp;display_string=Audit&amp;VAR:KEY=NERMFMXGLQ&amp;VAR:QUERY=KEZTTF9ORVRfSU5DKE5PVyxOT1csRlNBLCxVU0QpQEZGX05FVF9JTkMoTFRNUywwLCwsLFVTRCkp&amp;WINDOW=F","IRST_POPUP&amp;HEIGHT=450&amp;WIDTH=450&amp;START_MAXIMIZED=FALSE&amp;VAR:CALENDAR=US&amp;VAR:SYMBOL=MWW&amp;VAR:INDEX=0"}</definedName>
    <definedName function="false" hidden="true" name="_3169__FDSAUDITLINK__" vbProcedure="false">{"fdsup://directions/FAT Viewer?action=UPDATE&amp;creator=factset&amp;DYN_ARGS=TRUE&amp;DOC_NAME=FAT:FQL_AUDITING_CLIENT_TEMPLATE.FAT&amp;display_string=Audit&amp;VAR:KEY=NORGFQZQZY&amp;VAR:QUERY=KEZTTF9ORVRfSU5DKE5PVyxOT1csRlNBLCxVU0QpQEZGX05FVF9JTkMoTFRNUywwLCwsLFVTRCkp&amp;WINDOW=F","IRST_POPUP&amp;HEIGHT=450&amp;WIDTH=450&amp;START_MAXIMIZED=FALSE&amp;VAR:CALENDAR=US&amp;VAR:SYMBOL=50064320&amp;VAR:INDEX=0"}</definedName>
    <definedName function="false" hidden="true" name="_316__FDSAUDITLINK__" vbProcedure="false">{"fdsup://directions/FAT Viewer?action=UPDATE&amp;creator=factset&amp;DYN_ARGS=TRUE&amp;DOC_NAME=FAT:FQL_AUDITING_CLIENT_TEMPLATE.FAT&amp;display_string=Audit&amp;VAR:KEY=FYDUXODUPS&amp;VAR:QUERY=KEZTTF9ORVRfSU5DKE5PVyxOT1csRlNBLCxVU0QpQEZGX05FVF9JTkMoTFRNUywwLCwsLFVTRCkp&amp;WINDOW=F","IRST_POPUP&amp;HEIGHT=450&amp;WIDTH=450&amp;START_MAXIMIZED=FALSE&amp;VAR:CALENDAR=US&amp;VAR:SYMBOL=ANTP&amp;VAR:INDEX=0"}</definedName>
    <definedName function="false" hidden="true" name="_3170__FDSAUDITLINK__" vbProcedure="false">{"fdsup://directions/FAT Viewer?action=UPDATE&amp;creator=factset&amp;DYN_ARGS=TRUE&amp;DOC_NAME=FAT:FQL_AUDITING_CLIENT_TEMPLATE.FAT&amp;display_string=Audit&amp;VAR:KEY=POTEHYLYPG&amp;VAR:QUERY=KEZTTF9ORVRfSU5DKE5PVyxOT1csRlNBLCxVU0QpQEZGX05FVF9JTkMoTFRNUywwLCwsLFVTRCkp&amp;WINDOW=F","IRST_POPUP&amp;HEIGHT=450&amp;WIDTH=450&amp;START_MAXIMIZED=FALSE&amp;VAR:CALENDAR=US&amp;VAR:SYMBOL=31682710&amp;VAR:INDEX=0"}</definedName>
    <definedName function="false" hidden="true" name="_3171__FDSAUDITLINK__" vbProcedure="false">{"fdsup://directions/FAT Viewer?action=UPDATE&amp;creator=factset&amp;DYN_ARGS=TRUE&amp;DOC_NAME=FAT:FQL_AUDITING_CLIENT_TEMPLATE.FAT&amp;display_string=Audit&amp;VAR:KEY=NGJYPMFOTW&amp;VAR:QUERY=KEZTTF9ORVRfSU5DKE5PVyxOT1csRlNBLCxVU0QpQEZGX05FVF9JTkMoTFRNUywwLCwsLFVTRCkp&amp;WINDOW=F","IRST_POPUP&amp;HEIGHT=450&amp;WIDTH=450&amp;START_MAXIMIZED=FALSE&amp;VAR:CALENDAR=US&amp;VAR:SYMBOL=25301710&amp;VAR:INDEX=0"}</definedName>
    <definedName function="false" hidden="true" name="_3172__FDSAUDITLINK__" vbProcedure="false">{"fdsup://directions/FAT Viewer?action=UPDATE&amp;creator=factset&amp;DYN_ARGS=TRUE&amp;DOC_NAME=FAT:FQL_AUDITING_CLIENT_TEMPLATE.FAT&amp;display_string=Audit&amp;VAR:KEY=PILWFITU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SII&amp;VAR:INDEX=0"}</definedName>
    <definedName function="false" hidden="true" name="_3173__FDSAUDITLINK__" vbProcedure="false">{"fdsup://directions/FAT Viewer?action=UPDATE&amp;creator=factset&amp;DYN_ARGS=TRUE&amp;DOC_NAME=FAT:FQL_AUDITING_CLIENT_TEMPLATE.FAT&amp;display_string=Audit&amp;VAR:KEY=FUTWPCZONY&amp;VAR:QUERY=KEZTTF9ORVRfSU5DKE5PVyxOT1csRlNBLCxVU0QpQEZGX05FVF9JTkMoTFRNUywwLCwsLFVTRCkp&amp;WINDOW=F","IRST_POPUP&amp;HEIGHT=450&amp;WIDTH=450&amp;START_MAXIMIZED=FALSE&amp;VAR:CALENDAR=US&amp;VAR:SYMBOL=AHS&amp;VAR:INDEX=0"}</definedName>
    <definedName function="false" hidden="true" name="_3174__FDSAUDITLINK__" vbProcedure="false">{"fdsup://directions/FAT Viewer?action=UPDATE&amp;creator=factset&amp;DYN_ARGS=TRUE&amp;DOC_NAME=FAT:FQL_AUDITING_CLIENT_TEMPLATE.FAT&amp;display_string=Audit&amp;VAR:KEY=VYHQFSLWDW&amp;VAR:QUERY=KEZTTF9ORVRfSU5DKE5PVyxOT1csRlNBLCxVU0QpQEZGX05FVF9JTkMoTFRNUywwLCwsLFVTRCkp&amp;WINDOW=F","IRST_POPUP&amp;HEIGHT=450&amp;WIDTH=450&amp;START_MAXIMIZED=FALSE&amp;VAR:CALENDAR=US&amp;VAR:SYMBOL=22748310&amp;VAR:INDEX=0"}</definedName>
    <definedName function="false" hidden="true" name="_3175__FDSAUDITLINK__" vbProcedure="false">{"fdsup://directions/FAT Viewer?action=UPDATE&amp;creator=factset&amp;DYN_ARGS=TRUE&amp;DOC_NAME=FAT:FQL_AUDITING_CLIENT_TEMPLATE.FAT&amp;display_string=Audit&amp;VAR:KEY=VKJWHAXALA&amp;VAR:QUERY=KEZTTF9ORVRfSU5DKE5PVyxOT1csRlNBLCxVU0QpQEZGX05FVF9JTkMoTFRNUywwLCwsLFVTRCkp&amp;WINDOW=F","IRST_POPUP&amp;HEIGHT=450&amp;WIDTH=450&amp;START_MAXIMIZED=FALSE&amp;VAR:CALENDAR=US&amp;VAR:SYMBOL=89785X10&amp;VAR:INDEX=0"}</definedName>
    <definedName function="false" hidden="true" name="_3176__FDSAUDITLINK__" vbProcedure="false">{"fdsup://directions/FAT Viewer?action=UPDATE&amp;creator=factset&amp;DYN_ARGS=TRUE&amp;DOC_NAME=FAT:FQL_AUDITING_CLIENT_TEMPLATE.FAT&amp;display_string=Audit&amp;VAR:KEY=FIZYJANAJO&amp;VAR:QUERY=KEZTTF9ORVRfSU5DKE5PVyxOT1csRlNBLCxVU0QpQEZGX05FVF9JTkMoTFRNUywwLCwsLFVTRCkp&amp;WINDOW=F","IRST_POPUP&amp;HEIGHT=450&amp;WIDTH=450&amp;START_MAXIMIZED=FALSE&amp;VAR:CALENDAR=US&amp;VAR:SYMBOL=CDI&amp;VAR:INDEX=0"}</definedName>
    <definedName function="false" hidden="true" name="_3177__FDSAUDITLINK__" vbProcedure="false">{"fdsup://directions/FAT Viewer?action=UPDATE&amp;creator=factset&amp;DYN_ARGS=TRUE&amp;DOC_NAME=FAT:FQL_AUDITING_CLIENT_TEMPLATE.FAT&amp;display_string=Audit&amp;VAR:KEY=HUHGJQHWPQ&amp;VAR:QUERY=KEZTTF9ORVRfSU5DKE5PVyxOT1csRlNBLCxVU0QpQEZGX05FVF9JTkMoTFRNUywwLCwsLFVTRCkp&amp;WINDOW=F","IRST_POPUP&amp;HEIGHT=450&amp;WIDTH=450&amp;START_MAXIMIZED=FALSE&amp;VAR:CALENDAR=US&amp;VAR:SYMBOL=06846310&amp;VAR:INDEX=0"}</definedName>
    <definedName function="false" hidden="true" name="_3178__FDSAUDITLINK__" vbProcedure="false">{"fdsup://directions/FAT Viewer?action=UPDATE&amp;creator=factset&amp;DYN_ARGS=TRUE&amp;DOC_NAME=FAT:FQL_AUDITING_CLIENT_TEMPLATE.FAT&amp;display_string=Audit&amp;VAR:KEY=TCLCRKTONQ&amp;VAR:QUERY=KEZTTF9ORVRfSU5DKE5PVyxOT1csRlNBLCxVU0QpQEZGX05FVF9JTkMoTFRNUywwLCwsLFVTRCkp&amp;WINDOW=F","IRST_POPUP&amp;HEIGHT=450&amp;WIDTH=450&amp;START_MAXIMIZED=FALSE&amp;VAR:CALENDAR=US&amp;VAR:SYMBOL=68215910&amp;VAR:INDEX=0"}</definedName>
    <definedName function="false" hidden="true" name="_3179__FDSAUDITLINK__" vbProcedure="false">{"fdsup://directions/FAT Viewer?action=UPDATE&amp;creator=factset&amp;DYN_ARGS=TRUE&amp;DOC_NAME=FAT:FQL_AUDITING_CLIENT_TEMPLATE.FAT&amp;display_string=Audit&amp;VAR:KEY=RKXAFUZA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AN&amp;VAR:INDEX=0"}</definedName>
    <definedName function="false" hidden="true" name="_317__FDSAUDITLINK__" vbProcedure="false">{"fdsup://directions/FAT Viewer?action=UPDATE&amp;creator=factset&amp;DYN_ARGS=TRUE&amp;DOC_NAME=FAT:FQL_AUDITING_CLIENT_TEMPLATE.FAT&amp;display_string=Audit&amp;VAR:KEY=HWTKTMDCLI&amp;VAR:QUERY=RkZfRUJJVERBX09QRVIoTFRNLDAsLCwsVVNEKQ==&amp;WINDOW=FIRST_POPUP&amp;HEIGHT=450&amp;WIDTH=450&amp;STAR","T_MAXIMIZED=FALSE&amp;VAR:CALENDAR=US&amp;VAR:SYMBOL=KEG&amp;VAR:INDEX=0"}</definedName>
    <definedName function="false" hidden="true" name="_3180__FDSAUDITLINK__" vbProcedure="false">{"fdsup://directions/FAT Viewer?action=UPDATE&amp;creator=factset&amp;DYN_ARGS=TRUE&amp;DOC_NAME=FAT:FQL_AUDITING_CLIENT_TEMPLATE.FAT&amp;display_string=Audit&amp;VAR:KEY=PCTAFINU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00709410&amp;VAR:INDEX=0"}</definedName>
    <definedName function="false" hidden="true" name="_3181__FDSAUDITLINK__" vbProcedure="false">{"fdsup://directions/FAT Viewer?action=UPDATE&amp;creator=factset&amp;DYN_ARGS=TRUE&amp;DOC_NAME=FAT:FQL_AUDITING_CLIENT_TEMPLATE.FAT&amp;display_string=Audit&amp;VAR:KEY=VEFYVERK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HS&amp;VAR:INDEX=0"}</definedName>
    <definedName function="false" hidden="true" name="_3182__FDSAUDITLINK__" vbProcedure="false">{"fdsup://directions/FAT Viewer?action=UPDATE&amp;creator=factset&amp;DYN_ARGS=TRUE&amp;DOC_NAME=FAT:FQL_AUDITING_CLIENT_TEMPLATE.FAT&amp;display_string=Audit&amp;VAR:KEY=BWTEPEFC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F&amp;VAR:INDEX=0"}</definedName>
    <definedName function="false" hidden="true" name="_3183__FDSAUDITLINK__" vbProcedure="false">{"fdsup://directions/FAT Viewer?action=UPDATE&amp;creator=factset&amp;DYN_ARGS=TRUE&amp;DOC_NAME=FAT:FQL_AUDITING_CLIENT_TEMPLATE.FAT&amp;display_string=Audit&amp;VAR:KEY=VYJUHYFK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20038K10&amp;VAR:INDEX=0"}</definedName>
    <definedName function="false" hidden="true" name="_3184__FDSAUDITLINK__" vbProcedure="false">{"fdsup://directions/FAT Viewer?action=UPDATE&amp;creator=factset&amp;DYN_ARGS=TRUE&amp;DOC_NAME=FAT:FQL_AUDITING_CLIENT_TEMPLATE.FAT&amp;display_string=Audit&amp;VAR:KEY=NOHMXAXW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I&amp;VAR:INDEX=0"}</definedName>
    <definedName function="false" hidden="true" name="_3185__FDSAUDITLINK__" vbProcedure="false">{"fdsup://directions/FAT Viewer?action=UPDATE&amp;creator=factset&amp;DYN_ARGS=TRUE&amp;DOC_NAME=FAT:FQL_AUDITING_CLIENT_TEMPLATE.FAT&amp;display_string=Audit&amp;VAR:KEY=TQHWNALI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06846310&amp;VAR:INDEX=0"}</definedName>
    <definedName function="false" hidden="true" name="_3186__FDSAUDITLINK__" vbProcedure="false">{"fdsup://directions/FAT Viewer?action=UPDATE&amp;creator=factset&amp;DYN_ARGS=TRUE&amp;DOC_NAME=FAT:FQL_AUDITING_CLIENT_TEMPLATE.FAT&amp;display_string=Audit&amp;VAR:KEY=FONWXYNM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68215910&amp;VAR:INDEX=0"}</definedName>
    <definedName function="false" hidden="true" name="_3187__FDSAUDITLINK__" vbProcedure="false">{"fdsup://Directions/FactSet Auditing Viewer?action=AUDIT_VALUE&amp;DB=129&amp;ID1=56418H10&amp;VALUEID=02001&amp;SDATE=201003&amp;PERIODTYPE=QTR_STD&amp;window=popup_no_bar&amp;width=385&amp;height=120&amp;START_MAXIMIZED=FALSE&amp;creator=factset&amp;display_string=Audit"}</definedName>
    <definedName function="false" hidden="true" name="_3188__FDSAUDITLINK__" vbProcedure="false">{"fdsup://Directions/FactSet Auditing Viewer?action=AUDIT_VALUE&amp;DB=129&amp;ID1=00709410&amp;VALUEID=02001&amp;SDATE=201002&amp;PERIODTYPE=QTR_STD&amp;window=popup_no_bar&amp;width=385&amp;height=120&amp;START_MAXIMIZED=FALSE&amp;creator=factset&amp;display_string=Audit"}</definedName>
    <definedName function="false" hidden="true" name="_3189__FDSAUDITLINK__" vbProcedure="false">{"fdsup://Directions/FactSet Auditing Viewer?action=AUDIT_VALUE&amp;DB=129&amp;ID1=00174410&amp;VALUEID=02001&amp;SDATE=201002&amp;PERIODTYPE=QTR_STD&amp;window=popup_no_bar&amp;width=385&amp;height=120&amp;START_MAXIMIZED=FALSE&amp;creator=factset&amp;display_string=Audit"}</definedName>
    <definedName function="false" hidden="true" name="_318__FDSAUDITLINK__" vbProcedure="false">{"fdsup://directions/FAT Viewer?action=UPDATE&amp;creator=factset&amp;DYN_ARGS=TRUE&amp;DOC_NAME=FAT:FQL_AUDITING_CLIENT_TEMPLATE.FAT&amp;display_string=Audit&amp;VAR:KEY=BUBKVURAXQ&amp;VAR:QUERY=RkZfRUJJVERBX09QRVIoTFRNLDAsLCwsVVNEKQ==&amp;WINDOW=FIRST_POPUP&amp;HEIGHT=450&amp;WIDTH=450&amp;STAR","T_MAXIMIZED=FALSE&amp;VAR:CALENDAR=US&amp;VAR:SYMBOL=CRR&amp;VAR:INDEX=0"}</definedName>
    <definedName function="false" hidden="true" name="_3190__FDSAUDITLINK__" vbProcedure="false">{"fdsup://Directions/FactSet Auditing Viewer?action=AUDIT_VALUE&amp;DB=129&amp;ID1=77032310&amp;VALUEID=02001&amp;SDATE=201003&amp;PERIODTYPE=QTR_STD&amp;window=popup_no_bar&amp;width=385&amp;height=120&amp;START_MAXIMIZED=FALSE&amp;creator=factset&amp;display_string=Audit"}</definedName>
    <definedName function="false" hidden="true" name="_3191__FDSAUDITLINK__" vbProcedure="false">{"fdsup://Directions/FactSet Auditing Viewer?action=AUDIT_VALUE&amp;DB=129&amp;ID1=20038K10&amp;VALUEID=02001&amp;SDATE=201002&amp;PERIODTYPE=QTR_STD&amp;window=popup_no_bar&amp;width=385&amp;height=120&amp;START_MAXIMIZED=FALSE&amp;creator=factset&amp;display_string=Audit"}</definedName>
    <definedName function="false" hidden="true" name="_3192__FDSAUDITLINK__" vbProcedure="false">{"fdsup://Directions/FactSet Auditing Viewer?action=AUDIT_VALUE&amp;DB=129&amp;ID1=12507110&amp;VALUEID=02001&amp;SDATE=201002&amp;PERIODTYPE=QTR_STD&amp;window=popup_no_bar&amp;width=385&amp;height=120&amp;START_MAXIMIZED=FALSE&amp;creator=factset&amp;display_string=Audit"}</definedName>
    <definedName function="false" hidden="true" name="_3193__FDSAUDITLINK__" vbProcedure="false">{"fdsup://Directions/FactSet Auditing Viewer?action=AUDIT_VALUE&amp;DB=129&amp;ID1=06846310&amp;VALUEID=02001&amp;SDATE=201002&amp;PERIODTYPE=QTR_STD&amp;window=popup_no_bar&amp;width=385&amp;height=120&amp;START_MAXIMIZED=FALSE&amp;creator=factset&amp;display_string=Audit"}</definedName>
    <definedName function="false" hidden="true" name="_3194__FDSAUDITLINK__" vbProcedure="false">{"fdsup://Directions/FactSet Auditing Viewer?action=AUDIT_VALUE&amp;DB=129&amp;ID1=68215910&amp;VALUEID=02001&amp;SDATE=201002&amp;PERIODTYPE=QTR_STD&amp;window=popup_no_bar&amp;width=385&amp;height=120&amp;START_MAXIMIZED=FALSE&amp;creator=factset&amp;display_string=Audit"}</definedName>
    <definedName function="false" hidden="true" name="_3195__FDSAUDITLINK__" vbProcedure="false">{"fdsup://Directions/FactSet Auditing Viewer?action=AUDIT_VALUE&amp;DB=129&amp;ID1=26864810&amp;VALUEID=02001&amp;SDATE=201003&amp;PERIODTYPE=QTR_STD&amp;window=popup_no_bar&amp;width=385&amp;height=120&amp;START_MAXIMIZED=FALSE&amp;creator=factset&amp;display_string=Audit"}</definedName>
    <definedName function="false" hidden="true" name="_3196__FDSAUDITLINK__" vbProcedure="false">{"fdsup://Directions/FactSet Auditing Viewer?action=AUDIT_VALUE&amp;DB=129&amp;ID1=92856340&amp;VALUEID=02001&amp;SDATE=201003&amp;PERIODTYPE=QTR_STD&amp;window=popup_no_bar&amp;width=385&amp;height=120&amp;START_MAXIMIZED=FALSE&amp;creator=factset&amp;display_string=Audit"}</definedName>
    <definedName function="false" hidden="true" name="_3197__FDSAUDITLINK__" vbProcedure="false">{"fdsup://directions/FAT Viewer?action=UPDATE&amp;creator=factset&amp;DYN_ARGS=TRUE&amp;DOC_NAME=FAT:FQL_AUDITING_CLIENT_TEMPLATE.FAT&amp;display_string=Audit&amp;VAR:KEY=BOFYLMNYBK&amp;VAR:QUERY=KEZTTF9ORVRfSU5DKE5PVyxOT1csRlNBLCxVU0QpQEZGX05FVF9JTkMoTFRNUywwLCwsLFVTRCkp&amp;WINDOW=F","IRST_POPUP&amp;HEIGHT=450&amp;WIDTH=450&amp;START_MAXIMIZED=FALSE&amp;VAR:CALENDAR=US&amp;VAR:SYMBOL=IDN&amp;VAR:INDEX=0"}</definedName>
    <definedName function="false" hidden="true" name="_3198__FDSAUDITLINK__" vbProcedure="false">{"fdsup://Directions/FactSet Auditing Viewer?action=AUDIT_VALUE&amp;DB=129&amp;ID1=68371830&amp;VALUEID=02001&amp;SDATE=201004&amp;PERIODTYPE=QTR_STD&amp;window=popup_no_bar&amp;width=385&amp;height=120&amp;START_MAXIMIZED=FALSE&amp;creator=factset&amp;display_string=Audit"}</definedName>
    <definedName function="false" hidden="true" name="_3199__FDSAUDITLINK__" vbProcedure="false">{"fdsup://Directions/FactSet Auditing Viewer?action=AUDIT_VALUE&amp;DB=129&amp;ID1=45245S10&amp;VALUEID=02001&amp;SDATE=200901&amp;PERIODTYPE=QTR_STD&amp;window=popup_no_bar&amp;width=385&amp;height=120&amp;START_MAXIMIZED=FALSE&amp;creator=factset&amp;display_string=Audit"}</definedName>
    <definedName function="false" hidden="true" name="_319__FDSAUDITLINK__" vbProcedure="false">{"fdsup://directions/FAT Viewer?action=UPDATE&amp;creator=factset&amp;DYN_ARGS=TRUE&amp;DOC_NAME=FAT:FQL_AUDITING_CLIENT_TEMPLATE.FAT&amp;display_string=Audit&amp;VAR:KEY=TIJQHYXYNW&amp;VAR:QUERY=RkZfRUJJVERBX09QRVIoTFRNLDAsLCwsVVNEKQ==&amp;WINDOW=FIRST_POPUP&amp;HEIGHT=450&amp;WIDTH=450&amp;STAR","T_MAXIMIZED=FALSE&amp;VAR:CALENDAR=US&amp;VAR:SYMBOL=PDC&amp;VAR:INDEX=0"}</definedName>
    <definedName function="false" hidden="true" name="_31__123Graph_ACHART_1" vbProcedure="false">#REF!</definedName>
    <definedName function="false" hidden="true" name="_31__123Graph_DDIAGR_3" vbProcedure="false">#REF!</definedName>
    <definedName function="false" hidden="true" name="_31__FDSAUDITLINK__" vbProcedure="false">{"fdsup://directions/FAT Viewer?action=UPDATE&amp;creator=factset&amp;DYN_ARGS=TRUE&amp;DOC_NAME=FAT:FQL_AUDITING_CLIENT_TEMPLATE.FAT&amp;display_string=Audit&amp;VAR:KEY=KRGZATWXAJ&amp;VAR:QUERY=RkZfRUJJVERBX09QRVIoTFRNLDAsLCwsVVNEKQ==&amp;WINDOW=FIRST_POPUP&amp;HEIGHT=450&amp;WIDTH=450&amp;STAR","T_MAXIMIZED=FALSE&amp;VAR:CALENDAR=US&amp;VAR:SYMBOL=SPRT&amp;VAR:INDEX=0"}</definedName>
    <definedName function="false" hidden="true" name="_3200__FDSAUDITLINK__" vbProcedure="false">{"fdsup://Directions/FactSet Auditing Viewer?action=AUDIT_VALUE&amp;DB=129&amp;ID1=B05DWM&amp;VALUEID=02001&amp;SDATE=201002&amp;PERIODTYPE=QTR_STD&amp;window=popup_no_bar&amp;width=385&amp;height=120&amp;START_MAXIMIZED=FALSE&amp;creator=factset&amp;display_string=Audit"}</definedName>
    <definedName function="false" hidden="true" name="_3201__FDSAUDITLINK__" vbProcedure="false">{"fdsup://Directions/FactSet Auditing Viewer?action=AUDIT_VALUE&amp;DB=129&amp;ID1=04289L10&amp;VALUEID=02001&amp;SDATE=201002&amp;PERIODTYPE=QTR_STD&amp;window=popup_no_bar&amp;width=385&amp;height=120&amp;START_MAXIMIZED=FALSE&amp;creator=factset&amp;display_string=Audit"}</definedName>
    <definedName function="false" hidden="true" name="_3202__FDSAUDITLINK__" vbProcedure="false">{"fdsup://Directions/FactSet Auditing Viewer?action=AUDIT_VALUE&amp;DB=129&amp;ID1=92230Y10&amp;VALUEID=02001&amp;SDATE=201002&amp;PERIODTYPE=QTR_STD&amp;window=popup_no_bar&amp;width=385&amp;height=120&amp;START_MAXIMIZED=FALSE&amp;creator=factset&amp;display_string=Audit"}</definedName>
    <definedName function="false" hidden="true" name="_3203__FDSAUDITLINK__" vbProcedure="false">{"fdsup://Directions/FactSet Auditing Viewer?action=AUDIT_VALUE&amp;DB=129&amp;ID1=83616T10&amp;VALUEID=02001&amp;SDATE=201002&amp;PERIODTYPE=QTR_STD&amp;window=popup_no_bar&amp;width=385&amp;height=120&amp;START_MAXIMIZED=FALSE&amp;creator=factset&amp;display_string=Audit"}</definedName>
    <definedName function="false" hidden="true" name="_3204__FDSAUDITLINK__" vbProcedure="false">{"fdsup://Directions/FactSet Auditing Viewer?action=AUDIT_VALUE&amp;DB=129&amp;ID1=19239Y10&amp;VALUEID=02001&amp;SDATE=201002&amp;PERIODTYPE=QTR_STD&amp;window=popup_no_bar&amp;width=385&amp;height=120&amp;START_MAXIMIZED=FALSE&amp;creator=factset&amp;display_string=Audit"}</definedName>
    <definedName function="false" hidden="true" name="_3205__FDSAUDITLINK__" vbProcedure="false">{"fdsup://Directions/FactSet Auditing Viewer?action=AUDIT_VALUE&amp;DB=129&amp;ID1=20452A10&amp;VALUEID=02001&amp;SDATE=201002&amp;PERIODTYPE=QTR_STD&amp;window=popup_no_bar&amp;width=385&amp;height=120&amp;START_MAXIMIZED=FALSE&amp;creator=factset&amp;display_string=Audit"}</definedName>
    <definedName function="false" hidden="true" name="_3206__FDSAUDITLINK__" vbProcedure="false">{"fdsup://Directions/FactSet Auditing Viewer?action=AUDIT_VALUE&amp;DB=129&amp;ID1=70557310&amp;VALUEID=02001&amp;SDATE=201002&amp;PERIODTYPE=QTR_STD&amp;window=popup_no_bar&amp;width=385&amp;height=120&amp;START_MAXIMIZED=FALSE&amp;creator=factset&amp;display_string=Audit"}</definedName>
    <definedName function="false" hidden="true" name="_3207__FDSAUDITLINK__" vbProcedure="false">{"fdsup://Directions/FactSet Auditing Viewer?action=AUDIT_VALUE&amp;DB=129&amp;ID1=88632Q10&amp;VALUEID=02001&amp;SDATE=201003&amp;PERIODTYPE=QTR_STD&amp;window=popup_no_bar&amp;width=385&amp;height=120&amp;START_MAXIMIZED=FALSE&amp;creator=factset&amp;display_string=Audit"}</definedName>
    <definedName function="false" hidden="true" name="_3208__FDSAUDITLINK__" vbProcedure="false">{"fdsup://directions/FAT Viewer?action=UPDATE&amp;creator=factset&amp;DYN_ARGS=TRUE&amp;DOC_NAME=FAT:FQL_AUDITING_CLIENT_TEMPLATE.FAT&amp;display_string=Audit&amp;VAR:KEY=TANWXGVG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ME&amp;VAR:INDEX=0"}</definedName>
    <definedName function="false" hidden="true" name="_3209__FDSAUDITLINK__" vbProcedure="false">{"fdsup://Directions/FactSet Auditing Viewer?action=AUDIT_VALUE&amp;DB=129&amp;ID1=77778010&amp;VALUEID=02001&amp;SDATE=201002&amp;PERIODTYPE=QTR_STD&amp;window=popup_no_bar&amp;width=385&amp;height=120&amp;START_MAXIMIZED=FALSE&amp;creator=factset&amp;display_string=Audit"}</definedName>
    <definedName function="false" hidden="true" name="_320__FDSAUDITLINK__" vbProcedure="false">{"fdsup://directions/FAT Viewer?action=UPDATE&amp;creator=factset&amp;DYN_ARGS=TRUE&amp;DOC_NAME=FAT:FQL_AUDITING_CLIENT_TEMPLATE.FAT&amp;display_string=Audit&amp;VAR:KEY=JSJWNMDMZK&amp;VAR:QUERY=RkZfRUJJVERBX09QRVIoTFRNLDAsLCwsVVNEKQ==&amp;WINDOW=FIRST_POPUP&amp;HEIGHT=450&amp;WIDTH=450&amp;STAR","T_MAXIMIZED=FALSE&amp;VAR:CALENDAR=US&amp;VAR:SYMBOL=DVR&amp;VAR:INDEX=0"}</definedName>
    <definedName function="false" hidden="true" name="_3210__FDSAUDITLINK__" vbProcedure="false">{"fdsup://Directions/FactSet Auditing Viewer?action=AUDIT_VALUE&amp;DB=129&amp;ID1=49330810&amp;VALUEID=02001&amp;SDATE=201003&amp;PERIODTYPE=QTR_STD&amp;window=popup_no_bar&amp;width=385&amp;height=120&amp;START_MAXIMIZED=FALSE&amp;creator=factset&amp;display_string=Audit"}</definedName>
    <definedName function="false" hidden="true" name="_3211__FDSAUDITLINK__" vbProcedure="false">{"fdsup://Directions/FactSet Auditing Viewer?action=AUDIT_VALUE&amp;DB=129&amp;ID1=92858J10&amp;VALUEID=02001&amp;SDATE=201002&amp;PERIODTYPE=QTR_STD&amp;window=popup_no_bar&amp;width=385&amp;height=120&amp;START_MAXIMIZED=FALSE&amp;creator=factset&amp;display_string=Audit"}</definedName>
    <definedName function="false" hidden="true" name="_3212__FDSAUDITLINK__" vbProcedure="false">{"fdsup://Directions/FactSet Auditing Viewer?action=AUDIT_VALUE&amp;DB=129&amp;ID1=90458310&amp;VALUEID=02001&amp;SDATE=201003&amp;PERIODTYPE=QTR_STD&amp;window=popup_no_bar&amp;width=385&amp;height=120&amp;START_MAXIMIZED=FALSE&amp;creator=factset&amp;display_string=Audit"}</definedName>
    <definedName function="false" hidden="true" name="_3213__FDSAUDITLINK__" vbProcedure="false">{"fdsup://Directions/FactSet Auditing Viewer?action=AUDIT_VALUE&amp;DB=129&amp;ID1=B41PDC&amp;VALUEID=02001&amp;SDATE=201001&amp;PERIODTYPE=SEMI_STD&amp;window=popup_no_bar&amp;width=385&amp;height=120&amp;START_MAXIMIZED=FALSE&amp;creator=factset&amp;display_string=Audit"}</definedName>
    <definedName function="false" hidden="true" name="_3214__FDSAUDITLINK__" vbProcedure="false">{"fdsup://Directions/FactSet Auditing Viewer?action=AUDIT_VALUE&amp;DB=129&amp;ID1=87874R10&amp;VALUEID=02001&amp;SDATE=201002&amp;PERIODTYPE=QTR_STD&amp;window=popup_no_bar&amp;width=385&amp;height=120&amp;START_MAXIMIZED=FALSE&amp;creator=factset&amp;display_string=Audit"}</definedName>
    <definedName function="false" hidden="true" name="_3215__FDSAUDITLINK__" vbProcedure="false">{"fdsup://Directions/FactSet Auditing Viewer?action=AUDIT_VALUE&amp;DB=129&amp;ID1=580098&amp;VALUEID=02001&amp;SDATE=201001&amp;PERIODTYPE=QTR_STD&amp;window=popup_no_bar&amp;width=385&amp;height=120&amp;START_MAXIMIZED=FALSE&amp;creator=factset&amp;display_string=Audit"}</definedName>
    <definedName function="false" hidden="true" name="_3216__FDSAUDITLINK__" vbProcedure="false">{"fdsup://Directions/FactSet Auditing Viewer?action=AUDIT_VALUE&amp;DB=129&amp;ID1=02968310&amp;VALUEID=02001&amp;SDATE=201001&amp;PERIODTYPE=QTR_STD&amp;window=popup_no_bar&amp;width=385&amp;height=120&amp;START_MAXIMIZED=FALSE&amp;creator=factset&amp;display_string=Audit"}</definedName>
    <definedName function="false" hidden="true" name="_3217__FDSAUDITLINK__" vbProcedure="false">{"fdsup://Directions/FactSet Auditing Viewer?action=AUDIT_VALUE&amp;DB=129&amp;ID1=447946&amp;VALUEID=02001&amp;SDATE=201001&amp;PERIODTYPE=SEMI_STD&amp;window=popup_no_bar&amp;width=385&amp;height=120&amp;START_MAXIMIZED=FALSE&amp;creator=factset&amp;display_string=Audit"}</definedName>
    <definedName function="false" hidden="true" name="_3218__FDSAUDITLINK__" vbProcedure="false">{"fdsup://Directions/FactSet Auditing Viewer?action=AUDIT_VALUE&amp;DB=129&amp;ID1=29084T10&amp;VALUEID=02001&amp;SDATE=201002&amp;PERIODTYPE=QTR_STD&amp;window=popup_no_bar&amp;width=385&amp;height=120&amp;START_MAXIMIZED=FALSE&amp;creator=factset&amp;display_string=Audit"}</definedName>
    <definedName function="false" hidden="true" name="_3219__FDSAUDITLINK__" vbProcedure="false">{"fdsup://Directions/FactSet Auditing Viewer?action=AUDIT_VALUE&amp;DB=129&amp;ID1=45865V10&amp;VALUEID=02001&amp;SDATE=201002&amp;PERIODTYPE=QTR_STD&amp;window=popup_no_bar&amp;width=385&amp;height=120&amp;START_MAXIMIZED=FALSE&amp;creator=factset&amp;display_string=Audit"}</definedName>
    <definedName function="false" hidden="true" name="_321__FDSAUDITLINK__" vbProcedure="false">{"fdsup://directions/FAT Viewer?action=UPDATE&amp;creator=factset&amp;DYN_ARGS=TRUE&amp;DOC_NAME=FAT:FQL_AUDITING_CLIENT_TEMPLATE.FAT&amp;display_string=Audit&amp;VAR:KEY=HAJABILCTE&amp;VAR:QUERY=RkZfRUJJVERBX09QRVIoTFRNLDAsLCwsVVNEKQ==&amp;WINDOW=FIRST_POPUP&amp;HEIGHT=450&amp;WIDTH=450&amp;STAR","T_MAXIMIZED=FALSE&amp;VAR:CALENDAR=US&amp;VAR:SYMBOL=AIR&amp;VAR:INDEX=0"}</definedName>
    <definedName function="false" hidden="true" name="_3220__FDSAUDITLINK__" vbProcedure="false">{"fdsup://Directions/FactSet Auditing Viewer?action=AUDIT_VALUE&amp;DB=129&amp;ID1=446912&amp;VALUEID=02001&amp;SDATE=201001&amp;PERIODTYPE=SEMI_STD&amp;window=popup_no_bar&amp;width=385&amp;height=120&amp;START_MAXIMIZED=FALSE&amp;creator=factset&amp;display_string=Audit"}</definedName>
    <definedName function="false" hidden="true" name="_3221__FDSAUDITLINK__" vbProcedure="false">{"fdsup://directions/FAT Viewer?action=UPDATE&amp;creator=factset&amp;DYN_ARGS=TRUE&amp;DOC_NAME=FAT:FQL_AUDITING_CLIENT_TEMPLATE.FAT&amp;display_string=Audit&amp;VAR:KEY=HQVYRWVMLK&amp;VAR:QUERY=KEZTTF9ORVRfSU5DKE5PVyxOT1csRlNBLCxVU0QpQEZGX05FVF9JTkMoTFRNUywwLCwsLFVTRCkp&amp;WINDOW=F","IRST_POPUP&amp;HEIGHT=450&amp;WIDTH=450&amp;START_MAXIMIZED=FALSE&amp;VAR:CALENDAR=US&amp;VAR:SYMBOL=INTU&amp;VAR:INDEX=0"}</definedName>
    <definedName function="false" hidden="true" name="_3222__FDSAUDITLINK__" vbProcedure="false">{"fdsup://Directions/FactSet Auditing Viewer?action=AUDIT_VALUE&amp;DB=129&amp;ID1=46120210&amp;VALUEID=02001&amp;SDATE=201004&amp;PERIODTYPE=QTR_STD&amp;window=popup_no_bar&amp;width=385&amp;height=120&amp;START_MAXIMIZED=FALSE&amp;creator=factset&amp;display_string=Audit"}</definedName>
    <definedName function="false" hidden="true" name="_3223__FDSAUDITLINK__" vbProcedure="false">{"fdsup://directions/FAT Viewer?action=UPDATE&amp;creator=factset&amp;DYN_ARGS=TRUE&amp;DOC_NAME=FAT:FQL_AUDITING_CLIENT_TEMPLATE.FAT&amp;display_string=Audit&amp;VAR:KEY=PMBWJSNY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U&amp;VAR:INDEX=0"}</definedName>
    <definedName function="false" hidden="true" name="_3224__FDSAUDITLINK__" vbProcedure="false">{"fdsup://Directions/FactSet Auditing Viewer?action=AUDIT_VALUE&amp;DB=129&amp;ID1=45169U10&amp;VALUEID=02001&amp;SDATE=201003&amp;PERIODTYPE=QTR_STD&amp;window=popup_no_bar&amp;width=385&amp;height=120&amp;START_MAXIMIZED=FALSE&amp;creator=factset&amp;display_string=Audit"}</definedName>
    <definedName function="false" hidden="true" name="_3225__FDSAUDITLINK__" vbProcedure="false">{"fdsup://Directions/FactSet Auditing Viewer?action=AUDIT_VALUE&amp;DB=129&amp;ID1=B07LTC&amp;VALUEID=02001&amp;SDATE=201002&amp;PERIODTYPE=QTR_STD&amp;window=popup_no_bar&amp;width=385&amp;height=120&amp;START_MAXIMIZED=FALSE&amp;creator=factset&amp;display_string=Audit"}</definedName>
    <definedName function="false" hidden="true" name="_3226__FDSAUDITLINK__" vbProcedure="false">{"fdsup://Directions/FactSet Auditing Viewer?action=AUDIT_VALUE&amp;DB=129&amp;ID1=87162H10&amp;VALUEID=02001&amp;SDATE=201002&amp;PERIODTYPE=QTR_STD&amp;window=popup_no_bar&amp;width=385&amp;height=120&amp;START_MAXIMIZED=FALSE&amp;creator=factset&amp;display_string=Audit"}</definedName>
    <definedName function="false" hidden="true" name="_3227__FDSAUDITLINK__" vbProcedure="false">{"fdsup://Directions/FactSet Auditing Viewer?action=AUDIT_VALUE&amp;DB=129&amp;ID1=598519&amp;VALUEID=02001&amp;SDATE=201002&amp;PERIODTYPE=QTR_STD&amp;window=popup_no_bar&amp;width=385&amp;height=120&amp;START_MAXIMIZED=FALSE&amp;creator=factset&amp;display_string=Audit"}</definedName>
    <definedName function="false" hidden="true" name="_322__FDSAUDITLINK__" vbProcedure="false">{"fdsup://directions/FAT Viewer?action=UPDATE&amp;creator=factset&amp;DYN_ARGS=TRUE&amp;DOC_NAME=FAT:FQL_AUDITING_CLIENT_TEMPLATE.FAT&amp;display_string=Audit&amp;VAR:KEY=VKZOFYBOFM&amp;VAR:QUERY=RkZfRUJJVERBX09QRVIoTFRNLDAsLCwsVVNEKQ==&amp;WINDOW=FIRST_POPUP&amp;HEIGHT=450&amp;WIDTH=450&amp;STAR","T_MAXIMIZED=FALSE&amp;VAR:CALENDAR=US&amp;VAR:SYMBOL=WTSLA&amp;VAR:INDEX=0"}</definedName>
    <definedName function="false" hidden="true" name="_323__FDSAUDITLINK__" vbProcedure="false">{"fdsup://directions/FAT Viewer?action=UPDATE&amp;creator=factset&amp;DYN_ARGS=TRUE&amp;DOC_NAME=FAT:FQL_AUDITING_CLIENT_TEMPLATE.FAT&amp;display_string=Audit&amp;VAR:KEY=VKJGVEDMVG&amp;VAR:QUERY=RkZfRUJJVERBX09QRVIoTFRNLDAsLCwsVVNEKQ==&amp;WINDOW=FIRST_POPUP&amp;HEIGHT=450&amp;WIDTH=450&amp;STAR","T_MAXIMIZED=FALSE&amp;VAR:CALENDAR=US&amp;VAR:SYMBOL=SD&amp;VAR:INDEX=0"}</definedName>
    <definedName function="false" hidden="true" name="_324__FDSAUDITLINK__" vbProcedure="false">{"fdsup://directions/FAT Viewer?action=UPDATE&amp;creator=factset&amp;DYN_ARGS=TRUE&amp;DOC_NAME=FAT:FQL_AUDITING_CLIENT_TEMPLATE.FAT&amp;display_string=Audit&amp;VAR:KEY=TKJSNWLWRU&amp;VAR:QUERY=RkZfRUJJVERBX09QRVIoTFRNLDAsLCwsVVNEKQ==&amp;WINDOW=FIRST_POPUP&amp;HEIGHT=450&amp;WIDTH=450&amp;STAR","T_MAXIMIZED=FALSE&amp;VAR:CALENDAR=US&amp;VAR:SYMBOL=VRML&amp;VAR:INDEX=0"}</definedName>
    <definedName function="false" hidden="true" name="_325__FDSAUDITLINK__" vbProcedure="false">{"fdsup://directions/FAT Viewer?action=UPDATE&amp;creator=factset&amp;DYN_ARGS=TRUE&amp;DOC_NAME=FAT:FQL_AUDITING_CLIENT_TEMPLATE.FAT&amp;display_string=Audit&amp;VAR:KEY=JCNWFMHKVE&amp;VAR:QUERY=RkZfRUJJVERBX09QRVIoTFRNLDAsLCwsVVNEKQ==&amp;WINDOW=FIRST_POPUP&amp;HEIGHT=450&amp;WIDTH=450&amp;STAR","T_MAXIMIZED=FALSE&amp;VAR:CALENDAR=US&amp;VAR:SYMBOL=NFX&amp;VAR:INDEX=0"}</definedName>
    <definedName function="false" hidden="true" name="_326__FDSAUDITLINK__" vbProcedure="false">{"fdsup://directions/FAT Viewer?action=UPDATE&amp;creator=factset&amp;DYN_ARGS=TRUE&amp;DOC_NAME=FAT:FQL_AUDITING_CLIENT_TEMPLATE.FAT&amp;display_string=Audit&amp;VAR:KEY=RYHGXWHUTK&amp;VAR:QUERY=RkZfRUJJVERBX09QRVIoTFRNLDAsLCwsVVNEKQ==&amp;WINDOW=FIRST_POPUP&amp;HEIGHT=450&amp;WIDTH=450&amp;STAR","T_MAXIMIZED=FALSE&amp;VAR:CALENDAR=US&amp;VAR:SYMBOL=SQNM&amp;VAR:INDEX=0"}</definedName>
    <definedName function="false" hidden="true" name="_327__FDSAUDITLINK__" vbProcedure="false">{"fdsup://directions/FAT Viewer?action=UPDATE&amp;creator=factset&amp;DYN_ARGS=TRUE&amp;DOC_NAME=FAT:FQL_AUDITING_CLIENT_TEMPLATE.FAT&amp;display_string=Audit&amp;VAR:KEY=NODSRKFUNC&amp;VAR:QUERY=RkZfRUJJVERBX09QRVIoTFRNLDAsLCwsVVNEKQ==&amp;WINDOW=FIRST_POPUP&amp;HEIGHT=450&amp;WIDTH=450&amp;STAR","T_MAXIMIZED=FALSE&amp;VAR:CALENDAR=US&amp;VAR:SYMBOL=USAK&amp;VAR:INDEX=0"}</definedName>
    <definedName function="false" hidden="true" name="_328__FDSAUDITLINK__" vbProcedure="false">{"fdsup://directions/FAT Viewer?action=UPDATE&amp;creator=factset&amp;DYN_ARGS=TRUE&amp;DOC_NAME=FAT:FQL_AUDITING_CLIENT_TEMPLATE.FAT&amp;display_string=Audit&amp;VAR:KEY=JGNQZCHIPO&amp;VAR:QUERY=RkZfRUJJVERBX09QRVIoTFRNLDAsLCwsVVNEKQ==&amp;WINDOW=FIRST_POPUP&amp;HEIGHT=450&amp;WIDTH=450&amp;STAR","T_MAXIMIZED=FALSE&amp;VAR:CALENDAR=US&amp;VAR:SYMBOL=UDRL&amp;VAR:INDEX=0"}</definedName>
    <definedName function="false" hidden="true" name="_329__FDSAUDITLINK__" vbProcedure="false">{"fdsup://directions/FAT Viewer?action=UPDATE&amp;creator=factset&amp;DYN_ARGS=TRUE&amp;DOC_NAME=FAT:FQL_AUDITING_CLIENT_TEMPLATE.FAT&amp;display_string=Audit&amp;VAR:KEY=RATURAFOJ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UNE&amp;VAR:INDEX=0"}</definedName>
    <definedName function="false" hidden="true" name="_32__123Graph_ACHART_10" vbProcedure="false">#REF!</definedName>
    <definedName function="false" hidden="true" name="_32__123Graph_DDIAGR_5" vbProcedure="false">#REF!</definedName>
    <definedName function="false" hidden="true" name="_32__FDSAUDITLINK__" vbProcedure="false">{"fdsup://directions/FAT Viewer?action=UPDATE&amp;creator=factset&amp;DYN_ARGS=TRUE&amp;DOC_NAME=FAT:FQL_AUDITING_CLIENT_TEMPLATE.FAT&amp;display_string=Audit&amp;VAR:KEY=ALMDCVGZAL&amp;VAR:QUERY=RkZfRUJJVERBX09QRVIoTFRNLDAsLCwsVVNEKQ==&amp;WINDOW=FIRST_POPUP&amp;HEIGHT=450&amp;WIDTH=450&amp;STAR","T_MAXIMIZED=FALSE&amp;VAR:CALENDAR=US&amp;VAR:SYMBOL=HGG&amp;VAR:INDEX=0"}</definedName>
    <definedName function="false" hidden="true" name="_330__FDSAUDITLINK__" vbProcedure="false">{"fdsup://directions/FAT Viewer?action=UPDATE&amp;creator=factset&amp;DYN_ARGS=TRUE&amp;DOC_NAME=FAT:FQL_AUDITING_CLIENT_TEMPLATE.FAT&amp;display_string=Audit&amp;VAR:KEY=POLGPCRM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CNW&amp;VAR:INDEX=0"}</definedName>
    <definedName function="false" hidden="true" name="_331__FDSAUDITLINK__" vbProcedure="false">{"fdsup://directions/FAT Viewer?action=UPDATE&amp;creator=factset&amp;DYN_ARGS=TRUE&amp;DOC_NAME=FAT:FQL_AUDITING_CLIENT_TEMPLATE.FAT&amp;display_string=Audit&amp;VAR:KEY=VGJWLKFSDM&amp;VAR:QUERY=RkZfRUJJVERBX09QRVIoTFRNLDAsLCwsVVNEKQ==&amp;WINDOW=FIRST_POPUP&amp;HEIGHT=450&amp;WIDTH=450&amp;STAR","T_MAXIMIZED=FALSE&amp;VAR:CALENDAR=US&amp;VAR:SYMBOL=SUNH&amp;VAR:INDEX=0"}</definedName>
    <definedName function="false" hidden="true" name="_332__FDSAUDITLINK__" vbProcedure="false">{"fdsup://directions/FAT Viewer?action=UPDATE&amp;creator=factset&amp;DYN_ARGS=TRUE&amp;DOC_NAME=FAT:FQL_AUDITING_CLIENT_TEMPLATE.FAT&amp;display_string=Audit&amp;VAR:KEY=JCVMXSHGBM&amp;VAR:QUERY=RkZfRUJJVERBX09QRVIoTFRNLDAsLCwsVVNEKQ==&amp;WINDOW=FIRST_POPUP&amp;HEIGHT=450&amp;WIDTH=450&amp;STAR","T_MAXIMIZED=FALSE&amp;VAR:CALENDAR=US&amp;VAR:SYMBOL=NCIT&amp;VAR:INDEX=0"}</definedName>
    <definedName function="false" hidden="true" name="_333__FDSAUDITLINK__" vbProcedure="false">{"fdsup://directions/FAT Viewer?action=UPDATE&amp;creator=factset&amp;DYN_ARGS=TRUE&amp;DOC_NAME=FAT:FQL_AUDITING_CLIENT_TEMPLATE.FAT&amp;display_string=Audit&amp;VAR:KEY=PSXUBYRORW&amp;VAR:QUERY=RkZfRUJJVERBX09QRVIoTFRNLDAsLCwsVVNEKQ==&amp;WINDOW=FIRST_POPUP&amp;HEIGHT=450&amp;WIDTH=450&amp;STAR","T_MAXIMIZED=FALSE&amp;VAR:CALENDAR=US&amp;VAR:SYMBOL=CBEY&amp;VAR:INDEX=0"}</definedName>
    <definedName function="false" hidden="true" name="_334__FDSAUDITLINK__" vbProcedure="false">{"fdsup://directions/FAT Viewer?action=UPDATE&amp;creator=factset&amp;DYN_ARGS=TRUE&amp;DOC_NAME=FAT:FQL_AUDITING_CLIENT_TEMPLATE.FAT&amp;display_string=Audit&amp;VAR:KEY=DCLMDKXYXY&amp;VAR:QUERY=RkZfRUJJVERBX09QRVIoTFRNLDAsLCwsVVNEKQ==&amp;WINDOW=FIRST_POPUP&amp;HEIGHT=450&amp;WIDTH=450&amp;STAR","T_MAXIMIZED=FALSE&amp;VAR:CALENDAR=US&amp;VAR:SYMBOL=CVTI&amp;VAR:INDEX=0"}</definedName>
    <definedName function="false" hidden="true" name="_335__FDSAUDITLINK__" vbProcedure="false">{"fdsup://directions/FAT Viewer?action=UPDATE&amp;creator=factset&amp;DYN_ARGS=TRUE&amp;DOC_NAME=FAT:FQL_AUDITING_CLIENT_TEMPLATE.FAT&amp;display_string=Audit&amp;VAR:KEY=TCXCXOVGZA&amp;VAR:QUERY=RkZfRUJJVERBX09QRVIoTFRNLDAsLCwsVVNEKQ==&amp;WINDOW=FIRST_POPUP&amp;HEIGHT=450&amp;WIDTH=450&amp;STAR","T_MAXIMIZED=FALSE&amp;VAR:CALENDAR=US&amp;VAR:SYMBOL=NCIT&amp;VAR:INDEX=0"}</definedName>
    <definedName function="false" hidden="true" name="_336__FDSAUDITLINK__" vbProcedure="false">{"fdsup://directions/FAT Viewer?action=UPDATE&amp;creator=factset&amp;DYN_ARGS=TRUE&amp;DOC_NAME=FAT:FQL_AUDITING_CLIENT_TEMPLATE.FAT&amp;display_string=Audit&amp;VAR:KEY=ZETQVOVMXE&amp;VAR:QUERY=RkZfRUJJVERBX09QRVIoTFRNLDAsLCwsVVNEKQ==&amp;WINDOW=FIRST_POPUP&amp;HEIGHT=450&amp;WIDTH=450&amp;STAR","T_MAXIMIZED=FALSE&amp;VAR:CALENDAR=US&amp;VAR:SYMBOL=CSFS&amp;VAR:INDEX=0"}</definedName>
    <definedName function="false" hidden="true" name="_33__123Graph_ACHART_11" vbProcedure="false">#REF!</definedName>
    <definedName function="false" hidden="true" name="_33__123Graph_DDIAGR_9" vbProcedure="false">#REF!</definedName>
    <definedName function="false" hidden="true" name="_33__FDSAUDITLINK__" vbProcedure="false">{"fdsup://directions/FAT Viewer?action=UPDATE&amp;creator=factset&amp;DYN_ARGS=TRUE&amp;DOC_NAME=FAT:FQL_AUDITING_CLIENT_TEMPLATE.FAT&amp;display_string=Audit&amp;VAR:KEY=ENALIHQZUJ&amp;VAR:QUERY=RkZfRUJJVERBX09QRVIoTFRNLDAsLCwsVVNEKQ==&amp;WINDOW=FIRST_POPUP&amp;HEIGHT=450&amp;WIDTH=450&amp;STAR","T_MAXIMIZED=FALSE&amp;VAR:CALENDAR=US&amp;VAR:SYMBOL=BAS&amp;VAR:INDEX=0"}</definedName>
    <definedName function="false" hidden="true" name="_348__FDSAUDITLINK__" vbProcedure="false">{"fdsup://Directions/FactSet Auditing Viewer?action=AUDIT_VALUE&amp;DB=129&amp;ID1=59514P10&amp;VALUEID=02001&amp;SDATE=201001&amp;PERIODTYPE=QTR_STD&amp;window=popup_no_bar&amp;width=385&amp;height=120&amp;START_MAXIMIZED=FALSE&amp;creator=factset&amp;display_string=Audit"}</definedName>
    <definedName function="false" hidden="true" name="_34__123Graph_ACHART_8" vbProcedure="false">#REF!</definedName>
    <definedName function="false" hidden="true" name="_34__123Graph_CCHART_1" vbProcedure="false">#REF!</definedName>
    <definedName function="false" hidden="true" name="_34__123Graph_EDIAGR_1" vbProcedure="false">#REF!</definedName>
    <definedName function="false" hidden="true" name="_34__FDSAUDITLINK__" vbProcedure="false">{"fdsup://directions/FAT Viewer?action=UPDATE&amp;creator=factset&amp;DYN_ARGS=TRUE&amp;DOC_NAME=FAT:FQL_AUDITING_CLIENT_TEMPLATE.FAT&amp;display_string=Audit&amp;VAR:KEY=LIBOZQVUHK&amp;VAR:QUERY=KEZTTF9ORVRfSU5DKE5PVyxOT1csRlNBLCxVU0QpQEZGX05FVF9JTkMoTFRNUywwLCwsLFVTRCkp&amp;WINDOW=F","IRST_POPUP&amp;HEIGHT=450&amp;WIDTH=450&amp;START_MAXIMIZED=FALSE&amp;VAR:CALENDAR=US&amp;VAR:SYMBOL=ORCC&amp;VAR:INDEX=0"}</definedName>
    <definedName function="false" hidden="true" name="_35__123Graph_ACHART_9" vbProcedure="false">#REF!</definedName>
    <definedName function="false" hidden="true" name="_35__123Graph_EDIAGR_10" vbProcedure="false">#REF!</definedName>
    <definedName function="false" hidden="true" name="_35__FDSAUDITLINK__" vbProcedure="false">{"fdsup://directions/FAT Viewer?action=UPDATE&amp;creator=factset&amp;DYN_ARGS=TRUE&amp;DOC_NAME=FAT:FQL_AUDITING_CLIENT_TEMPLATE.FAT&amp;display_string=Audit&amp;VAR:KEY=UJIFGTCHCB&amp;VAR:QUERY=RkZfRUJJVERBX09QRVIoTFRNLDAsLCwsVVNEKQ==&amp;WINDOW=FIRST_POPUP&amp;HEIGHT=450&amp;WIDTH=450&amp;STAR","T_MAXIMIZED=FALSE&amp;VAR:CALENDAR=US&amp;VAR:SYMBOL=GPRE&amp;VAR:INDEX=0"}</definedName>
    <definedName function="false" hidden="true" name="_363__FDSAUDITLINK__" vbProcedure="false">{"fdsup://directions/FAT Viewer?action=UPDATE&amp;creator=factset&amp;DYN_ARGS=TRUE&amp;DOC_NAME=FAT:FQL_AUDITING_CLIENT_TEMPLATE.FAT&amp;display_string=Audit&amp;VAR:KEY=APWXKTITUZ&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R&amp;VAR:INDEX=0"}</definedName>
    <definedName function="false" hidden="true" name="_369__FDSAUDITLINK__" vbProcedure="false">{"fdsup://directions/FAT Viewer?action=UPDATE&amp;creator=factset&amp;DYN_ARGS=TRUE&amp;DOC_NAME=FAT:FQL_AUDITING_CLIENT_TEMPLATE.FAT&amp;display_string=Audit&amp;VAR:KEY=MFUVILAHYX&amp;VAR:QUERY=RkZfRUJJVERBX09QRVIoTFRNLDAsLCwsVVNEKQ==&amp;WINDOW=FIRST_POPUP&amp;HEIGHT=450&amp;WIDTH=450&amp;STAR","T_MAXIMIZED=FALSE&amp;VAR:CALENDAR=US&amp;VAR:SYMBOL=WNC&amp;VAR:INDEX=0"}</definedName>
    <definedName function="false" hidden="true" name="_36__123Graph_AChart_1A" vbProcedure="false">#REF!</definedName>
    <definedName function="false" hidden="true" name="_36__123Graph_BCHART_1" vbProcedure="false">#REF!</definedName>
    <definedName function="false" hidden="true" name="_36__123Graph_FDIAGR_3" vbProcedure="false">#REF!</definedName>
    <definedName function="false" hidden="true" name="_36__FDSAUDITLINK__" vbProcedure="false">{"fdsup://directions/FAT Viewer?action=UPDATE&amp;creator=factset&amp;DYN_ARGS=TRUE&amp;DOC_NAME=FAT:FQL_AUDITING_CLIENT_TEMPLATE.FAT&amp;display_string=Audit&amp;VAR:KEY=EJWHONMBCT&amp;VAR:QUERY=RkZfRUJJVERBX09QRVIoTFRNLDAsLCwsVVNEKQ==&amp;WINDOW=FIRST_POPUP&amp;HEIGHT=450&amp;WIDTH=450&amp;STAR","T_MAXIMIZED=FALSE&amp;VAR:CALENDAR=US&amp;VAR:SYMBOL=AVNW&amp;VAR:INDEX=0"}</definedName>
    <definedName function="false" hidden="true" name="_377__FDSAUDITLINK__" vbProcedure="false">{"fdsup://directions/FAT Viewer?action=UPDATE&amp;creator=factset&amp;DYN_ARGS=TRUE&amp;DOC_NAME=FAT:FQL_AUDITING_CLIENT_TEMPLATE.FAT&amp;display_string=Audit&amp;VAR:KEY=DEJMXOLQLO&amp;VAR:QUERY=KEZTTF9ORVRfSU5DKE5PVyxOT1csRlNBLCxVU0QpQEZGX05FVF9JTkMoTFRNUywwLCwsLFVTRCkp&amp;WINDOW=F","IRST_POPUP&amp;HEIGHT=450&amp;WIDTH=450&amp;START_MAXIMIZED=FALSE&amp;VAR:CALENDAR=US&amp;VAR:SYMBOL=EFJI&amp;VAR:INDEX=0"}</definedName>
    <definedName function="false" hidden="true" name="_378__FDSAUDITLINK__" vbProcedure="false">{"fdsup://directions/FAT Viewer?action=UPDATE&amp;creator=factset&amp;DYN_ARGS=TRUE&amp;DOC_NAME=FAT:FQL_AUDITING_CLIENT_TEMPLATE.FAT&amp;display_string=Audit&amp;VAR:KEY=TILOPAVK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FJI&amp;VAR:INDEX=0"}</definedName>
    <definedName function="false" hidden="true" name="_37__123Graph_AChart_58B" vbProcedure="false">#REF!</definedName>
    <definedName function="false" hidden="true" name="_37__123Graph_BCHART_10" vbProcedure="false">#REF!</definedName>
    <definedName function="false" hidden="true" name="_37__123Graph_FDIAGR_4" vbProcedure="false">#REF!</definedName>
    <definedName function="false" hidden="true" name="_37__FDSAUDITLINK__" vbProcedure="false">{"fdsup://directions/FAT Viewer?action=UPDATE&amp;creator=factset&amp;DYN_ARGS=TRUE&amp;DOC_NAME=FAT:FQL_AUDITING_CLIENT_TEMPLATE.FAT&amp;display_string=Audit&amp;VAR:KEY=UVIBAHQFUR&amp;VAR:QUERY=RkZfRUJJVERBX09QRVIoTFRNLDAsLCwsVVNEKQ==&amp;WINDOW=FIRST_POPUP&amp;HEIGHT=450&amp;WIDTH=450&amp;STAR","T_MAXIMIZED=FALSE&amp;VAR:CALENDAR=US&amp;VAR:SYMBOL=WTSLA&amp;VAR:INDEX=0"}</definedName>
    <definedName function="false" hidden="true" name="_381__FDSAUDITLINK__" vbProcedure="false">{"fdsup://directions/FAT Viewer?action=UPDATE&amp;creator=factset&amp;DYN_ARGS=TRUE&amp;DOC_NAME=FAT:FQL_AUDITING_CLIENT_TEMPLATE.FAT&amp;display_string=Audit&amp;VAR:KEY=VOHSNAPULC&amp;VAR:QUERY=KEZTTF9ORVRfSU5DKE5PVyxOT1csRlNBLCxVU0QpQEZGX05FVF9JTkMoTFRNUywwLCwsLFVTRCkp&amp;WINDOW=F","IRST_POPUP&amp;HEIGHT=450&amp;WIDTH=450&amp;START_MAXIMIZED=FALSE&amp;VAR:CALENDAR=US&amp;VAR:SYMBOL=EFJI&amp;VAR:INDEX=0"}</definedName>
    <definedName function="false" hidden="true" name="_382__FDSAUDITLINK__" vbProcedure="false">{"fdsup://directions/FAT Viewer?action=UPDATE&amp;creator=factset&amp;DYN_ARGS=TRUE&amp;DOC_NAME=FAT:FQL_AUDITING_CLIENT_TEMPLATE.FAT&amp;display_string=Audit&amp;VAR:KEY=TKTQTWNQRW&amp;VAR:QUERY=KEZTTF9ORVRfSU5DKE5PVyxOT1csRlNBLCxVU0QpQEZGX05FVF9JTkMoTFRNUywwLCwsLFVTRCkp&amp;WINDOW=F","IRST_POPUP&amp;HEIGHT=450&amp;WIDTH=450&amp;START_MAXIMIZED=FALSE&amp;VAR:CALENDAR=US&amp;VAR:SYMBOL=CLRO&amp;VAR:INDEX=0"}</definedName>
    <definedName function="false" hidden="true" name="_383__FDSAUDITLINK__" vbProcedure="false">{"fdsup://directions/FAT Viewer?action=UPDATE&amp;creator=factset&amp;DYN_ARGS=TRUE&amp;DOC_NAME=FAT:FQL_AUDITING_CLIENT_TEMPLATE.FAT&amp;display_string=Audit&amp;VAR:KEY=PQPSJQLYLS&amp;VAR:QUERY=KEZTTF9ORVRfSU5DKE5PVyxOT1csRlNBLCxVU0QpQEZGX05FVF9JTkMoTFRNUywwLCwsLFVTRCkp&amp;WINDOW=F","IRST_POPUP&amp;HEIGHT=450&amp;WIDTH=450&amp;START_MAXIMIZED=FALSE&amp;VAR:CALENDAR=US&amp;VAR:SYMBOL=ENWV&amp;VAR:INDEX=0"}</definedName>
    <definedName function="false" hidden="true" name="_384__FDSAUDITLINK__" vbProcedure="false">{"fdsup://directions/FAT Viewer?action=UPDATE&amp;creator=factset&amp;DYN_ARGS=TRUE&amp;DOC_NAME=FAT:FQL_AUDITING_CLIENT_TEMPLATE.FAT&amp;display_string=Audit&amp;VAR:KEY=FMVKHSJEPU&amp;VAR:QUERY=KEZTTF9ORVRfSU5DKE5PVyxOT1csRlNBLCxVU0QpQEZGX05FVF9JTkMoTFRNUywwLCwsLFVTRCkp&amp;WINDOW=F","IRST_POPUP&amp;HEIGHT=450&amp;WIDTH=450&amp;START_MAXIMIZED=FALSE&amp;VAR:CALENDAR=US&amp;VAR:SYMBOL=RWC&amp;VAR:INDEX=0"}</definedName>
    <definedName function="false" hidden="true" name="_389__FDSAUDITLINK__" vbProcedure="false">{"fdsup://directions/FAT Viewer?action=UPDATE&amp;creator=factset&amp;DYN_ARGS=TRUE&amp;DOC_NAME=FAT:FQL_AUDITING_CLIENT_TEMPLATE.FAT&amp;display_string=Audit&amp;VAR:KEY=JYLYLCHKPI&amp;VAR:QUERY=KEZTTF9ORVRfSU5DKE5PVyxOT1csRlNBLCxVU0QpQEZGX05FVF9JTkMoTFRNUywwLCwsLFVTRCkp&amp;WINDOW=F","IRST_POPUP&amp;HEIGHT=450&amp;WIDTH=450&amp;START_MAXIMIZED=FALSE&amp;VAR:CALENDAR=US&amp;VAR:SYMBOL=KVHI&amp;VAR:INDEX=0"}</definedName>
    <definedName function="false" hidden="true" name="_38__123Graph_BCHART_11" vbProcedure="false">#REF!</definedName>
    <definedName function="false" hidden="true" name="_38__123Graph_XDIAGR_10" vbProcedure="false">#REF!</definedName>
    <definedName function="false" hidden="true" name="_38__FDSAUDITLINK__" vbProcedure="false">{"fdsup://directions/FAT Viewer?action=UPDATE&amp;creator=factset&amp;DYN_ARGS=TRUE&amp;DOC_NAME=FAT:FQL_AUDITING_CLIENT_TEMPLATE.FAT&amp;display_string=Audit&amp;VAR:KEY=SBOHUDSDOF&amp;VAR:QUERY=RkZfRUJJVERBX09QRVIoTFRNLDAsLCwsVVNEKQ==&amp;WINDOW=FIRST_POPUP&amp;HEIGHT=450&amp;WIDTH=450&amp;STAR","T_MAXIMIZED=FALSE&amp;VAR:CALENDAR=US&amp;VAR:SYMBOL=SKH&amp;VAR:INDEX=0"}</definedName>
    <definedName function="false" hidden="true" name="_390__FDSAUDITLINK__" vbProcedure="false">{"fdsup://directions/FAT Viewer?action=UPDATE&amp;creator=factset&amp;DYN_ARGS=TRUE&amp;DOC_NAME=FAT:FQL_AUDITING_CLIENT_TEMPLATE.FAT&amp;display_string=Audit&amp;VAR:KEY=ZAJYBUTQNY&amp;VAR:QUERY=KEZTTF9ORVRfSU5DKE5PVyxOT1csRlNBLCxVU0QpQEZGX05FVF9JTkMoTFRNUywwLCwsLFVTRCkp&amp;WINDOW=F","IRST_POPUP&amp;HEIGHT=450&amp;WIDTH=450&amp;START_MAXIMIZED=FALSE&amp;VAR:CALENDAR=US&amp;VAR:SYMBOL=NVTL&amp;VAR:INDEX=0"}</definedName>
    <definedName function="false" hidden="true" name="_391__FDSAUDITLINK__" vbProcedure="false">{"fdsup://directions/FAT Viewer?action=UPDATE&amp;creator=factset&amp;DYN_ARGS=TRUE&amp;DOC_NAME=FAT:FQL_AUDITING_CLIENT_TEMPLATE.FAT&amp;display_string=Audit&amp;VAR:KEY=PABYBEBWVW&amp;VAR:QUERY=KEZTTF9ORVRfSU5DKE5PVyxOT1csRlNBLCxVU0QpQEZGX05FVF9JTkMoTFRNUywwLCwsLFVTRCkp&amp;WINDOW=F","IRST_POPUP&amp;HEIGHT=450&amp;WIDTH=450&amp;START_MAXIMIZED=FALSE&amp;VAR:CALENDAR=US&amp;VAR:SYMBOL=PWAV&amp;VAR:INDEX=0"}</definedName>
    <definedName function="false" hidden="true" name="_39__123Graph_BCHART_8" vbProcedure="false">#REF!</definedName>
    <definedName function="false" hidden="true" name="_39__123Graph_XDIAGR_2" vbProcedure="false">#REF!</definedName>
    <definedName function="false" hidden="true" name="_39__FDSAUDITLINK__" vbProcedure="false">{"fdsup://directions/FAT Viewer?action=UPDATE&amp;creator=factset&amp;DYN_ARGS=TRUE&amp;DOC_NAME=FAT:FQL_AUDITING_CLIENT_TEMPLATE.FAT&amp;display_string=Audit&amp;VAR:KEY=SXULUVKDKR&amp;VAR:QUERY=RkZfRUJJVERBX09QRVIoTFRNLDAsLCwsVVNEKQ==&amp;WINDOW=FIRST_POPUP&amp;HEIGHT=450&amp;WIDTH=450&amp;STAR","T_MAXIMIZED=FALSE&amp;VAR:CALENDAR=US&amp;VAR:SYMBOL=ASEI&amp;VAR:INDEX=0"}</definedName>
    <definedName function="false" hidden="true" name="_3__123Graph_AADV_PCE" vbProcedure="false">#REF!</definedName>
    <definedName function="false" hidden="true" name="_3__123Graph_AChart_58B" vbProcedure="false">#REF!</definedName>
    <definedName function="false" hidden="true" name="_3__123Graph_ADEPREC" vbProcedure="false">#REF!</definedName>
    <definedName function="false" hidden="true" name="_3__123Graph_BCHART_1" vbProcedure="false">#REF!</definedName>
    <definedName function="false" hidden="true" name="_3__123Graph_BChart_1A" vbProcedure="false">#REF!</definedName>
    <definedName function="false" hidden="true" name="_3__123Graph_CCHART_1" vbProcedure="false">#REF!</definedName>
    <definedName function="false" hidden="true" name="_3__123Graph_DCHART_1" vbProcedure="false">#REF!</definedName>
    <definedName function="false" hidden="true" name="_3__123Graph_XCHART_1" vbProcedure="false">#REF!</definedName>
    <definedName function="false" hidden="true" name="_3__FDSAUDITLINK__" vbProcedure="false">{"fdsup://directions/FAT Viewer?action=UPDATE&amp;creator=factset&amp;DYN_ARGS=TRUE&amp;DOC_NAME=FAT:FQL_AUDITING_CLIENT_TEMPLATE.FAT&amp;display_string=Audit&amp;VAR:KEY=WHUFCHOVAN&amp;VAR:QUERY=RkZfRUJJVERBX09QRVIoTFRNLDAsLCwsVVNEKQ==&amp;WINDOW=FIRST_POPUP&amp;HEIGHT=450&amp;WIDTH=450&amp;STAR","T_MAXIMIZED=FALSE&amp;VAR:CALENDAR=US&amp;VAR:SYMBOL=TSYS&amp;VAR:INDEX=0"}</definedName>
    <definedName function="false" hidden="true" name="_3___123Graph_BChart_1A" vbProcedure="false">#REF!</definedName>
    <definedName function="false" hidden="true" name="_3____123Graph_XCHART_1A" vbProcedure="false">#REF!</definedName>
    <definedName function="false" hidden="true" name="_400__FDSAUDITLINK__" vbProcedure="false">{"fdsup://directions/FAT Viewer?action=UPDATE&amp;creator=factset&amp;DYN_ARGS=TRUE&amp;DOC_NAME=FAT:FQL_AUDITING_CLIENT_TEMPLATE.FAT&amp;display_string=Audit&amp;VAR:KEY=LGNQXGHUX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FJI&amp;VAR:INDEX=0"}</definedName>
    <definedName function="false" hidden="true" name="_401__FDSAUDITLINK__" vbProcedure="false">{"fdsup://directions/FAT Viewer?action=UPDATE&amp;creator=factset&amp;DYN_ARGS=TRUE&amp;DOC_NAME=FAT:FQL_AUDITING_CLIENT_TEMPLATE.FAT&amp;display_string=Audit&amp;VAR:KEY=VGDOJAVQT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RO&amp;VAR:INDEX=0"}</definedName>
    <definedName function="false" hidden="true" name="_402__FDSAUDITLINK__" vbProcedure="false">{"fdsup://directions/FAT Viewer?action=UPDATE&amp;creator=factset&amp;DYN_ARGS=TRUE&amp;DOC_NAME=FAT:FQL_AUDITING_CLIENT_TEMPLATE.FAT&amp;display_string=Audit&amp;VAR:KEY=RUTWHAZU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NWV&amp;VAR:INDEX=0"}</definedName>
    <definedName function="false" hidden="true" name="_403__FDSAUDITLINK__" vbProcedure="false">{"fdsup://directions/FAT Viewer?action=UPDATE&amp;creator=factset&amp;DYN_ARGS=TRUE&amp;DOC_NAME=FAT:FQL_AUDITING_CLIENT_TEMPLATE.FAT&amp;display_string=Audit&amp;VAR:KEY=NANEXANWF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WC&amp;VAR:INDEX=0"}</definedName>
    <definedName function="false" hidden="true" name="_408__FDSAUDITLINK__" vbProcedure="false">{"fdsup://directions/FAT Viewer?action=UPDATE&amp;creator=factset&amp;DYN_ARGS=TRUE&amp;DOC_NAME=FAT:FQL_AUDITING_CLIENT_TEMPLATE.FAT&amp;display_string=Audit&amp;VAR:KEY=XMLWPWRU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VHI&amp;VAR:INDEX=0"}</definedName>
    <definedName function="false" hidden="true" name="_409__FDSAUDITLINK__" vbProcedure="false">{"fdsup://directions/FAT Viewer?action=UPDATE&amp;creator=factset&amp;DYN_ARGS=TRUE&amp;DOC_NAME=FAT:FQL_AUDITING_CLIENT_TEMPLATE.FAT&amp;display_string=Audit&amp;VAR:KEY=VIZCLKBMR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VTL&amp;VAR:INDEX=0"}</definedName>
    <definedName function="false" hidden="true" name="_40__123Graph_BCHART_1" vbProcedure="false">#REF!</definedName>
    <definedName function="false" hidden="true" name="_40__123Graph_BCHART_9" vbProcedure="false">#REF!</definedName>
    <definedName function="false" hidden="true" name="_40__123Graph_XDIAGR_3" vbProcedure="false">#REF!</definedName>
    <definedName function="false" hidden="true" name="_40__FDSAUDITLINK__" vbProcedure="false">{"fdsup://directions/FAT Viewer?action=UPDATE&amp;creator=factset&amp;DYN_ARGS=TRUE&amp;DOC_NAME=FAT:FQL_AUDITING_CLIENT_TEMPLATE.FAT&amp;display_string=Audit&amp;VAR:KEY=GTYNGXCREV&amp;VAR:QUERY=RkZfRUJJVERBX09QRVIoTFRNLDAsLCwsVVNEKQ==&amp;WINDOW=FIRST_POPUP&amp;HEIGHT=450&amp;WIDTH=450&amp;STAR","T_MAXIMIZED=FALSE&amp;VAR:CALENDAR=US&amp;VAR:SYMBOL=SQNM&amp;VAR:INDEX=0"}</definedName>
    <definedName function="false" hidden="true" name="_410__FDSAUDITLINK__" vbProcedure="false">{"fdsup://directions/FAT Viewer?action=UPDATE&amp;creator=factset&amp;DYN_ARGS=TRUE&amp;DOC_NAME=FAT:FQL_AUDITING_CLIENT_TEMPLATE.FAT&amp;display_string=Audit&amp;VAR:KEY=LCHCJUFCD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WAV&amp;VAR:INDEX=0"}</definedName>
    <definedName function="false" hidden="true" name="_41__123Graph_XCHART_1" vbProcedure="false">#REF!</definedName>
    <definedName function="false" hidden="true" name="_41__123Graph_XDIAGR_4" vbProcedure="false">#REF!</definedName>
    <definedName function="false" hidden="true" name="_41__FDSAUDITLINK__" vbProcedure="false">{"fdsup://directions/FAT Viewer?action=UPDATE&amp;creator=factset&amp;DYN_ARGS=TRUE&amp;DOC_NAME=FAT:FQL_AUDITING_CLIENT_TEMPLATE.FAT&amp;display_string=Audit&amp;VAR:KEY=OBYXIPWPML&amp;VAR:QUERY=RkZfRUJJVERBX09QRVIoTFRNLDAsLCwsVVNEKQ==&amp;WINDOW=FIRST_POPUP&amp;HEIGHT=450&amp;WIDTH=450&amp;STAR","T_MAXIMIZED=FALSE&amp;VAR:CALENDAR=US&amp;VAR:SYMBOL=NR&amp;VAR:INDEX=0"}</definedName>
    <definedName function="false" hidden="true" name="_42__123Graph_CCHART_1" vbProcedure="false">#REF!</definedName>
    <definedName function="false" hidden="true" name="_42__123Graph_XCHART_10" vbProcedure="false">#REF!</definedName>
    <definedName function="false" hidden="true" name="_42__123Graph_XDIAGR_5" vbProcedure="false">#REF!</definedName>
    <definedName function="false" hidden="true" name="_42__FDSAUDITLINK__" vbProcedure="false">{"fdsup://Directions/FactSet Auditing Viewer?action=AUDIT_VALUE&amp;DB=129&amp;ID1=30307510&amp;VALUEID=02001&amp;SDATE=201003&amp;PERIODTYPE=QTR_STD&amp;window=popup_no_bar&amp;width=385&amp;height=120&amp;START_MAXIMIZED=FALSE&amp;creator=factset&amp;display_string=Audit"}</definedName>
    <definedName function="false" hidden="true" name="_43__123Graph_BChart_1A" vbProcedure="false">#REF!</definedName>
    <definedName function="false" hidden="true" name="_43__123Graph_XCHART_11" vbProcedure="false">#REF!</definedName>
    <definedName function="false" hidden="true" name="_43__FDSAUDITLINK__" vbProcedure="false">{"fdsup://directions/FAT Viewer?action=UPDATE&amp;creator=factset&amp;DYN_ARGS=TRUE&amp;DOC_NAME=FAT:FQL_AUDITING_CLIENT_TEMPLATE.FAT&amp;display_string=Audit&amp;VAR:KEY=KDYXCHSLGL&amp;VAR:QUERY=RkZfRUJJVERBX09QRVIoTFRNLDAsLCwsVVNEKQ==&amp;WINDOW=FIRST_POPUP&amp;HEIGHT=450&amp;WIDTH=450&amp;STAR","T_MAXIMIZED=FALSE&amp;VAR:CALENDAR=US&amp;VAR:SYMBOL=HAL&amp;VAR:INDEX=0"}</definedName>
    <definedName function="false" hidden="true" name="_440__FDSAUDITLINK__" vbProcedure="false">{"fdsup://directions/FAT Viewer?action=UPDATE&amp;creator=factset&amp;DYN_ARGS=TRUE&amp;DOC_NAME=FAT:FQL_AUDITING_CLIENT_TEMPLATE.FAT&amp;display_string=Audit&amp;VAR:KEY=DAVAJMZARG&amp;VAR:QUERY=KEZTTF9ORVRfSU5DKE5PVyxOT1csRlNBLCxVU0QpQEZGX05FVF9JTkMoTFRNUywwLCwsLFVTRCkp&amp;WINDOW=F","IRST_POPUP&amp;HEIGHT=450&amp;WIDTH=450&amp;START_MAXIMIZED=FALSE&amp;VAR:CALENDAR=US&amp;VAR:SYMBOL=TCX&amp;VAR:INDEX=0"}</definedName>
    <definedName function="false" hidden="true" name="_441__FDSAUDITLINK__" vbProcedure="false">{"fdsup://directions/FAT Viewer?action=UPDATE&amp;creator=factset&amp;DYN_ARGS=TRUE&amp;DOC_NAME=FAT:FQL_AUDITING_CLIENT_TEMPLATE.FAT&amp;display_string=Audit&amp;VAR:KEY=RETMDWVAPM&amp;VAR:QUERY=KEZTTF9ORVRfSU5DKE5PVyxOT1csRlNBLCxVU0QpQEZGX05FVF9JTkMoTFRNUywwLCwsLFVTRCkp&amp;WINDOW=F","IRST_POPUP&amp;HEIGHT=450&amp;WIDTH=450&amp;START_MAXIMIZED=FALSE&amp;VAR:CALENDAR=US&amp;VAR:SYMBOL=WAVE&amp;VAR:INDEX=0"}</definedName>
    <definedName function="false" hidden="true" name="_44__123Graph_BChart_58B" vbProcedure="false">#REF!</definedName>
    <definedName function="false" hidden="true" name="_44__123Graph_XCHART_8" vbProcedure="false">#REF!</definedName>
    <definedName function="false" hidden="true" name="_44__FDSAUDITLINK__" vbProcedure="false">{"fdsup://directions/FAT Viewer?action=UPDATE&amp;creator=factset&amp;DYN_ARGS=TRUE&amp;DOC_NAME=FAT:FQL_AUDITING_CLIENT_TEMPLATE.FAT&amp;display_string=Audit&amp;VAR:KEY=NYDOBALSX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C&amp;VAR:INDEX=0"}</definedName>
    <definedName function="false" hidden="true" name="_454__FDSAUDITLINK__" vbProcedure="false">{"fdsup://directions/FAT Viewer?action=UPDATE&amp;creator=factset&amp;DYN_ARGS=TRUE&amp;DOC_NAME=FAT:FQL_AUDITING_CLIENT_TEMPLATE.FAT&amp;display_string=Audit&amp;VAR:KEY=JGHQDSJIJM&amp;VAR:QUERY=KEZTTF9ORVRfSU5DKE5PVyxOT1csRlNBLCxVU0QpQEZGX05FVF9JTkMoTFRNUywwLCwsLFVTRCkp&amp;WINDOW=F","IRST_POPUP&amp;HEIGHT=450&amp;WIDTH=450&amp;START_MAXIMIZED=FALSE&amp;VAR:CALENDAR=US&amp;VAR:SYMBOL=GNCMA&amp;VAR:INDEX=0"}</definedName>
    <definedName function="false" hidden="true" name="_455__FDSAUDITLINK__" vbProcedure="false">{"fdsup://directions/FAT Viewer?action=UPDATE&amp;creator=factset&amp;DYN_ARGS=TRUE&amp;DOC_NAME=FAT:FQL_AUDITING_CLIENT_TEMPLATE.FAT&amp;display_string=Audit&amp;VAR:KEY=LWDSJKDQBK&amp;VAR:QUERY=KEZTTF9ORVRfSU5DKE5PVyxOT1csRlNBLCxVU0QpQEZGX05FVF9JTkMoTFRNUywwLCwsLFVTRCkp&amp;WINDOW=F","IRST_POPUP&amp;HEIGHT=450&amp;WIDTH=450&amp;START_MAXIMIZED=FALSE&amp;VAR:CALENDAR=US&amp;VAR:SYMBOL=TNAV&amp;VAR:INDEX=0"}</definedName>
    <definedName function="false" hidden="true" name="_456__FDSAUDITLINK__" vbProcedure="false">{"fdsup://directions/FAT Viewer?action=UPDATE&amp;creator=factset&amp;DYN_ARGS=TRUE&amp;DOC_NAME=FAT:FQL_AUDITING_CLIENT_TEMPLATE.FAT&amp;display_string=Audit&amp;VAR:KEY=LMHGDAZGTW&amp;VAR:QUERY=KEZTTF9ORVRfSU5DKE5PVyxOT1csRlNBLCxVU0QpQEZGX05FVF9JTkMoTFRNUywwLCwsLFVTRCkp&amp;WINDOW=F","IRST_POPUP&amp;HEIGHT=450&amp;WIDTH=450&amp;START_MAXIMIZED=FALSE&amp;VAR:CALENDAR=US&amp;VAR:SYMBOL=TNDM&amp;VAR:INDEX=0"}</definedName>
    <definedName function="false" hidden="true" name="_457__123Graph_BChart_58B" vbProcedure="false">#REF!</definedName>
    <definedName function="false" hidden="true" name="_45__123Graph_XCHART_9" vbProcedure="false">#REF!</definedName>
    <definedName function="false" hidden="true" name="_45__FDSAUDITLINK__" vbProcedure="false">{"fdsup://directions/FAT Viewer?action=UPDATE&amp;creator=factset&amp;DYN_ARGS=TRUE&amp;DOC_NAME=FAT:FQL_AUDITING_CLIENT_TEMPLATE.FAT&amp;display_string=Audit&amp;VAR:KEY=MZIRGRQDQT&amp;VAR:QUERY=RkZfRUJJVERBX09QRVIoTFRNLDAsLCwsVVNEKQ==&amp;WINDOW=FIRST_POPUP&amp;HEIGHT=450&amp;WIDTH=450&amp;STAR","T_MAXIMIZED=FALSE&amp;VAR:CALENDAR=US&amp;VAR:SYMBOL=NCIT&amp;VAR:INDEX=0"}</definedName>
    <definedName function="false" hidden="true" name="_460__FDSAUDITLINK__" vbProcedure="false">{"fdsup://directions/FAT Viewer?action=UPDATE&amp;creator=factset&amp;DYN_ARGS=TRUE&amp;DOC_NAME=FAT:FQL_AUDITING_CLIENT_TEMPLATE.FAT&amp;display_string=Audit&amp;VAR:KEY=RSLGFCLIRE&amp;VAR:QUERY=KEZTTF9ORVRfSU5DKE5PVyxOT1csRlNBLCxVU0QpQEZGX05FVF9JTkMoTFRNUywwLCwsLFVTRCkp&amp;WINDOW=F","IRST_POPUP&amp;HEIGHT=450&amp;WIDTH=450&amp;START_MAXIMIZED=FALSE&amp;VAR:CALENDAR=US&amp;VAR:SYMBOL=PAET&amp;VAR:INDEX=0"}</definedName>
    <definedName function="false" hidden="true" name="_462__FDSAUDITLINK__" vbProcedure="false">{"fdsup://directions/FAT Viewer?action=UPDATE&amp;creator=factset&amp;DYN_ARGS=TRUE&amp;DOC_NAME=FAT:FQL_AUDITING_CLIENT_TEMPLATE.FAT&amp;display_string=Audit&amp;VAR:KEY=NCFQFSZOHA&amp;VAR:QUERY=KEZTTF9ORVRfSU5DKE5PVyxOT1csRlNBLCxVU0QpQEZGX05FVF9JTkMoTFRNUywwLCwsLFVTRCkp&amp;WINDOW=F","IRST_POPUP&amp;HEIGHT=450&amp;WIDTH=450&amp;START_MAXIMIZED=FALSE&amp;VAR:CALENDAR=US&amp;VAR:SYMBOL=UNTD&amp;VAR:INDEX=0"}</definedName>
    <definedName function="false" hidden="true" name="_463__FDSAUDITLINK__" vbProcedure="false">{"fdsup://directions/FAT Viewer?action=UPDATE&amp;creator=factset&amp;DYN_ARGS=TRUE&amp;DOC_NAME=FAT:FQL_AUDITING_CLIENT_TEMPLATE.FAT&amp;display_string=Audit&amp;VAR:KEY=JMFSLKROZI&amp;VAR:QUERY=KEZTTF9ORVRfSU5DKE5PVyxOT1csRlNBLCxVU0QpQEZGX05FVF9JTkMoTFRNUywwLCwsLFVTRCkp&amp;WINDOW=F","IRST_POPUP&amp;HEIGHT=450&amp;WIDTH=450&amp;START_MAXIMIZED=FALSE&amp;VAR:CALENDAR=US&amp;VAR:SYMBOL=GLBC&amp;VAR:INDEX=0"}</definedName>
    <definedName function="false" hidden="true" name="_464__FDSAUDITLINK__" vbProcedure="false">{"fdsup://directions/FAT Viewer?action=UPDATE&amp;creator=factset&amp;DYN_ARGS=TRUE&amp;DOC_NAME=FAT:FQL_AUDITING_CLIENT_TEMPLATE.FAT&amp;display_string=Audit&amp;VAR:KEY=NEVEVYBAVC&amp;VAR:QUERY=KEZTTF9ORVRfSU5DKE5PVyxOT1csRlNBLCxVU0QpQEZGX05FVF9JTkMoTFRNUywwLCwsLFVTRCkp&amp;WINDOW=F","IRST_POPUP&amp;HEIGHT=450&amp;WIDTH=450&amp;START_MAXIMIZED=FALSE&amp;VAR:CALENDAR=US&amp;VAR:SYMBOL=ATNI&amp;VAR:INDEX=0"}</definedName>
    <definedName function="false" hidden="true" name="_46__FDSAUDITLINK__" vbProcedure="false">{"fdsup://directions/FAT Viewer?action=UPDATE&amp;creator=factset&amp;DYN_ARGS=TRUE&amp;DOC_NAME=FAT:FQL_AUDITING_CLIENT_TEMPLATE.FAT&amp;display_string=Audit&amp;VAR:KEY=CDCRELINGB&amp;VAR:QUERY=RkZfRUJJVERBX09QRVIoTFRNLDAsLCwsVVNEKQ==&amp;WINDOW=FIRST_POPUP&amp;HEIGHT=450&amp;WIDTH=450&amp;STAR","T_MAXIMIZED=FALSE&amp;VAR:CALENDAR=US&amp;VAR:SYMBOL=TPLM&amp;VAR:INDEX=0"}</definedName>
    <definedName function="false" hidden="true" name="_47__FDSAUDITLINK__" vbProcedure="false">{"fdsup://directions/FAT Viewer?action=UPDATE&amp;creator=factset&amp;DYN_ARGS=TRUE&amp;DOC_NAME=FAT:FQL_AUDITING_CLIENT_TEMPLATE.FAT&amp;display_string=Audit&amp;VAR:KEY=OVIBWHCFCN&amp;VAR:QUERY=RkZfRUJJVERBX09QRVIoTFRNLDAsLCwsVVNEKQ==&amp;WINDOW=FIRST_POPUP&amp;HEIGHT=450&amp;WIDTH=450&amp;STAR","T_MAXIMIZED=FALSE&amp;VAR:CALENDAR=US&amp;VAR:SYMBOL=VTNC&amp;VAR:INDEX=0"}</definedName>
    <definedName function="false" hidden="true" name="_481__FDSAUDITLINK__" vbProcedure="false">{"fdsup://directions/FAT Viewer?action=UPDATE&amp;creator=factset&amp;DYN_ARGS=TRUE&amp;DOC_NAME=FAT:FQL_AUDITING_CLIENT_TEMPLATE.FAT&amp;display_string=Audit&amp;VAR:KEY=BYFMTQXWF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CX&amp;VAR:INDEX=0"}</definedName>
    <definedName function="false" hidden="true" name="_482__FDSAUDITLINK__" vbProcedure="false">{"fdsup://directions/FAT Viewer?action=UPDATE&amp;creator=factset&amp;DYN_ARGS=TRUE&amp;DOC_NAME=FAT:FQL_AUDITING_CLIENT_TEMPLATE.FAT&amp;display_string=Audit&amp;VAR:KEY=LGLQHINS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AVE&amp;VAR:INDEX=0"}</definedName>
    <definedName function="false" hidden="true" name="_48__FDSAUDITLINK__" vbProcedure="false">{"fdsup://directions/FAT Viewer?action=UPDATE&amp;creator=factset&amp;DYN_ARGS=TRUE&amp;DOC_NAME=FAT:FQL_AUDITING_CLIENT_TEMPLATE.FAT&amp;display_string=Audit&amp;VAR:KEY=IXWFSXQJIL&amp;VAR:QUERY=RkZfRUJJVERBX09QRVIoTFRNLDAsLCwsVVNEKQ==&amp;WINDOW=FIRST_POPUP&amp;HEIGHT=450&amp;WIDTH=450&amp;STAR","T_MAXIMIZED=FALSE&amp;VAR:CALENDAR=US&amp;VAR:SYMBOL=MANT&amp;VAR:INDEX=0"}</definedName>
    <definedName function="false" hidden="true" name="_491__FDSAUDITLINK__" vbProcedure="false">{"fdsup://directions/FAT Viewer?action=UPDATE&amp;creator=factset&amp;DYN_ARGS=TRUE&amp;DOC_NAME=FAT:FQL_AUDITING_CLIENT_TEMPLATE.FAT&amp;display_string=Audit&amp;VAR:KEY=FGVYFWRQ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AP&amp;VAR:INDEX=0"}</definedName>
    <definedName function="false" hidden="true" name="_49Dist_Val" vbProcedure="false">#REF!</definedName>
    <definedName function="false" hidden="true" name="_49__FDSAUDITLINK__" vbProcedure="false">{"fdsup://directions/FAT Viewer?action=UPDATE&amp;creator=factset&amp;DYN_ARGS=TRUE&amp;DOC_NAME=FAT:FQL_AUDITING_CLIENT_TEMPLATE.FAT&amp;display_string=Audit&amp;VAR:KEY=QVMNCTKZKX&amp;VAR:QUERY=RkZfRUJJVERBX09QRVIoTFRNLDAsLCwsVVNEKQ==&amp;WINDOW=FIRST_POPUP&amp;HEIGHT=450&amp;WIDTH=450&amp;STAR","T_MAXIMIZED=FALSE&amp;VAR:CALENDAR=US&amp;VAR:SYMBOL=FLIR&amp;VAR:INDEX=0"}</definedName>
    <definedName function="false" hidden="true" name="_4__123Graph_AADV_PCGD" vbProcedure="false">#REF!</definedName>
    <definedName function="false" hidden="true" name="_4__123Graph_ACHART_1" vbProcedure="false">#REF!</definedName>
    <definedName function="false" hidden="true" name="_4__123Graph_ACHART_1A" vbProcedure="false">#REF!</definedName>
    <definedName function="false" hidden="true" name="_4__123Graph_BCHART_1" vbProcedure="false">#REF!</definedName>
    <definedName function="false" hidden="true" name="_4__123Graph_BChart_1A" vbProcedure="false">#REF!</definedName>
    <definedName function="false" hidden="true" name="_4__123Graph_BChart_58B" vbProcedure="false">#REF!</definedName>
    <definedName function="false" hidden="true" name="_4__123Graph_B_FABP_L.WK1_FAB" vbProcedure="false">#REF!</definedName>
    <definedName function="false" hidden="true" name="_4__123Graph_CCHART_1" vbProcedure="false">#REF!</definedName>
    <definedName function="false" hidden="true" name="_4__123Graph_DCHART_1" vbProcedure="false">#REF!</definedName>
    <definedName function="false" hidden="true" name="_4__123Graph_XCHART_1" vbProcedure="false">#REF!</definedName>
    <definedName function="false" hidden="true" name="_4__123Graph_XCHART_2" vbProcedure="false">#REF!</definedName>
    <definedName function="false" hidden="true" name="_4__FDSAUDITLINK__" vbProcedure="false">{"fdsup://directions/FAT Viewer?action=UPDATE&amp;creator=factset&amp;DYN_ARGS=TRUE&amp;DOC_NAME=FAT:FQL_AUDITING_CLIENT_TEMPLATE.FAT&amp;display_string=Audit&amp;VAR:KEY=JSFAJYJCT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WK&amp;VAR:INDEX=0"}</definedName>
    <definedName function="false" hidden="true" name="_4___123Graph_BChart_58B" vbProcedure="false">#REF!</definedName>
    <definedName function="false" hidden="true" name="_505__FDSAUDITLINK__" vbProcedure="false">{"fdsup://directions/FAT Viewer?action=UPDATE&amp;creator=factset&amp;DYN_ARGS=TRUE&amp;DOC_NAME=FAT:FQL_AUDITING_CLIENT_TEMPLATE.FAT&amp;display_string=Audit&amp;VAR:KEY=PYRWBCTWN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NDM&amp;VAR:INDEX=0"}</definedName>
    <definedName function="false" hidden="true" name="_509__FDSAUDITLINK__" vbProcedure="false">{"fdsup://directions/FAT Viewer?action=UPDATE&amp;creator=factset&amp;DYN_ARGS=TRUE&amp;DOC_NAME=FAT:FQL_AUDITING_CLIENT_TEMPLATE.FAT&amp;display_string=Audit&amp;VAR:KEY=XIJCJSDA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AET&amp;VAR:INDEX=0"}</definedName>
    <definedName function="false" hidden="true" name="_50__123Graph_XChart_1A" vbProcedure="false">#REF!</definedName>
    <definedName function="false" hidden="true" name="_50__FDSAUDITLINK__" vbProcedure="false">{"fdsup://directions/FAT Viewer?action=UPDATE&amp;creator=factset&amp;DYN_ARGS=TRUE&amp;DOC_NAME=FAT:FQL_AUDITING_CLIENT_TEMPLATE.FAT&amp;display_string=Audit&amp;VAR:KEY=AJAJEJSVUD&amp;VAR:QUERY=RkZfRUJJVERBX09QRVIoTFRNLDAsLCwsVVNEKQ==&amp;WINDOW=FIRST_POPUP&amp;HEIGHT=450&amp;WIDTH=450&amp;STAR","T_MAXIMIZED=FALSE&amp;VAR:CALENDAR=US&amp;VAR:SYMBOL=QNST&amp;VAR:INDEX=0"}</definedName>
    <definedName function="false" hidden="true" name="_511__FDSAUDITLINK__" vbProcedure="false">{"fdsup://directions/FAT Viewer?action=UPDATE&amp;creator=factset&amp;DYN_ARGS=TRUE&amp;DOC_NAME=FAT:FQL_AUDITING_CLIENT_TEMPLATE.FAT&amp;display_string=Audit&amp;VAR:KEY=JEJMNQJOR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TD&amp;VAR:INDEX=0"}</definedName>
    <definedName function="false" hidden="true" name="_512__FDSAUDITLINK__" vbProcedure="false">{"fdsup://directions/FAT Viewer?action=UPDATE&amp;creator=factset&amp;DYN_ARGS=TRUE&amp;DOC_NAME=FAT:FQL_AUDITING_CLIENT_TEMPLATE.FAT&amp;display_string=Audit&amp;VAR:KEY=ZIJWHEHO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BC&amp;VAR:INDEX=0"}</definedName>
    <definedName function="false" hidden="true" name="_513__FDSAUDITLINK__" vbProcedure="false">{"fdsup://directions/FAT Viewer?action=UPDATE&amp;creator=factset&amp;DYN_ARGS=TRUE&amp;DOC_NAME=FAT:FQL_AUDITING_CLIENT_TEMPLATE.FAT&amp;display_string=Audit&amp;VAR:KEY=FCTUVKXOV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NI&amp;VAR:INDEX=0"}</definedName>
    <definedName function="false" hidden="true" name="_51__123Graph_XChart_58B" vbProcedure="false">#REF!</definedName>
    <definedName function="false" hidden="true" name="_51__FDSAUDITLINK__" vbProcedure="false">{"fdsup://directions/FAT Viewer?action=UPDATE&amp;creator=factset&amp;DYN_ARGS=TRUE&amp;DOC_NAME=FAT:FQL_AUDITING_CLIENT_TEMPLATE.FAT&amp;display_string=Audit&amp;VAR:KEY=EHWNSLARKR&amp;VAR:QUERY=RkZfRUJJVERBX09QRVIoTFRNLDAsLCwsVVNEKQ==&amp;WINDOW=FIRST_POPUP&amp;HEIGHT=450&amp;WIDTH=450&amp;STAR","T_MAXIMIZED=FALSE&amp;VAR:CALENDAR=US&amp;VAR:SYMBOL=BID&amp;VAR:INDEX=0"}</definedName>
    <definedName function="false" hidden="true" name="_524__FDSAUDITLINK__" vbProcedure="false">{"fdsup://Directions/FactSet Auditing Viewer?action=AUDIT_VALUE&amp;DB=129&amp;ID1=91126810&amp;VALUEID=02001&amp;SDATE=201001&amp;PERIODTYPE=QTR_STD&amp;window=popup_no_bar&amp;width=385&amp;height=120&amp;START_MAXIMIZED=FALSE&amp;creator=factset&amp;display_string=Audit"}</definedName>
    <definedName function="false" hidden="true" name="_526__FDSAUDITLINK__" vbProcedure="false">{"fdsup://directions/FAT Viewer?action=UPDATE&amp;creator=factset&amp;DYN_ARGS=TRUE&amp;DOC_NAME=FAT:FQL_AUDITING_CLIENT_TEMPLATE.FAT&amp;display_string=Audit&amp;VAR:KEY=RWLKDGBI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IC&amp;VAR:INDEX=0"}</definedName>
    <definedName function="false" hidden="true" name="_528__FDSAUDITLINK__" vbProcedure="false">{"fdsup://Directions/FactSet Auditing Viewer?action=AUDIT_VALUE&amp;DB=129&amp;ID1=83546010&amp;VALUEID=02001&amp;SDATE=201001&amp;PERIODTYPE=QTR_STD&amp;window=popup_no_bar&amp;width=385&amp;height=120&amp;START_MAXIMIZED=FALSE&amp;creator=factset&amp;display_string=Audit"}</definedName>
    <definedName function="false" hidden="true" name="_529__FDSAUDITLINK__" vbProcedure="false">{"fdsup://directions/FAT Viewer?action=UPDATE&amp;creator=factset&amp;DYN_ARGS=TRUE&amp;DOC_NAME=FAT:FQL_AUDITING_CLIENT_TEMPLATE.FAT&amp;display_string=Audit&amp;VAR:KEY=JOHMBABYFM&amp;VAR:QUERY=KEZTTF9ORVRfSU5DKE5PVyxOT1csRlNBLCxVU0QpQEZGX05FVF9JTkMoTFRNUywwLCwsLFVTRCkp&amp;WINDOW=F","IRST_POPUP&amp;HEIGHT=450&amp;WIDTH=450&amp;START_MAXIMIZED=FALSE&amp;VAR:CALENDAR=US&amp;VAR:SYMBOL=ECLP&amp;VAR:INDEX=0"}</definedName>
    <definedName function="false" hidden="true" name="_52__FDSAUDITLINK__" vbProcedure="false">{"fdsup://directions/FAT Viewer?action=UPDATE&amp;creator=factset&amp;DYN_ARGS=TRUE&amp;DOC_NAME=FAT:FQL_AUDITING_CLIENT_TEMPLATE.FAT&amp;display_string=Audit&amp;VAR:KEY=QFUTKTQBSF&amp;VAR:QUERY=RkZfRUJJVERBX09QRVIoTFRNLDAsLCwsVVNEKQ==&amp;WINDOW=FIRST_POPUP&amp;HEIGHT=450&amp;WIDTH=450&amp;STAR","T_MAXIMIZED=FALSE&amp;VAR:CALENDAR=US&amp;VAR:SYMBOL=ORN&amp;VAR:INDEX=0"}</definedName>
    <definedName function="false" hidden="true" name="_533__FDSAUDITLINK__" vbProcedure="false">{"fdsup://directions/FAT Viewer?action=UPDATE&amp;creator=factset&amp;DYN_ARGS=TRUE&amp;DOC_NAME=FAT:FQL_AUDITING_CLIENT_TEMPLATE.FAT&amp;display_string=Audit&amp;VAR:KEY=BSRKNQRMPQ&amp;VAR:QUERY=KEZTTF9ORVRfSU5DKE5PVyxOT1csRlNBLCxVU0QpQEZGX05FVF9JTkMoTFRNUywwLCwsLFVTRCkp&amp;WINDOW=F","IRST_POPUP&amp;HEIGHT=450&amp;WIDTH=450&amp;START_MAXIMIZED=FALSE&amp;VAR:CALENDAR=US&amp;VAR:SYMBOL=SLP&amp;VAR:INDEX=0"}</definedName>
    <definedName function="false" hidden="true" name="_534__FDSAUDITLINK__" vbProcedure="false">{"fdsup://directions/FAT Viewer?action=UPDATE&amp;creator=factset&amp;DYN_ARGS=TRUE&amp;DOC_NAME=FAT:FQL_AUDITING_CLIENT_TEMPLATE.FAT&amp;display_string=Audit&amp;VAR:KEY=PGJUDGTMTW&amp;VAR:QUERY=KEZTTF9ORVRfSU5DKE5PVyxOT1csRlNBLCxVU0QpQEZGX05FVF9JTkMoTFRNUywwLCwsLFVTRCkp&amp;WINDOW=F","IRST_POPUP&amp;HEIGHT=450&amp;WIDTH=450&amp;START_MAXIMIZED=FALSE&amp;VAR:CALENDAR=US&amp;VAR:SYMBOL=ADAM&amp;VAR:INDEX=0"}</definedName>
    <definedName function="false" hidden="true" name="_53__FDSAUDITLINK__" vbProcedure="false">{"fdsup://directions/FAT Viewer?action=UPDATE&amp;creator=factset&amp;DYN_ARGS=TRUE&amp;DOC_NAME=FAT:FQL_AUDITING_CLIENT_TEMPLATE.FAT&amp;display_string=Audit&amp;VAR:KEY=QTSVONSRIP&amp;VAR:QUERY=RkZfRUJJVERBX09QRVIoTFRNLDAsLCwsVVNEKQ==&amp;WINDOW=FIRST_POPUP&amp;HEIGHT=450&amp;WIDTH=450&amp;STAR","T_MAXIMIZED=FALSE&amp;VAR:CALENDAR=US&amp;VAR:SYMBOL=VRML&amp;VAR:INDEX=0"}</definedName>
    <definedName function="false" hidden="true" name="_548__FDSAUDITLINK__" vbProcedure="false">{"fdsup://directions/FAT Viewer?action=UPDATE&amp;creator=factset&amp;DYN_ARGS=TRUE&amp;DOC_NAME=FAT:FQL_AUDITING_CLIENT_TEMPLATE.FAT&amp;display_string=Audit&amp;VAR:KEY=ZURERKDS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CLP&amp;VAR:INDEX=0"}</definedName>
    <definedName function="false" hidden="true" name="_54__FDSAUDITLINK__" vbProcedure="false">{"fdsup://directions/FAT Viewer?action=UPDATE&amp;creator=factset&amp;DYN_ARGS=TRUE&amp;DOC_NAME=FAT:FQL_AUDITING_CLIENT_TEMPLATE.FAT&amp;display_string=Audit&amp;VAR:KEY=INGZKXYBGR&amp;VAR:QUERY=RkZfRUJJVERBX09QRVIoTFRNLDAsLCwsVVNEKQ==&amp;WINDOW=FIRST_POPUP&amp;HEIGHT=450&amp;WIDTH=450&amp;STAR","T_MAXIMIZED=FALSE&amp;VAR:CALENDAR=US&amp;VAR:SYMBOL=COMV&amp;VAR:INDEX=0"}</definedName>
    <definedName function="false" hidden="true" name="_553__FDSAUDITLINK__" vbProcedure="false">{"fdsup://directions/FAT Viewer?action=UPDATE&amp;creator=factset&amp;DYN_ARGS=TRUE&amp;DOC_NAME=FAT:FQL_AUDITING_CLIENT_TEMPLATE.FAT&amp;display_string=Audit&amp;VAR:KEY=NGDEHSLK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P&amp;VAR:INDEX=0"}</definedName>
    <definedName function="false" hidden="true" name="_554__FDSAUDITLINK__" vbProcedure="false">{"fdsup://directions/FAT Viewer?action=UPDATE&amp;creator=factset&amp;DYN_ARGS=TRUE&amp;DOC_NAME=FAT:FQL_AUDITING_CLIENT_TEMPLATE.FAT&amp;display_string=Audit&amp;VAR:KEY=JUNWZOBKJ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AM&amp;VAR:INDEX=0"}</definedName>
    <definedName function="false" hidden="true" name="_55__FDSAUDITLINK__" vbProcedure="false">{"fdsup://directions/FAT Viewer?action=UPDATE&amp;creator=factset&amp;DYN_ARGS=TRUE&amp;DOC_NAME=FAT:FQL_AUDITING_CLIENT_TEMPLATE.FAT&amp;display_string=Audit&amp;VAR:KEY=YPCNUPAHKJ&amp;VAR:QUERY=RkZfRUJJVERBX09QRVIoTFRNLDAsLCwsVVNEKQ==&amp;WINDOW=FIRST_POPUP&amp;HEIGHT=450&amp;WIDTH=450&amp;STAR","T_MAXIMIZED=FALSE&amp;VAR:CALENDAR=US&amp;VAR:SYMBOL=GOK&amp;VAR:INDEX=0"}</definedName>
    <definedName function="false" hidden="true" name="_564__FDSAUDITLINK__" vbProcedure="false">{"fdsup://Directions/FactSet Auditing Viewer?action=AUDIT_VALUE&amp;DB=129&amp;ID1=27885610&amp;VALUEID=02001&amp;SDATE=201002&amp;PERIODTYPE=QTR_STD&amp;window=popup_no_bar&amp;width=385&amp;height=120&amp;START_MAXIMIZED=FALSE&amp;creator=factset&amp;display_string=Audit"}</definedName>
    <definedName function="false" hidden="true" name="_568__FDSAUDITLINK__" vbProcedure="false">{"fdsup://Directions/FactSet Auditing Viewer?action=AUDIT_VALUE&amp;DB=129&amp;ID1=27885610&amp;VALUEID=02001&amp;SDATE=201002&amp;PERIODTYPE=QTR_STD&amp;window=popup_no_bar&amp;width=385&amp;height=120&amp;START_MAXIMIZED=FALSE&amp;creator=factset&amp;display_string=Audit"}</definedName>
    <definedName function="false" hidden="true" name="_569__FDSAUDITLINK__" vbProcedure="false">{"fdsup://Directions/FactSet Auditing Viewer?action=AUDIT_VALUE&amp;DB=129&amp;ID1=45668X20&amp;VALUEID=02001&amp;SDATE=201002&amp;PERIODTYPE=QTR_STD&amp;window=popup_no_bar&amp;width=385&amp;height=120&amp;START_MAXIMIZED=FALSE&amp;creator=factset&amp;display_string=Audit"}</definedName>
    <definedName function="false" hidden="true" name="_56_0_Dist_Val" vbProcedure="false">#REF!</definedName>
    <definedName function="false" hidden="true" name="_56__FDSAUDITLINK__" vbProcedure="false">{"fdsup://directions/FAT Viewer?action=UPDATE&amp;creator=factset&amp;DYN_ARGS=TRUE&amp;DOC_NAME=FAT:FQL_AUDITING_CLIENT_TEMPLATE.FAT&amp;display_string=Audit&amp;VAR:KEY=MFUVILAHYX&amp;VAR:QUERY=RkZfRUJJVERBX09QRVIoTFRNLDAsLCwsVVNEKQ==&amp;WINDOW=FIRST_POPUP&amp;HEIGHT=450&amp;WIDTH=450&amp;STAR","T_MAXIMIZED=FALSE&amp;VAR:CALENDAR=US&amp;VAR:SYMBOL=WNC&amp;VAR:INDEX=0"}</definedName>
    <definedName function="false" hidden="true" name="_573__FDSAUDITLINK__" vbProcedure="false">{"fdsup://directions/FAT Viewer?action=UPDATE&amp;creator=factset&amp;DYN_ARGS=TRUE&amp;DOC_NAME=FAT:FQL_AUDITING_CLIENT_TEMPLATE.FAT&amp;display_string=Audit&amp;VAR:KEY=DEZSHENSHK&amp;VAR:QUERY=KEZTTF9ORVRfSU5DKE5PVyxOT1csRlNBLCxVU0QpQEZGX05FVF9JTkMoTFRNUywwLCwsLFVTRCkp&amp;WINDOW=F","IRST_POPUP&amp;HEIGHT=450&amp;WIDTH=450&amp;START_MAXIMIZED=FALSE&amp;VAR:CALENDAR=US&amp;VAR:SYMBOL=SABA&amp;VAR:INDEX=0"}</definedName>
    <definedName function="false" hidden="true" name="_574__FDSAUDITLINK__" vbProcedure="false">{"fdsup://directions/FAT Viewer?action=UPDATE&amp;creator=factset&amp;DYN_ARGS=TRUE&amp;DOC_NAME=FAT:FQL_AUDITING_CLIENT_TEMPLATE.FAT&amp;display_string=Audit&amp;VAR:KEY=JYBKFYVQVC&amp;VAR:QUERY=KEZTTF9ORVRfSU5DKE5PVyxOT1csRlNBLCxVU0QpQEZGX05FVF9JTkMoTFRNUywwLCwsLFVTRCkp&amp;WINDOW=F","IRST_POPUP&amp;HEIGHT=450&amp;WIDTH=450&amp;START_MAXIMIZED=FALSE&amp;VAR:CALENDAR=US&amp;VAR:SYMBOL=CNVO&amp;VAR:INDEX=0"}</definedName>
    <definedName function="false" hidden="true" name="_57__FDSAUDITLINK__" vbProcedure="false">{"fdsup://directions/FAT Viewer?action=UPDATE&amp;creator=factset&amp;DYN_ARGS=TRUE&amp;DOC_NAME=FAT:FQL_AUDITING_CLIENT_TEMPLATE.FAT&amp;display_string=Audit&amp;VAR:KEY=QDEDIRKRYZ&amp;VAR:QUERY=RkZfRUJJVERBX09QRVIoTFRNLDAsLCwsVVNEKQ==&amp;WINDOW=FIRST_POPUP&amp;HEIGHT=450&amp;WIDTH=450&amp;STAR","T_MAXIMIZED=FALSE&amp;VAR:CALENDAR=US&amp;VAR:SYMBOL=DVR&amp;VAR:INDEX=0"}</definedName>
    <definedName function="false" hidden="true" name="_580__FDSAUDITLINK__" vbProcedure="false">{"fdsup://directions/FAT Viewer?action=UPDATE&amp;creator=factset&amp;DYN_ARGS=TRUE&amp;DOC_NAME=FAT:FQL_AUDITING_CLIENT_TEMPLATE.FAT&amp;display_string=Audit&amp;VAR:KEY=URIHSLGXK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276332&amp;VAR:INDEX=0"}</definedName>
    <definedName function="false" hidden="true" name="_58__FDSAUDITLINK__" vbProcedure="false">{"fdsup://directions/FAT Viewer?action=UPDATE&amp;creator=factset&amp;DYN_ARGS=TRUE&amp;DOC_NAME=FAT:FQL_AUDITING_CLIENT_TEMPLATE.FAT&amp;display_string=Audit&amp;VAR:KEY=GFSNGJUZGB&amp;VAR:QUERY=RkZfRUJJVERBX09QRVIoTFRNLDAsLCwsVVNEKQ==&amp;WINDOW=FIRST_POPUP&amp;HEIGHT=450&amp;WIDTH=450&amp;STAR","T_MAXIMIZED=FALSE&amp;VAR:CALENDAR=US&amp;VAR:SYMBOL=AMED&amp;VAR:INDEX=0"}</definedName>
    <definedName function="false" hidden="true" name="_592__FDSAUDITLINK__" vbProcedure="false">{"fdsup://directions/FAT Viewer?action=UPDATE&amp;creator=factset&amp;DYN_ARGS=TRUE&amp;DOC_NAME=FAT:FQL_AUDITING_CLIENT_TEMPLATE.FAT&amp;display_string=Audit&amp;VAR:KEY=BUVSNKTU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BA&amp;VAR:INDEX=0"}</definedName>
    <definedName function="false" hidden="true" name="_593__FDSAUDITLINK__" vbProcedure="false">{"fdsup://directions/FAT Viewer?action=UPDATE&amp;creator=factset&amp;DYN_ARGS=TRUE&amp;DOC_NAME=FAT:FQL_AUDITING_CLIENT_TEMPLATE.FAT&amp;display_string=Audit&amp;VAR:KEY=VCTSRCHSNE&amp;VAR:QUERY=KEZTTF9ORVRfSU5DKE5PVyxOT1csRlNBLCxVU0QpQEZGX05FVF9JTkMoTFRNUywwLCwsLFVTRCkp&amp;WINDOW=F","IRST_POPUP&amp;HEIGHT=450&amp;WIDTH=450&amp;START_MAXIMIZED=FALSE&amp;VAR:CALENDAR=US&amp;VAR:SYMBOL=COVR&amp;VAR:INDEX=0"}</definedName>
    <definedName function="false" hidden="true" name="_59__FDSAUDITLINK__" vbProcedure="false">{"fdsup://directions/FAT Viewer?action=UPDATE&amp;creator=factset&amp;DYN_ARGS=TRUE&amp;DOC_NAME=FAT:FQL_AUDITING_CLIENT_TEMPLATE.FAT&amp;display_string=Audit&amp;VAR:KEY=WHUFCHOVAN&amp;VAR:QUERY=RkZfRUJJVERBX09QRVIoTFRNLDAsLCwsVVNEKQ==&amp;WINDOW=FIRST_POPUP&amp;HEIGHT=450&amp;WIDTH=450&amp;STAR","T_MAXIMIZED=FALSE&amp;VAR:CALENDAR=US&amp;VAR:SYMBOL=TSYS&amp;VAR:INDEX=0"}</definedName>
    <definedName function="false" hidden="true" name="_5__123Graph_ACHART_1" vbProcedure="false">#REF!</definedName>
    <definedName function="false" hidden="true" name="_5__123Graph_AMAG_PCE" vbProcedure="false">#REF!</definedName>
    <definedName function="false" hidden="true" name="_5__123Graph_BCHART_1" vbProcedure="false">#REF!</definedName>
    <definedName function="false" hidden="true" name="_5__123Graph_BChart_58B" vbProcedure="false">#REF!</definedName>
    <definedName function="false" hidden="true" name="_5__123Graph_CCHART_1" vbProcedure="false">#REF!</definedName>
    <definedName function="false" hidden="true" name="_5__123Graph_C_FABP_L.WK1_FAB" vbProcedure="false">#REF!</definedName>
    <definedName function="false" hidden="true" name="_5__123Graph_ECHART_1" vbProcedure="false">#REF!</definedName>
    <definedName function="false" hidden="true" name="_5__123Graph_XChart_1A" vbProcedure="false">#REF!</definedName>
    <definedName function="false" hidden="true" name="_5__FDSAUDITLINK__" vbProcedure="false">{"fdsup://directions/FAT Viewer?action=UPDATE&amp;creator=factset&amp;DYN_ARGS=TRUE&amp;DOC_NAME=FAT:FQL_AUDITING_CLIENT_TEMPLATE.FAT&amp;display_string=Audit&amp;VAR:KEY=LGHWVKFOXW&amp;VAR:QUERY=KEZTTF9ORVRfSU5DKE5PVyxOT1csRlNBLCxVU0QpQEZGX05FVF9JTkMoTFRNUywwLCwsLFVTRCkp&amp;WINDOW=F","IRST_POPUP&amp;HEIGHT=450&amp;WIDTH=450&amp;START_MAXIMIZED=FALSE&amp;VAR:CALENDAR=US&amp;VAR:SYMBOL=PRFT&amp;VAR:INDEX=0"}</definedName>
    <definedName function="false" hidden="true" name="_5___123Graph_XChart_1A" vbProcedure="false">#REF!</definedName>
    <definedName function="false" hidden="true" name="_60__FDSAUDITLINK__" vbProcedure="false">{"fdsup://directions/FAT Viewer?action=UPDATE&amp;creator=factset&amp;DYN_ARGS=TRUE&amp;DOC_NAME=FAT:FQL_AUDITING_CLIENT_TEMPLATE.FAT&amp;display_string=Audit&amp;VAR:KEY=EHEXUNKXMP&amp;VAR:QUERY=RkZfRUJJVERBX09QRVIoTFRNLDAsLCwsVVNEKQ==&amp;WINDOW=FIRST_POPUP&amp;HEIGHT=450&amp;WIDTH=450&amp;STAR","T_MAXIMIZED=FALSE&amp;VAR:CALENDAR=US&amp;VAR:SYMBOL=MHR&amp;VAR:INDEX=0"}</definedName>
    <definedName function="false" hidden="true" name="_613__FDSAUDITLINK__" vbProcedure="false">{"fdsup://directions/FAT Viewer?action=UPDATE&amp;creator=factset&amp;DYN_ARGS=TRUE&amp;DOC_NAME=FAT:FQL_AUDITING_CLIENT_TEMPLATE.FAT&amp;display_string=Audit&amp;VAR:KEY=JKXAVGDM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VR&amp;VAR:INDEX=0"}</definedName>
    <definedName function="false" hidden="true" name="_614__FDSAUDITLINK__" vbProcedure="false">{"fdsup://directions/FAT Viewer?action=UPDATE&amp;creator=factset&amp;DYN_ARGS=TRUE&amp;DOC_NAME=FAT:FQL_AUDITING_CLIENT_TEMPLATE.FAT&amp;display_string=Audit&amp;VAR:KEY=TYNYZSRCB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VR&amp;VAR:INDEX=0"}</definedName>
    <definedName function="false" hidden="true" name="_61__123Graph_ACHART_1" vbProcedure="false">#REF!</definedName>
    <definedName function="false" hidden="true" name="_61__FDSAUDITLINK__" vbProcedure="false">{"fdsup://directions/FAT Viewer?action=UPDATE&amp;creator=factset&amp;DYN_ARGS=TRUE&amp;DOC_NAME=FAT:FQL_AUDITING_CLIENT_TEMPLATE.FAT&amp;display_string=Audit&amp;VAR:KEY=PQRGHYJSTU&amp;VAR:QUERY=KEZTTF9ORVRfSU5DKE5PVyxOT1csRlNBLCxVU0QpQEZGX05FVF9JTkMoTFRNUywwLCwsLFVTRCkp&amp;WINDOW=F","IRST_POPUP&amp;HEIGHT=450&amp;WIDTH=450&amp;START_MAXIMIZED=FALSE&amp;VAR:CALENDAR=US&amp;VAR:SYMBOL=RMG&amp;VAR:INDEX=0"}</definedName>
    <definedName function="false" hidden="true" name="_62__123Graph_ACHART_10" vbProcedure="false">#REF!</definedName>
    <definedName function="false" hidden="true" name="_62__FDSAUDITLINK__" vbProcedure="false">{"fdsup://directions/FAT Viewer?action=UPDATE&amp;creator=factset&amp;DYN_ARGS=TRUE&amp;DOC_NAME=FAT:FQL_AUDITING_CLIENT_TEMPLATE.FAT&amp;display_string=Audit&amp;VAR:KEY=GTCLSBADEB&amp;VAR:QUERY=RkZfRUJJVERBX09QRVIoTFRNLDAsLCwsVVNEKQ==&amp;WINDOW=FIRST_POPUP&amp;HEIGHT=450&amp;WIDTH=450&amp;STAR","T_MAXIMIZED=FALSE&amp;VAR:CALENDAR=US&amp;VAR:SYMBOL=CVTI&amp;VAR:INDEX=0"}</definedName>
    <definedName function="false" hidden="true" name="_63__123Graph_ACHART_11" vbProcedure="false">#REF!</definedName>
    <definedName function="false" hidden="true" name="_63__FDSAUDITLINK__" vbProcedure="false">{"fdsup://directions/FAT Viewer?action=UPDATE&amp;creator=factset&amp;DYN_ARGS=TRUE&amp;DOC_NAME=FAT:FQL_AUDITING_CLIENT_TEMPLATE.FAT&amp;display_string=Audit&amp;VAR:KEY=NKPWLSDSP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MG&amp;VAR:INDEX=0"}</definedName>
    <definedName function="false" hidden="true" name="_640__FDSAUDITLINK__" vbProcedure="false">{"fdsup://directions/FAT Viewer?action=UPDATE&amp;creator=factset&amp;DYN_ARGS=TRUE&amp;DOC_NAME=FAT:FQL_AUDITING_CLIENT_TEMPLATE.FAT&amp;display_string=Audit&amp;VAR:KEY=VEPSPYJULE&amp;VAR:QUERY=KEZTTF9ORVRfSU5DKE5PVyxOT1csRlNBLCxVU0QpQEZGX05FVF9JTkMoTFRNUywwLCwsLFVTRCkp&amp;WINDOW=F","IRST_POPUP&amp;HEIGHT=450&amp;WIDTH=450&amp;START_MAXIMIZED=FALSE&amp;VAR:CALENDAR=US&amp;VAR:SYMBOL=DMAN&amp;VAR:INDEX=0"}</definedName>
    <definedName function="false" hidden="true" name="_641__FDSAUDITLINK__" vbProcedure="false">{"fdsup://directions/FAT Viewer?action=UPDATE&amp;creator=factset&amp;DYN_ARGS=TRUE&amp;DOC_NAME=FAT:FQL_AUDITING_CLIENT_TEMPLATE.FAT&amp;display_string=Audit&amp;VAR:KEY=ZAZUDQTYBQ&amp;VAR:QUERY=KEZTTF9ORVRfSU5DKE5PVyxOT1csRlNBLCxVU0QpQEZGX05FVF9JTkMoTFRNUywwLCwsLFVTRCkp&amp;WINDOW=F","IRST_POPUP&amp;HEIGHT=450&amp;WIDTH=450&amp;START_MAXIMIZED=FALSE&amp;VAR:CALENDAR=US&amp;VAR:SYMBOL=PRO&amp;VAR:INDEX=0"}</definedName>
    <definedName function="false" hidden="true" name="_644__FDSAUDITLINK__" vbProcedure="false">{"fdsup://directions/FAT Viewer?action=UPDATE&amp;creator=factset&amp;DYN_ARGS=TRUE&amp;DOC_NAME=FAT:FQL_AUDITING_CLIENT_TEMPLATE.FAT&amp;display_string=Audit&amp;VAR:KEY=VQDOPUZI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703513&amp;VAR:INDEX=0"}</definedName>
    <definedName function="false" hidden="true" name="_645__FDSAUDITLINK__" vbProcedure="false">{"fdsup://directions/FAT Viewer?action=UPDATE&amp;creator=factset&amp;DYN_ARGS=TRUE&amp;DOC_NAME=FAT:FQL_AUDITING_CLIENT_TEMPLATE.FAT&amp;display_string=Audit&amp;VAR:KEY=TIFKVSTQHY&amp;VAR:QUERY=KEZTTF9ORVRfSU5DKE5PVyxOT1csRlNBLCxVU0QpQEZGX05FVF9JTkMoTFRNUywwLCwsLFVTRCkp&amp;WINDOW=F","IRST_POPUP&amp;HEIGHT=450&amp;WIDTH=450&amp;START_MAXIMIZED=FALSE&amp;VAR:CALENDAR=US&amp;VAR:SYMBOL=569496&amp;VAR:INDEX=0"}</definedName>
    <definedName function="false" hidden="true" name="_646__FDSAUDITLINK__" vbProcedure="false">{"fdsup://directions/FAT Viewer?action=UPDATE&amp;creator=factset&amp;DYN_ARGS=TRUE&amp;DOC_NAME=FAT:FQL_AUDITING_CLIENT_TEMPLATE.FAT&amp;display_string=Audit&amp;VAR:KEY=XYXQZERYXK&amp;VAR:QUERY=KEZTTF9ORVRfSU5DKE5PVyxOT1csRlNBLCxVU0QpQEZGX05FVF9JTkMoTFRNUywwLCwsLFVTRCkp&amp;WINDOW=F","IRST_POPUP&amp;HEIGHT=450&amp;WIDTH=450&amp;START_MAXIMIZED=FALSE&amp;VAR:CALENDAR=US&amp;VAR:SYMBOL=PROJ&amp;VAR:INDEX=0"}</definedName>
    <definedName function="false" hidden="true" name="_647__FDSAUDITLINK__" vbProcedure="false">{"fdsup://directions/FAT Viewer?action=UPDATE&amp;creator=factset&amp;DYN_ARGS=TRUE&amp;DOC_NAME=FAT:FQL_AUDITING_CLIENT_TEMPLATE.FAT&amp;display_string=Audit&amp;VAR:KEY=BEVGPMZSNW&amp;VAR:QUERY=KEZTTF9ORVRfSU5DKE5PVyxOT1csRlNBLCxVU0QpQEZGX05FVF9JTkMoTFRNUywwLCwsLFVTRCkp&amp;WINDOW=F","IRST_POPUP&amp;HEIGHT=450&amp;WIDTH=450&amp;START_MAXIMIZED=FALSE&amp;VAR:CALENDAR=US&amp;VAR:SYMBOL=EPIC&amp;VAR:INDEX=0"}</definedName>
    <definedName function="false" hidden="true" name="_64__123Graph_ACHART_8" vbProcedure="false">#REF!</definedName>
    <definedName function="false" hidden="true" name="_64__FDSAUDITLINK__" vbProcedure="false">{"fdsup://directions/FAT Viewer?action=UPDATE&amp;creator=factset&amp;DYN_ARGS=TRUE&amp;DOC_NAME=FAT:FQL_AUDITING_CLIENT_TEMPLATE.FAT&amp;display_string=Audit&amp;VAR:KEY=MHKVAZOPAF&amp;VAR:QUERY=RkZfRUJJVERBX09QRVIoTFRNLDAsLCwsVVNEKQ==&amp;WINDOW=FIRST_POPUP&amp;HEIGHT=450&amp;WIDTH=450&amp;STAR","T_MAXIMIZED=FALSE&amp;VAR:CALENDAR=US&amp;VAR:SYMBOL=CRZO&amp;VAR:INDEX=0"}</definedName>
    <definedName function="false" hidden="true" name="_653__FDSAUDITLINK__" vbProcedure="false">{"fdsup://directions/FAT Viewer?action=UPDATE&amp;creator=factset&amp;DYN_ARGS=TRUE&amp;DOC_NAME=FAT:FQL_AUDITING_CLIENT_TEMPLATE.FAT&amp;display_string=Audit&amp;VAR:KEY=TMVGBWXANQ&amp;VAR:QUERY=KEZTTF9ORVRfSU5DKE5PVyxOT1csRlNBLCxVU0QpQEZGX05FVF9JTkMoTFRNUywwLCwsLFVTRCkp&amp;WINDOW=F","IRST_POPUP&amp;HEIGHT=450&amp;WIDTH=450&amp;START_MAXIMIZED=FALSE&amp;VAR:CALENDAR=US&amp;VAR:SYMBOL=OPEN&amp;VAR:INDEX=0"}</definedName>
    <definedName function="false" hidden="true" name="_654__FDSAUDITLINK__" vbProcedure="false">{"fdsup://directions/FAT Viewer?action=UPDATE&amp;creator=factset&amp;DYN_ARGS=TRUE&amp;DOC_NAME=FAT:FQL_AUDITING_CLIENT_TEMPLATE.FAT&amp;display_string=Audit&amp;VAR:KEY=DGDIRWRWPC&amp;VAR:QUERY=KEZTTF9ORVRfSU5DKE5PVyxOT1csRlNBLCxVU0QpQEZGX05FVF9JTkMoTFRNUywwLCwsLFVTRCkp&amp;WINDOW=F","IRST_POPUP&amp;HEIGHT=450&amp;WIDTH=450&amp;START_MAXIMIZED=FALSE&amp;VAR:CALENDAR=US&amp;VAR:SYMBOL=DRIV&amp;VAR:INDEX=0"}</definedName>
    <definedName function="false" hidden="true" name="_65__123Graph_ACHART_9" vbProcedure="false">#REF!</definedName>
    <definedName function="false" hidden="true" name="_65__FDSAUDITLINK__" vbProcedure="false">{"fdsup://directions/FAT Viewer?action=UPDATE&amp;creator=factset&amp;DYN_ARGS=TRUE&amp;DOC_NAME=FAT:FQL_AUDITING_CLIENT_TEMPLATE.FAT&amp;display_string=Audit&amp;VAR:KEY=EZOBMNEJMN&amp;VAR:QUERY=RkZfRUJJVERBX09QRVIoTFRNLDAsLCwsVVNEKQ==&amp;WINDOW=FIRST_POPUP&amp;HEIGHT=450&amp;WIDTH=450&amp;STAR","T_MAXIMIZED=FALSE&amp;VAR:CALENDAR=US&amp;VAR:SYMBOL=AXAS&amp;VAR:INDEX=0"}</definedName>
    <definedName function="false" hidden="true" name="_667__FDSAUDITLINK__" vbProcedure="false">{"fdsup://directions/FAT Viewer?action=UPDATE&amp;creator=factset&amp;DYN_ARGS=TRUE&amp;DOC_NAME=FAT:FQL_AUDITING_CLIENT_TEMPLATE.FAT&amp;display_string=Audit&amp;VAR:KEY=TMJSJIXWR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AN&amp;VAR:INDEX=0"}</definedName>
    <definedName function="false" hidden="true" name="_668__FDSAUDITLINK__" vbProcedure="false">{"fdsup://directions/FAT Viewer?action=UPDATE&amp;creator=factset&amp;DYN_ARGS=TRUE&amp;DOC_NAME=FAT:FQL_AUDITING_CLIENT_TEMPLATE.FAT&amp;display_string=Audit&amp;VAR:KEY=NKLQTMZS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O&amp;VAR:INDEX=0"}</definedName>
    <definedName function="false" hidden="true" name="_66__123Graph_BCHART_1" vbProcedure="false">#REF!</definedName>
    <definedName function="false" hidden="true" name="_66__FDSAUDITLINK__" vbProcedure="false">{"fdsup://directions/FAT Viewer?action=UPDATE&amp;creator=factset&amp;DYN_ARGS=TRUE&amp;DOC_NAME=FAT:FQL_AUDITING_CLIENT_TEMPLATE.FAT&amp;display_string=Audit&amp;VAR:KEY=EXABERMNMR&amp;VAR:QUERY=RkZfRUJJVERBX09QRVIoTFRNLDAsLCwsVVNEKQ==&amp;WINDOW=FIRST_POPUP&amp;HEIGHT=450&amp;WIDTH=450&amp;STAR","T_MAXIMIZED=FALSE&amp;VAR:CALENDAR=US&amp;VAR:SYMBOL=TPX&amp;VAR:INDEX=0"}</definedName>
    <definedName function="false" hidden="true" name="_672__FDSAUDITLINK__" vbProcedure="false">{"fdsup://directions/FAT Viewer?action=UPDATE&amp;creator=factset&amp;DYN_ARGS=TRUE&amp;DOC_NAME=FAT:FQL_AUDITING_CLIENT_TEMPLATE.FAT&amp;display_string=Audit&amp;VAR:KEY=RSNKPAPKT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569496&amp;VAR:INDEX=0"}</definedName>
    <definedName function="false" hidden="true" name="_673__FDSAUDITLINK__" vbProcedure="false">{"fdsup://directions/FAT Viewer?action=UPDATE&amp;creator=factset&amp;DYN_ARGS=TRUE&amp;DOC_NAME=FAT:FQL_AUDITING_CLIENT_TEMPLATE.FAT&amp;display_string=Audit&amp;VAR:KEY=PADSHOTW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OJ&amp;VAR:INDEX=0"}</definedName>
    <definedName function="false" hidden="true" name="_674__FDSAUDITLINK__" vbProcedure="false">{"fdsup://directions/FAT Viewer?action=UPDATE&amp;creator=factset&amp;DYN_ARGS=TRUE&amp;DOC_NAME=FAT:FQL_AUDITING_CLIENT_TEMPLATE.FAT&amp;display_string=Audit&amp;VAR:KEY=LOVWBMZY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IC&amp;VAR:INDEX=0"}</definedName>
    <definedName function="false" hidden="true" name="_67__123Graph_BCHART_10" vbProcedure="false">#REF!</definedName>
    <definedName function="false" hidden="true" name="_67__FDSAUDITLINK__" vbProcedure="false">{"fdsup://directions/FAT Viewer?action=UPDATE&amp;creator=factset&amp;DYN_ARGS=TRUE&amp;DOC_NAME=FAT:FQL_AUDITING_CLIENT_TEMPLATE.FAT&amp;display_string=Audit&amp;VAR:KEY=EJUTUPOHAT&amp;VAR:QUERY=RkZfRUJJVERBX09QRVIoTFRNLDAsLCwsVVNEKQ==&amp;WINDOW=FIRST_POPUP&amp;HEIGHT=450&amp;WIDTH=450&amp;STAR","T_MAXIMIZED=FALSE&amp;VAR:CALENDAR=US&amp;VAR:SYMBOL=AIMC&amp;VAR:INDEX=0"}</definedName>
    <definedName function="false" hidden="true" name="_680__FDSAUDITLINK__" vbProcedure="false">{"fdsup://directions/FAT Viewer?action=UPDATE&amp;creator=factset&amp;DYN_ARGS=TRUE&amp;DOC_NAME=FAT:FQL_AUDITING_CLIENT_TEMPLATE.FAT&amp;display_string=Audit&amp;VAR:KEY=ZYVWBKXSH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EN&amp;VAR:INDEX=0"}</definedName>
    <definedName function="false" hidden="true" name="_681__FDSAUDITLINK__" vbProcedure="false">{"fdsup://directions/FAT Viewer?action=UPDATE&amp;creator=factset&amp;DYN_ARGS=TRUE&amp;DOC_NAME=FAT:FQL_AUDITING_CLIENT_TEMPLATE.FAT&amp;display_string=Audit&amp;VAR:KEY=VQLIPIHEV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RIV&amp;VAR:INDEX=0"}</definedName>
    <definedName function="false" hidden="true" name="_68__123Graph_BCHART_11" vbProcedure="false">#REF!</definedName>
    <definedName function="false" hidden="true" name="_68__FDSAUDITLINK__" vbProcedure="false">{"fdsup://directions/FAT Viewer?action=UPDATE&amp;creator=factset&amp;DYN_ARGS=TRUE&amp;DOC_NAME=FAT:FQL_AUDITING_CLIENT_TEMPLATE.FAT&amp;display_string=Audit&amp;VAR:KEY=ONQHQDUZKF&amp;VAR:QUERY=RkZfRUJJVERBX09QRVIoTFRNLDAsLCwsVVNEKQ==&amp;WINDOW=FIRST_POPUP&amp;HEIGHT=450&amp;WIDTH=450&amp;STAR","T_MAXIMIZED=FALSE&amp;VAR:CALENDAR=US&amp;VAR:SYMBOL=GTIV&amp;VAR:INDEX=0"}</definedName>
    <definedName function="false" hidden="true" name="_690__FDSAUDITLINK__" vbProcedure="false">{"fdsup://directions/FAT Viewer?action=UPDATE&amp;creator=factset&amp;DYN_ARGS=TRUE&amp;DOC_NAME=FAT:FQL_AUDITING_CLIENT_TEMPLATE.FAT&amp;display_string=Audit&amp;VAR:KEY=KDEZKPAPKH&amp;VAR:QUERY=KEZTTF9ORVRfSU5DKE5PVyxOT1csRlNBLCxVU0QpQEZGX05FVF9JTkMoTFRNUywwLCwsLFVTRCkp&amp;WINDOW=F","IRST_POPUP&amp;HEIGHT=450&amp;WIDTH=450&amp;START_MAXIMIZED=FALSE&amp;VAR:CALENDAR=US&amp;VAR:SYMBOL=GVP&amp;VAR:INDEX=0"}</definedName>
    <definedName function="false" hidden="true" name="_69__123Graph_BCHART_8" vbProcedure="false">#REF!</definedName>
    <definedName function="false" hidden="true" name="_69__FDSAUDITLINK__" vbProcedure="false">{"fdsup://directions/FAT Viewer?action=UPDATE&amp;creator=factset&amp;DYN_ARGS=TRUE&amp;DOC_NAME=FAT:FQL_AUDITING_CLIENT_TEMPLATE.FAT&amp;display_string=Audit&amp;VAR:KEY=OXABGVSXGT&amp;VAR:QUERY=RkZfRUJJVERBX09QRVIoTFRNLDAsLCwsVVNEKQ==&amp;WINDOW=FIRST_POPUP&amp;HEIGHT=450&amp;WIDTH=450&amp;STAR","T_MAXIMIZED=FALSE&amp;VAR:CALENDAR=US&amp;VAR:SYMBOL=PQ&amp;VAR:INDEX=0"}</definedName>
    <definedName function="false" hidden="true" name="_6_0_Table2_" vbProcedure="false">#REF!</definedName>
    <definedName function="false" hidden="true" name="_6__123Graph_ANRET_PCE" vbProcedure="false">#REF!</definedName>
    <definedName function="false" hidden="true" name="_6__123Graph_BCHART_1" vbProcedure="false">#REF!</definedName>
    <definedName function="false" hidden="true" name="_6__123Graph_CCHART_1" vbProcedure="false">#REF!</definedName>
    <definedName function="false" hidden="true" name="_6__123Graph_DCHART_1" vbProcedure="false">#REF!</definedName>
    <definedName function="false" hidden="true" name="_6__123Graph_FCHART_1" vbProcedure="false">#REF!</definedName>
    <definedName function="false" hidden="true" name="_6__123Graph_XChart_1A" vbProcedure="false">#REF!</definedName>
    <definedName function="false" hidden="true" name="_6__123Graph_XChart_58B" vbProcedure="false">#REF!</definedName>
    <definedName function="false" hidden="true" name="_6__123Graph_X_FABP_L.WK1_FAB" vbProcedure="false">#REF!</definedName>
    <definedName function="false" hidden="true" name="_6__FDSAUDITLINK__" vbProcedure="false">{"fdsup://directions/FAT Viewer?action=UPDATE&amp;creator=factset&amp;DYN_ARGS=TRUE&amp;DOC_NAME=FAT:FQL_AUDITING_CLIENT_TEMPLATE.FAT&amp;display_string=Audit&amp;VAR:KEY=GTCLSBADEB&amp;VAR:QUERY=RkZfRUJJVERBX09QRVIoTFRNLDAsLCwsVVNEKQ==&amp;WINDOW=FIRST_POPUP&amp;HEIGHT=450&amp;WIDTH=450&amp;STAR","T_MAXIMIZED=FALSE&amp;VAR:CALENDAR=US&amp;VAR:SYMBOL=CVTI&amp;VAR:INDEX=0"}</definedName>
    <definedName function="false" hidden="true" name="_6___123Graph_XChart_58B" vbProcedure="false">#REF!</definedName>
    <definedName function="false" hidden="true" name="_70__123Graph_BCHART_9" vbProcedure="false">#REF!</definedName>
    <definedName function="false" hidden="true" name="_70__123Graph_CCHART_1" vbProcedure="false">#REF!</definedName>
    <definedName function="false" hidden="true" name="_70__FDSAUDITLINK__" vbProcedure="false">{"fdsup://directions/FAT Viewer?action=UPDATE&amp;creator=factset&amp;DYN_ARGS=TRUE&amp;DOC_NAME=FAT:FQL_AUDITING_CLIENT_TEMPLATE.FAT&amp;display_string=Audit&amp;VAR:KEY=MZWVYBSLCD&amp;VAR:QUERY=RkZfRUJJVERBX09QRVIoTFRNLDAsLCwsVVNEKQ==&amp;WINDOW=FIRST_POPUP&amp;HEIGHT=450&amp;WIDTH=450&amp;STAR","T_MAXIMIZED=FALSE&amp;VAR:CALENDAR=US&amp;VAR:SYMBOL=PDC&amp;VAR:INDEX=0"}</definedName>
    <definedName function="false" hidden="true" name="_710__FDSAUDITLINK__" vbProcedure="false">{"fdsup://directions/FAT Viewer?action=UPDATE&amp;creator=factset&amp;DYN_ARGS=TRUE&amp;DOC_NAME=FAT:FQL_AUDITING_CLIENT_TEMPLATE.FAT&amp;display_string=Audit&amp;VAR:KEY=MTENAFOPO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VP&amp;VAR:INDEX=0"}</definedName>
    <definedName function="false" hidden="true" name="_71__123Graph_XCHART_1" vbProcedure="false">#REF!</definedName>
    <definedName function="false" hidden="true" name="_71__FDSAUDITLINK__" vbProcedure="false">{"fdsup://directions/FAT Viewer?action=UPDATE&amp;creator=factset&amp;DYN_ARGS=TRUE&amp;DOC_NAME=FAT:FQL_AUDITING_CLIENT_TEMPLATE.FAT&amp;display_string=Audit&amp;VAR:KEY=OXAJADGZIL&amp;VAR:QUERY=RkZfRUJJVERBX09QRVIoTFRNLDAsLCwsVVNEKQ==&amp;WINDOW=FIRST_POPUP&amp;HEIGHT=450&amp;WIDTH=450&amp;STAR","T_MAXIMIZED=FALSE&amp;VAR:CALENDAR=US&amp;VAR:SYMBOL=KRO&amp;VAR:INDEX=0"}</definedName>
    <definedName function="false" hidden="true" name="_72__123Graph_XCHART_10" vbProcedure="false">#REF!</definedName>
    <definedName function="false" hidden="true" name="_72__FDSAUDITLINK__" vbProcedure="false">{"fdsup://directions/FAT Viewer?action=UPDATE&amp;creator=factset&amp;DYN_ARGS=TRUE&amp;DOC_NAME=FAT:FQL_AUDITING_CLIENT_TEMPLATE.FAT&amp;display_string=Audit&amp;VAR:KEY=AZMXKHARML&amp;VAR:QUERY=RkZfRUJJVERBX09QRVIoTFRNLDAsLCwsVVNEKQ==&amp;WINDOW=FIRST_POPUP&amp;HEIGHT=450&amp;WIDTH=450&amp;STAR","T_MAXIMIZED=FALSE&amp;VAR:CALENDAR=US&amp;VAR:SYMBOL=SUNH&amp;VAR:INDEX=0"}</definedName>
    <definedName function="false" hidden="true" name="_730__FDSAUDITLINK__" vbProcedure="false">{"fdsup://Directions/FactSet Auditing Viewer?action=AUDIT_VALUE&amp;DB=129&amp;ID1=36227K10&amp;VALUEID=02001&amp;SDATE=201001&amp;PERIODTYPE=QTR_STD&amp;window=popup_no_bar&amp;width=385&amp;height=120&amp;START_MAXIMIZED=FALSE&amp;creator=factset&amp;display_string=Audit"}</definedName>
    <definedName function="false" hidden="true" name="_73__123Graph_XCHART_11" vbProcedure="false">#REF!</definedName>
    <definedName function="false" hidden="true" name="_73__FDSAUDITLINK__" vbProcedure="false">{"fdsup://directions/FAT Viewer?action=UPDATE&amp;creator=factset&amp;DYN_ARGS=TRUE&amp;DOC_NAME=FAT:FQL_AUDITING_CLIENT_TEMPLATE.FAT&amp;display_string=Audit&amp;VAR:KEY=WDKFARMZKP&amp;VAR:QUERY=RkZfRUJJVERBX09QRVIoTFRNLDAsLCwsVVNEKQ==&amp;WINDOW=FIRST_POPUP&amp;HEIGHT=450&amp;WIDTH=450&amp;STAR","T_MAXIMIZED=FALSE&amp;VAR:CALENDAR=US&amp;VAR:SYMBOL=AIR&amp;VAR:INDEX=0"}</definedName>
    <definedName function="false" hidden="true" name="_744__FDSAUDITLINK__" vbProcedure="false">{"fdsup://directions/FAT Viewer?action=UPDATE&amp;creator=factset&amp;DYN_ARGS=TRUE&amp;DOC_NAME=FAT:FQL_AUDITING_CLIENT_TEMPLATE.FAT&amp;display_string=Audit&amp;VAR:KEY=VGLKZAVYJG&amp;VAR:QUERY=KEZTTF9ORVRfSU5DKE5PVyxOT1csRlNBLCxVU0QpQEZGX05FVF9JTkMoTFRNUywwLCwsLFVTRCkp&amp;WINDOW=F","IRST_POPUP&amp;HEIGHT=450&amp;WIDTH=450&amp;START_MAXIMIZED=FALSE&amp;VAR:CALENDAR=US&amp;VAR:SYMBOL=SOFO&amp;VAR:INDEX=0"}</definedName>
    <definedName function="false" hidden="true" name="_74__123Graph_XCHART_8" vbProcedure="false">#REF!</definedName>
    <definedName function="false" hidden="true" name="_74__FDSAUDITLINK__" vbProcedure="false">{"fdsup://directions/FAT Viewer?action=UPDATE&amp;creator=factset&amp;DYN_ARGS=TRUE&amp;DOC_NAME=FAT:FQL_AUDITING_CLIENT_TEMPLATE.FAT&amp;display_string=Audit&amp;VAR:KEY=YDETCNAFAX&amp;VAR:QUERY=KEZTTF9ORVRfSU5DKE5PVyxOT1csRlNBLCxVU0QpQEZGX05FVF9JTkMoTFRNUywwLCwsLFVTRCkp&amp;WINDOW=F","IRST_POPUP&amp;HEIGHT=450&amp;WIDTH=450&amp;START_MAXIMIZED=FALSE&amp;VAR:CALENDAR=US&amp;VAR:SYMBOL=AXTG&amp;VAR:INDEX=0"}</definedName>
    <definedName function="false" hidden="true" name="_754__FDSAUDITLINK__" vbProcedure="false">{"fdsup://directions/FAT Viewer?action=UPDATE&amp;creator=factset&amp;DYN_ARGS=TRUE&amp;DOC_NAME=FAT:FQL_AUDITING_CLIENT_TEMPLATE.FAT&amp;display_string=Audit&amp;VAR:KEY=DINYBGHU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FO&amp;VAR:INDEX=0"}</definedName>
    <definedName function="false" hidden="true" name="_756__FDSAUDITLINK__" vbProcedure="false">{"fdsup://directions/FAT Viewer?action=UPDATE&amp;creator=factset&amp;DYN_ARGS=TRUE&amp;DOC_NAME=FAT:FQL_AUDITING_CLIENT_TEMPLATE.FAT&amp;display_string=Audit&amp;VAR:KEY=MLKFCDMVG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RN&amp;VAR:INDEX=0"}</definedName>
    <definedName function="false" hidden="true" name="_75__123Graph_XCHART_9" vbProcedure="false">#REF!</definedName>
    <definedName function="false" hidden="true" name="_75__FDSAUDITLINK__" vbProcedure="false">{"fdsup://directions/FAT Viewer?action=UPDATE&amp;creator=factset&amp;DYN_ARGS=TRUE&amp;DOC_NAME=FAT:FQL_AUDITING_CLIENT_TEMPLATE.FAT&amp;display_string=Audit&amp;VAR:KEY=ETAFGREXYD&amp;VAR:QUERY=KEZTTF9ORVRfSU5DKE5PVyxOT1csRlNBLCxVU0QpQEZGX05FVF9JTkMoTFRNUywwLCwsLFVTRCkp&amp;WINDOW=F","IRST_POPUP&amp;HEIGHT=450&amp;WIDTH=450&amp;START_MAXIMIZED=FALSE&amp;VAR:CALENDAR=US&amp;VAR:SYMBOL=IAUS&amp;VAR:INDEX=0"}</definedName>
    <definedName function="false" hidden="true" name="_762__FDSAUDITLINK__" vbProcedure="false">{"fdsup://directions/FAT Viewer?action=UPDATE&amp;creator=factset&amp;DYN_ARGS=TRUE&amp;DOC_NAME=FAT:FQL_AUDITING_CLIENT_TEMPLATE.FAT&amp;display_string=Audit&amp;VAR:KEY=FYDCZQRG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FE&amp;VAR:INDEX=0"}</definedName>
    <definedName function="false" hidden="true" name="_764__FDSAUDITLINK__" vbProcedure="false">{"fdsup://Directions/FactSet Auditing Viewer?action=AUDIT_VALUE&amp;DB=129&amp;ID1=83545R20&amp;VALUEID=02001&amp;SDATE=201002&amp;PERIODTYPE=QTR_STD&amp;window=popup_no_bar&amp;width=385&amp;height=120&amp;START_MAXIMIZED=FALSE&amp;creator=factset&amp;display_string=Audit"}</definedName>
    <definedName function="false" hidden="true" name="_767__FDSAUDITLINK__" vbProcedure="false">{"fdsup://Directions/FactSet Auditing Viewer?action=AUDIT_VALUE&amp;DB=129&amp;ID1=83092810&amp;VALUEID=02001&amp;SDATE=201001&amp;PERIODTYPE=QTR_STD&amp;window=popup_no_bar&amp;width=385&amp;height=120&amp;START_MAXIMIZED=FALSE&amp;creator=factset&amp;display_string=Audit"}</definedName>
    <definedName function="false" hidden="true" name="_76__FDSAUDITLINK__" vbProcedure="false">{"fdsup://directions/FAT Viewer?action=UPDATE&amp;creator=factset&amp;DYN_ARGS=TRUE&amp;DOC_NAME=FAT:FQL_AUDITING_CLIENT_TEMPLATE.FAT&amp;display_string=Audit&amp;VAR:KEY=UNOBIVMNGP&amp;VAR:QUERY=RkZfRUJJVERBX09QRVIoTFRNLDAsLCwsVVNEKQ==&amp;WINDOW=FIRST_POPUP&amp;HEIGHT=450&amp;WIDTH=450&amp;STAR","T_MAXIMIZED=FALSE&amp;VAR:CALENDAR=US&amp;VAR:SYMBOL=NOA&amp;VAR:INDEX=0"}</definedName>
    <definedName function="false" hidden="true" name="_776__FDSAUDITLINK__" vbProcedure="false">{"fdsup://directions/FAT Viewer?action=UPDATE&amp;creator=factset&amp;DYN_ARGS=TRUE&amp;DOC_NAME=FAT:FQL_AUDITING_CLIENT_TEMPLATE.FAT&amp;display_string=Audit&amp;VAR:KEY=TSFAJWFATI&amp;VAR:QUERY=KEZTTF9ORVRfSU5DKE5PVyxOT1csRlNBLCxVU0QpQEZGX05FVF9JTkMoTFRNUywwLCwsLFVTRCkp&amp;WINDOW=F","IRST_POPUP&amp;HEIGHT=450&amp;WIDTH=450&amp;START_MAXIMIZED=FALSE&amp;VAR:CALENDAR=US&amp;VAR:SYMBOL=VOCS&amp;VAR:INDEX=0"}</definedName>
    <definedName function="false" hidden="true" name="_777__FDSAUDITLINK__" vbProcedure="false">{"fdsup://directions/FAT Viewer?action=UPDATE&amp;creator=factset&amp;DYN_ARGS=TRUE&amp;DOC_NAME=FAT:FQL_AUDITING_CLIENT_TEMPLATE.FAT&amp;display_string=Audit&amp;VAR:KEY=NIXQDWDQHS&amp;VAR:QUERY=KEZTTF9ORVRfSU5DKE5PVyxOT1csRlNBLCxVU0QpQEZGX05FVF9JTkMoTFRNUywwLCwsLFVTRCkp&amp;WINDOW=F","IRST_POPUP&amp;HEIGHT=450&amp;WIDTH=450&amp;START_MAXIMIZED=FALSE&amp;VAR:CALENDAR=US&amp;VAR:SYMBOL=ICGE&amp;VAR:INDEX=0"}</definedName>
    <definedName function="false" hidden="true" name="_77__FDSAUDITLINK__" vbProcedure="false">{"fdsup://directions/FAT Viewer?action=UPDATE&amp;creator=factset&amp;DYN_ARGS=TRUE&amp;DOC_NAME=FAT:FQL_AUDITING_CLIENT_TEMPLATE.FAT&amp;display_string=Audit&amp;VAR:KEY=OZODERINEV&amp;VAR:QUERY=RkZfRUJJVERBX09QRVIoTFRNLDAsLCwsVVNEKQ==&amp;WINDOW=FIRST_POPUP&amp;HEIGHT=450&amp;WIDTH=450&amp;STAR","T_MAXIMIZED=FALSE&amp;VAR:CALENDAR=US&amp;VAR:SYMBOL=CCBG&amp;VAR:INDEX=0"}</definedName>
    <definedName function="false" hidden="true" name="_78__FDSAUDITLINK__" vbProcedure="false">{"fdsup://directions/FAT Viewer?action=UPDATE&amp;creator=factset&amp;DYN_ARGS=TRUE&amp;DOC_NAME=FAT:FQL_AUDITING_CLIENT_TEMPLATE.FAT&amp;display_string=Audit&amp;VAR:KEY=KNYZOXGHUL&amp;VAR:QUERY=RkZfRUJJVERBX09QRVIoTFRNLDAsLCwsVVNEKQ==&amp;WINDOW=FIRST_POPUP&amp;HEIGHT=450&amp;WIDTH=450&amp;STAR","T_MAXIMIZED=FALSE&amp;VAR:CALENDAR=US&amp;VAR:SYMBOL=NFX&amp;VAR:INDEX=0"}</definedName>
    <definedName function="false" hidden="true" name="_792__FDSAUDITLINK__" vbProcedure="false">{"fdsup://directions/FAT Viewer?action=UPDATE&amp;creator=factset&amp;DYN_ARGS=TRUE&amp;DOC_NAME=FAT:FQL_AUDITING_CLIENT_TEMPLATE.FAT&amp;display_string=Audit&amp;VAR:KEY=HGLQNMXA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CS&amp;VAR:INDEX=0"}</definedName>
    <definedName function="false" hidden="true" name="_793__FDSAUDITLINK__" vbProcedure="false">{"fdsup://directions/FAT Viewer?action=UPDATE&amp;creator=factset&amp;DYN_ARGS=TRUE&amp;DOC_NAME=FAT:FQL_AUDITING_CLIENT_TEMPLATE.FAT&amp;display_string=Audit&amp;VAR:KEY=JOJERWXID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CGE&amp;VAR:INDEX=0"}</definedName>
    <definedName function="false" hidden="true" name="_79__FDSAUDITLINK__" vbProcedure="false">{"fdsup://directions/FAT Viewer?action=UPDATE&amp;creator=factset&amp;DYN_ARGS=TRUE&amp;DOC_NAME=FAT:FQL_AUDITING_CLIENT_TEMPLATE.FAT&amp;display_string=Audit&amp;VAR:KEY=QFQXQBEZOZ&amp;VAR:QUERY=RkZfRUJJVERBX09QRVIoTFRNLDAsLCwsVVNEKQ==&amp;WINDOW=FIRST_POPUP&amp;HEIGHT=450&amp;WIDTH=450&amp;STAR","T_MAXIMIZED=FALSE&amp;VAR:CALENDAR=US&amp;VAR:SYMBOL=KEG&amp;VAR:INDEX=0"}</definedName>
    <definedName function="false" hidden="true" name="_7_0_S" vbProcedure="false">#REF!</definedName>
    <definedName function="false" hidden="true" name="_7__123Graph_AChart_1A" vbProcedure="false">#REF!</definedName>
    <definedName function="false" hidden="true" name="_7__123Graph_ANRET_RS" vbProcedure="false">#REF!</definedName>
    <definedName function="false" hidden="true" name="_7__123Graph_A_FABP_L.WK1_FAB" vbProcedure="false">#REF!</definedName>
    <definedName function="false" hidden="true" name="_7__123Graph_BCHART_1" vbProcedure="false">#REF!</definedName>
    <definedName function="false" hidden="true" name="_7__123Graph_CCHART_1" vbProcedure="false">#REF!</definedName>
    <definedName function="false" hidden="true" name="_7__123Graph_LBL_ECHART_1" vbProcedure="false">#REF!</definedName>
    <definedName function="false" hidden="true" name="_7__123Graph_XCHART_1" vbProcedure="false">#REF!</definedName>
    <definedName function="false" hidden="true" name="_7__123Graph_XChart_58B" vbProcedure="false">#REF!</definedName>
    <definedName function="false" hidden="true" name="_7__FDSAUDITLINK__" vbProcedure="false">{"fdsup://directions/FAT Viewer?action=UPDATE&amp;creator=factset&amp;DYN_ARGS=TRUE&amp;DOC_NAME=FAT:FQL_AUDITING_CLIENT_TEMPLATE.FAT&amp;display_string=Audit&amp;VAR:KEY=CZEJALUTQJ&amp;VAR:QUERY=RkZfRUJJVERBX09QRVIoTFRNLDAsLCwsVVNEKQ==&amp;WINDOW=FIRST_POPUP&amp;HEIGHT=450&amp;WIDTH=450&amp;STAR","T_MAXIMIZED=FALSE&amp;VAR:CALENDAR=US&amp;VAR:SYMBOL=TESO&amp;VAR:INDEX=0"}</definedName>
    <definedName function="false" hidden="true" name="_808__FDSAUDITLINK__" vbProcedure="false">{"fdsup://Directions/FactSet Auditing Viewer?action=AUDIT_VALUE&amp;DB=129&amp;ID1=64115T10&amp;VALUEID=02001&amp;SDATE=201001&amp;PERIODTYPE=QTR_STD&amp;window=popup_no_bar&amp;width=385&amp;height=120&amp;START_MAXIMIZED=FALSE&amp;creator=factset&amp;display_string=Audit"}</definedName>
    <definedName function="false" hidden="true" name="_80__FDSAUDITLINK__" vbProcedure="false">{"fdsup://directions/FAT Viewer?action=UPDATE&amp;creator=factset&amp;DYN_ARGS=TRUE&amp;DOC_NAME=FAT:FQL_AUDITING_CLIENT_TEMPLATE.FAT&amp;display_string=Audit&amp;VAR:KEY=ZELYJOPGXM&amp;VAR:QUERY=KEZTTF9ORVRfSU5DKE5PVyxOT1csRlNBLCxVU0QpQEZGX05FVF9JTkMoTFRNUywwLCwsLFVTRCkp&amp;WINDOW=F","IRST_POPUP&amp;HEIGHT=450&amp;WIDTH=450&amp;START_MAXIMIZED=FALSE&amp;VAR:CALENDAR=US&amp;VAR:SYMBOL=ARGL&amp;VAR:INDEX=0"}</definedName>
    <definedName function="false" hidden="true" name="_814__FDSAUDITLINK__" vbProcedure="false">{"fdsup://directions/FAT Viewer?action=UPDATE&amp;creator=factset&amp;DYN_ARGS=TRUE&amp;DOC_NAME=FAT:FQL_AUDITING_CLIENT_TEMPLATE.FAT&amp;display_string=Audit&amp;VAR:KEY=LWDGRQVMFM&amp;VAR:QUERY=KEZTTF9ORVRfSU5DKE5PVyxOT1csRlNBLCxVU0QpQEZGX05FVF9JTkMoTFRNUywwLCwsLFVTRCkp&amp;WINDOW=F","IRST_POPUP&amp;HEIGHT=450&amp;WIDTH=450&amp;START_MAXIMIZED=FALSE&amp;VAR:CALENDAR=US&amp;VAR:SYMBOL=GAME&amp;VAR:INDEX=0"}</definedName>
    <definedName function="false" hidden="true" name="_815__FDSAUDITLINK__" vbProcedure="false">{"fdsup://directions/FAT Viewer?action=UPDATE&amp;creator=factset&amp;DYN_ARGS=TRUE&amp;DOC_NAME=FAT:FQL_AUDITING_CLIENT_TEMPLATE.FAT&amp;display_string=Audit&amp;VAR:KEY=HQBMFKLMNS&amp;VAR:QUERY=KEZTTF9ORVRfSU5DKE5PVyxOT1csRlNBLCxVU0QpQEZGX05FVF9JTkMoTFRNUywwLCwsLFVTRCkp&amp;WINDOW=F","IRST_POPUP&amp;HEIGHT=450&amp;WIDTH=450&amp;START_MAXIMIZED=FALSE&amp;VAR:CALENDAR=US&amp;VAR:SYMBOL=RST&amp;VAR:INDEX=0"}</definedName>
    <definedName function="false" hidden="true" name="_81__FDSAUDITLINK__" vbProcedure="false">{"fdsup://directions/FAT Viewer?action=UPDATE&amp;creator=factset&amp;DYN_ARGS=TRUE&amp;DOC_NAME=FAT:FQL_AUDITING_CLIENT_TEMPLATE.FAT&amp;display_string=Audit&amp;VAR:KEY=PUZWPKLKBW&amp;VAR:QUERY=KEZTTF9ORVRfSU5DKE5PVyxOT1csRlNBLCxVU0QpQEZGX05FVF9JTkMoTFRNUywwLCwsLFVTRCkp&amp;WINDOW=F","IRST_POPUP&amp;HEIGHT=450&amp;WIDTH=450&amp;START_MAXIMIZED=FALSE&amp;VAR:CALENDAR=US&amp;VAR:SYMBOL=CNCN&amp;VAR:INDEX=0"}</definedName>
    <definedName function="false" hidden="true" name="_828__FDSAUDITLINK__" vbProcedure="false">{"fdsup://directions/FAT Viewer?action=UPDATE&amp;creator=factset&amp;DYN_ARGS=TRUE&amp;DOC_NAME=FAT:FQL_AUDITING_CLIENT_TEMPLATE.FAT&amp;display_string=Audit&amp;VAR:KEY=LMVKVGFWX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ME&amp;VAR:INDEX=0"}</definedName>
    <definedName function="false" hidden="true" name="_829__FDSAUDITLINK__" vbProcedure="false">{"fdsup://directions/FAT Viewer?action=UPDATE&amp;creator=factset&amp;DYN_ARGS=TRUE&amp;DOC_NAME=FAT:FQL_AUDITING_CLIENT_TEMPLATE.FAT&amp;display_string=Audit&amp;VAR:KEY=JSHCNUFC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ST&amp;VAR:INDEX=0"}</definedName>
    <definedName function="false" hidden="true" name="_82__FDSAUDITLINK__" vbProcedure="false">{"fdsup://directions/FAT Viewer?action=UPDATE&amp;creator=factset&amp;DYN_ARGS=TRUE&amp;DOC_NAME=FAT:FQL_AUDITING_CLIENT_TEMPLATE.FAT&amp;display_string=Audit&amp;VAR:KEY=ELINIDUNIT&amp;VAR:QUERY=RkZfRUJJVERBX09QRVIoTFRNLDAsLCwsVVNEKQ==&amp;WINDOW=FIRST_POPUP&amp;HEIGHT=450&amp;WIDTH=450&amp;STAR","T_MAXIMIZED=FALSE&amp;VAR:CALENDAR=US&amp;VAR:SYMBOL=UDRL&amp;VAR:INDEX=0"}</definedName>
    <definedName function="false" hidden="true" name="_838__FDSAUDITLINK__" vbProcedure="false">{"fdsup://Directions/FactSet Auditing Viewer?action=AUDIT_VALUE&amp;DB=129&amp;ID1=77778010&amp;VALUEID=02001&amp;SDATE=201001&amp;PERIODTYPE=QTR_STD&amp;window=popup_no_bar&amp;width=385&amp;height=120&amp;START_MAXIMIZED=FALSE&amp;creator=factset&amp;display_string=Audit"}</definedName>
    <definedName function="false" hidden="true" name="_839__123Graph_XChart_1A" vbProcedure="false">#REF!</definedName>
    <definedName function="false" hidden="true" name="_83__FDSAUDITLINK__" vbProcedure="false">{"fdsup://directions/FAT Viewer?action=UPDATE&amp;creator=factset&amp;DYN_ARGS=TRUE&amp;DOC_NAME=FAT:FQL_AUDITING_CLIENT_TEMPLATE.FAT&amp;display_string=Audit&amp;VAR:KEY=GNCPODUVUT&amp;VAR:QUERY=RkZfRUJJVERBX09QRVIoTFRNLDAsLCwsVVNEKQ==&amp;WINDOW=FIRST_POPUP&amp;HEIGHT=450&amp;WIDTH=450&amp;STAR","T_MAXIMIZED=FALSE&amp;VAR:CALENDAR=US&amp;VAR:SYMBOL=PSUN&amp;VAR:INDEX=0"}</definedName>
    <definedName function="false" hidden="true" name="_841__FDSAUDITLINK__" vbProcedure="false">{"fdsup://directions/FAT Viewer?action=UPDATE&amp;creator=factset&amp;DYN_ARGS=TRUE&amp;DOC_NAME=FAT:FQL_AUDITING_CLIENT_TEMPLATE.FAT&amp;display_string=Audit&amp;VAR:KEY=BWBYDQLCLE&amp;VAR:QUERY=KEZTTF9ORVRfSU5DKE5PVyxOT1csRlNBLCxVU0QpQEZGX05FVF9JTkMoTFRNUywwLCwsLFVTRCkp&amp;WINDOW=F","IRST_POPUP&amp;HEIGHT=450&amp;WIDTH=450&amp;START_MAXIMIZED=FALSE&amp;VAR:CALENDAR=US&amp;VAR:SYMBOL=VSNT&amp;VAR:INDEX=0"}</definedName>
    <definedName function="false" hidden="true" name="_842__FDSAUDITLINK__" vbProcedure="false">{"fdsup://directions/FAT Viewer?action=UPDATE&amp;creator=factset&amp;DYN_ARGS=TRUE&amp;DOC_NAME=FAT:FQL_AUDITING_CLIENT_TEMPLATE.FAT&amp;display_string=Audit&amp;VAR:KEY=VGPEPGTGJS&amp;VAR:QUERY=KEZTTF9ORVRfSU5DKE5PVyxOT1csRlNBLCxVU0QpQEZGX05FVF9JTkMoTFRNUywwLCwsLFVTRCkp&amp;WINDOW=F","IRST_POPUP&amp;HEIGHT=450&amp;WIDTH=450&amp;START_MAXIMIZED=FALSE&amp;VAR:CALENDAR=US&amp;VAR:SYMBOL=UNFY&amp;VAR:INDEX=0"}</definedName>
    <definedName function="false" hidden="true" name="_84__FDSAUDITLINK__" vbProcedure="false">{"fdsup://directions/FAT Viewer?action=UPDATE&amp;creator=factset&amp;DYN_ARGS=TRUE&amp;DOC_NAME=FAT:FQL_AUDITING_CLIENT_TEMPLATE.FAT&amp;display_string=Audit&amp;VAR:KEY=AFMROTURMN&amp;VAR:QUERY=RkZfRUJJVERBX09QRVIoTFRNLDAsLCwsVVNEKQ==&amp;WINDOW=FIRST_POPUP&amp;HEIGHT=450&amp;WIDTH=450&amp;STAR","T_MAXIMIZED=FALSE&amp;VAR:CALENDAR=US&amp;VAR:SYMBOL=QEP&amp;VAR:INDEX=0"}</definedName>
    <definedName function="false" hidden="true" name="_851__FDSAUDITLINK__" vbProcedure="false">{"fdsup://directions/FAT Viewer?action=UPDATE&amp;creator=factset&amp;DYN_ARGS=TRUE&amp;DOC_NAME=FAT:FQL_AUDITING_CLIENT_TEMPLATE.FAT&amp;display_string=Audit&amp;VAR:KEY=XSVQREXUTU&amp;VAR:QUERY=KEZTTF9ORVRfSU5DKE5PVyxOT1csRlNBLCxVU0QpQEZGX05FVF9JTkMoTFRNUywwLCwsLFVTRCkp&amp;WINDOW=F","IRST_POPUP&amp;HEIGHT=450&amp;WIDTH=450&amp;START_MAXIMIZED=FALSE&amp;VAR:CALENDAR=US&amp;VAR:SYMBOL=PEGA&amp;VAR:INDEX=0"}</definedName>
    <definedName function="false" hidden="true" name="_852__FDSAUDITLINK__" vbProcedure="false">{"fdsup://directions/FAT Viewer?action=UPDATE&amp;creator=factset&amp;DYN_ARGS=TRUE&amp;DOC_NAME=FAT:FQL_AUDITING_CLIENT_TEMPLATE.FAT&amp;display_string=Audit&amp;VAR:KEY=LYTOBSDKPW&amp;VAR:QUERY=KEZTTF9ORVRfSU5DKE5PVyxOT1csRlNBLCxVU0QpQEZGX05FVF9JTkMoTFRNUywwLCwsLFVTRCkp&amp;WINDOW=F","IRST_POPUP&amp;HEIGHT=450&amp;WIDTH=450&amp;START_MAXIMIZED=FALSE&amp;VAR:CALENDAR=US&amp;VAR:SYMBOL=SWI&amp;VAR:INDEX=0"}</definedName>
    <definedName function="false" hidden="true" name="_856__FDSAUDITLINK__" vbProcedure="false">{"fdsup://directions/FAT Viewer?action=UPDATE&amp;creator=factset&amp;DYN_ARGS=TRUE&amp;DOC_NAME=FAT:FQL_AUDITING_CLIENT_TEMPLATE.FAT&amp;display_string=Audit&amp;VAR:KEY=JEXITOHULA&amp;VAR:QUERY=KEZTTF9ORVRfSU5DKE5PVyxOT1csRlNBLCxVU0QpQEZGX05FVF9JTkMoTFRNUywwLCwsLFVTRCkp&amp;WINDOW=F","IRST_POPUP&amp;HEIGHT=450&amp;WIDTH=450&amp;START_MAXIMIZED=FALSE&amp;VAR:CALENDAR=US&amp;VAR:SYMBOL=TIBX&amp;VAR:INDEX=0"}</definedName>
    <definedName function="false" hidden="true" name="_857__FDSAUDITLINK__" vbProcedure="false">{"fdsup://directions/FAT Viewer?action=UPDATE&amp;creator=factset&amp;DYN_ARGS=TRUE&amp;DOC_NAME=FAT:FQL_AUDITING_CLIENT_TEMPLATE.FAT&amp;display_string=Audit&amp;VAR:KEY=ZALSBCXITK&amp;VAR:QUERY=KEZTTF9ORVRfSU5DKE5PVyxOT1csRlNBLCxVU0QpQEZGX05FVF9JTkMoTFRNUywwLCwsLFVTRCkp&amp;WINDOW=F","IRST_POPUP&amp;HEIGHT=450&amp;WIDTH=450&amp;START_MAXIMIZED=FALSE&amp;VAR:CALENDAR=US&amp;VAR:SYMBOL=NOVL&amp;VAR:INDEX=0"}</definedName>
    <definedName function="false" hidden="true" name="_85__FDSAUDITLINK__" vbProcedure="false">{"fdsup://directions/FAT Viewer?action=UPDATE&amp;creator=factset&amp;DYN_ARGS=TRUE&amp;DOC_NAME=FAT:FQL_AUDITING_CLIENT_TEMPLATE.FAT&amp;display_string=Audit&amp;VAR:KEY=KBYZORMPCH&amp;VAR:QUERY=RkZfRUJJVERBX09QRVIoTFRNLDAsLCwsVVNEKQ==&amp;WINDOW=FIRST_POPUP&amp;HEIGHT=450&amp;WIDTH=450&amp;STAR","T_MAXIMIZED=FALSE&amp;VAR:CALENDAR=US&amp;VAR:SYMBOL=CSFS&amp;VAR:INDEX=0"}</definedName>
    <definedName function="false" hidden="true" name="_863__FDSAUDITLINK__" vbProcedure="false">{"fdsup://directions/FAT Viewer?action=UPDATE&amp;creator=factset&amp;DYN_ARGS=TRUE&amp;DOC_NAME=FAT:FQL_AUDITING_CLIENT_TEMPLATE.FAT&amp;display_string=Audit&amp;VAR:KEY=CDQLMNYZI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amp;VAR:INDEX=0"}</definedName>
    <definedName function="false" hidden="true" name="_864__FDSAUDITLINK__" vbProcedure="false">{"fdsup://directions/FAT Viewer?action=UPDATE&amp;creator=factset&amp;DYN_ARGS=TRUE&amp;DOC_NAME=FAT:FQL_AUDITING_CLIENT_TEMPLATE.FAT&amp;display_string=Audit&amp;VAR:KEY=FGRCRCTY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SNT&amp;VAR:INDEX=0"}</definedName>
    <definedName function="false" hidden="true" name="_865__FDSAUDITLINK__" vbProcedure="false">{"fdsup://directions/FAT Viewer?action=UPDATE&amp;creator=factset&amp;DYN_ARGS=TRUE&amp;DOC_NAME=FAT:FQL_AUDITING_CLIENT_TEMPLATE.FAT&amp;display_string=Audit&amp;VAR:KEY=TGRMPCDQ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FY&amp;VAR:INDEX=0"}</definedName>
    <definedName function="false" hidden="true" name="_86__FDSAUDITLINK__" vbProcedure="false">{"fdsup://directions/FAT Viewer?action=UPDATE&amp;creator=factset&amp;DYN_ARGS=TRUE&amp;DOC_NAME=FAT:FQL_AUDITING_CLIENT_TEMPLATE.FAT&amp;display_string=Audit&amp;VAR:KEY=YTOVWRYTYZ&amp;VAR:QUERY=KEZTTF9ORVRfSU5DKE5PVyxOT1csRlNBLCxVU0QpQEZGX05FVF9JTkMoTFRNUywwLCwsLFVTRCkp&amp;WINDOW=F","IRST_POPUP&amp;HEIGHT=450&amp;WIDTH=450&amp;START_MAXIMIZED=FALSE&amp;VAR:CALENDAR=US&amp;VAR:SYMBOL=DVOX&amp;VAR:INDEX=0"}</definedName>
    <definedName function="false" hidden="true" name="_874__FDSAUDITLINK__" vbProcedure="false">{"fdsup://directions/FAT Viewer?action=UPDATE&amp;creator=factset&amp;DYN_ARGS=TRUE&amp;DOC_NAME=FAT:FQL_AUDITING_CLIENT_TEMPLATE.FAT&amp;display_string=Audit&amp;VAR:KEY=LSZIZGVU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EGA&amp;VAR:INDEX=0"}</definedName>
    <definedName function="false" hidden="true" name="_875__FDSAUDITLINK__" vbProcedure="false">{"fdsup://directions/FAT Viewer?action=UPDATE&amp;creator=factset&amp;DYN_ARGS=TRUE&amp;DOC_NAME=FAT:FQL_AUDITING_CLIENT_TEMPLATE.FAT&amp;display_string=Audit&amp;VAR:KEY=NIBWRUXA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amp;VAR:INDEX=0"}</definedName>
    <definedName function="false" hidden="true" name="_879__FDSAUDITLINK__" vbProcedure="false">{"fdsup://directions/FAT Viewer?action=UPDATE&amp;creator=factset&amp;DYN_ARGS=TRUE&amp;DOC_NAME=FAT:FQL_AUDITING_CLIENT_TEMPLATE.FAT&amp;display_string=Audit&amp;VAR:KEY=DAFQFMBSP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IBX&amp;VAR:INDEX=0"}</definedName>
    <definedName function="false" hidden="true" name="_87__123Graph_AChart_1A" vbProcedure="false">#REF!</definedName>
    <definedName function="false" hidden="true" name="_87__FDSAUDITLINK__" vbProcedure="false">{"fdsup://directions/FAT Viewer?action=UPDATE&amp;creator=factset&amp;DYN_ARGS=TRUE&amp;DOC_NAME=FAT:FQL_AUDITING_CLIENT_TEMPLATE.FAT&amp;display_string=Audit&amp;VAR:KEY=KRGZATWXAJ&amp;VAR:QUERY=RkZfRUJJVERBX09QRVIoTFRNLDAsLCwsVVNEKQ==&amp;WINDOW=FIRST_POPUP&amp;HEIGHT=450&amp;WIDTH=450&amp;STAR","T_MAXIMIZED=FALSE&amp;VAR:CALENDAR=US&amp;VAR:SYMBOL=SPRT&amp;VAR:INDEX=0"}</definedName>
    <definedName function="false" hidden="true" name="_880__FDSAUDITLINK__" vbProcedure="false">{"fdsup://directions/FAT Viewer?action=UPDATE&amp;creator=factset&amp;DYN_ARGS=TRUE&amp;DOC_NAME=FAT:FQL_AUDITING_CLIENT_TEMPLATE.FAT&amp;display_string=Audit&amp;VAR:KEY=XYZGNCJM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OVL&amp;VAR:INDEX=0"}</definedName>
    <definedName function="false" hidden="true" name="_888__FDSAUDITLINK__" vbProcedure="false">{"fdsup://Directions/FactSet Auditing Viewer?action=AUDIT_VALUE&amp;DB=129&amp;ID1=83416B10&amp;VALUEID=02001&amp;SDATE=201001&amp;PERIODTYPE=QTR_STD&amp;window=popup_no_bar&amp;width=385&amp;height=120&amp;START_MAXIMIZED=FALSE&amp;creator=factset&amp;display_string=Audit"}</definedName>
    <definedName function="false" hidden="true" name="_88__FDSAUDITLINK__" vbProcedure="false">{"fdsup://directions/FAT Viewer?action=UPDATE&amp;creator=factset&amp;DYN_ARGS=TRUE&amp;DOC_NAME=FAT:FQL_AUDITING_CLIENT_TEMPLATE.FAT&amp;display_string=Audit&amp;VAR:KEY=ALMDCVGZAL&amp;VAR:QUERY=RkZfRUJJVERBX09QRVIoTFRNLDAsLCwsVVNEKQ==&amp;WINDOW=FIRST_POPUP&amp;HEIGHT=450&amp;WIDTH=450&amp;STAR","T_MAXIMIZED=FALSE&amp;VAR:CALENDAR=US&amp;VAR:SYMBOL=HGG&amp;VAR:INDEX=0"}</definedName>
    <definedName function="false" hidden="true" name="_891__FDSAUDITLINK__" vbProcedure="false">{"fdsup://Directions/FactSet Auditing Viewer?action=AUDIT_VALUE&amp;DB=129&amp;ID1=88632Q10&amp;VALUEID=02001&amp;SDATE=201001&amp;PERIODTYPE=QTR_STD&amp;window=popup_no_bar&amp;width=385&amp;height=120&amp;START_MAXIMIZED=FALSE&amp;creator=factset&amp;display_string=Audit"}</definedName>
    <definedName function="false" hidden="true" name="_892__FDSAUDITLINK__" vbProcedure="false">{"fdsup://Directions/FactSet Auditing Viewer?action=AUDIT_VALUE&amp;DB=129&amp;ID1=67000610&amp;VALUEID=02001&amp;SDATE=201002&amp;PERIODTYPE=QTR_STD&amp;window=popup_no_bar&amp;width=385&amp;height=120&amp;START_MAXIMIZED=FALSE&amp;creator=factset&amp;display_string=Audit"}</definedName>
    <definedName function="false" hidden="true" name="_895__FDSAUDITLINK__" vbProcedure="false">{"fdsup://directions/FAT Viewer?action=UPDATE&amp;creator=factset&amp;DYN_ARGS=TRUE&amp;DOC_NAME=FAT:FQL_AUDITING_CLIENT_TEMPLATE.FAT&amp;display_string=Audit&amp;VAR:KEY=BMVURMXCLO&amp;VAR:QUERY=KEZTTF9ORVRfSU5DKE5PVyxOT1csRlNBLCxVU0QpQEZGX05FVF9JTkMoTFRNUywwLCwsLFVTRCkp&amp;WINDOW=F","IRST_POPUP&amp;HEIGHT=450&amp;WIDTH=450&amp;START_MAXIMIZED=FALSE&amp;VAR:CALENDAR=US&amp;VAR:SYMBOL=GSB&amp;VAR:INDEX=0"}</definedName>
    <definedName function="false" hidden="true" name="_89__FDSAUDITLINK__" vbProcedure="false">{"fdsup://directions/FAT Viewer?action=UPDATE&amp;creator=factset&amp;DYN_ARGS=TRUE&amp;DOC_NAME=FAT:FQL_AUDITING_CLIENT_TEMPLATE.FAT&amp;display_string=Audit&amp;VAR:KEY=MTOFYJWZS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IX&amp;VAR:INDEX=0"}</definedName>
    <definedName function="false" hidden="true" name="_8_0_Table2_" vbProcedure="false">#REF!</definedName>
    <definedName function="false" hidden="true" name="_8__123Graph_ACHART_1" vbProcedure="false">#REF!</definedName>
    <definedName function="false" hidden="true" name="_8__123Graph_AChart_1A" vbProcedure="false">#REF!</definedName>
    <definedName function="false" hidden="true" name="_8__123Graph_AChart_58B" vbProcedure="false">#REF!</definedName>
    <definedName function="false" hidden="true" name="_8__123Graph_ADEPREC" vbProcedure="false">#REF!</definedName>
    <definedName function="false" hidden="true" name="_8__123Graph_ADIAGR_1" vbProcedure="false">#REF!</definedName>
    <definedName function="false" hidden="true" name="_8__123Graph_ANRT_PCE" vbProcedure="false">#REF!</definedName>
    <definedName function="false" hidden="true" name="_8__123Graph_A_FABP_L.WK1_FAB" vbProcedure="false">#REF!</definedName>
    <definedName function="false" hidden="true" name="_8__123Graph_BCHART_1A" vbProcedure="false">#REF!</definedName>
    <definedName function="false" hidden="true" name="_8__123Graph_LBL_FCHART_1" vbProcedure="false">#REF!</definedName>
    <definedName function="false" hidden="true" name="_8__123Graph_XCHART_1" vbProcedure="false">#REF!</definedName>
    <definedName function="false" hidden="true" name="_8__FDSAUDITLINK__" vbProcedure="false">{"fdsup://directions/FAT Viewer?action=UPDATE&amp;creator=factset&amp;DYN_ARGS=TRUE&amp;DOC_NAME=FAT:FQL_AUDITING_CLIENT_TEMPLATE.FAT&amp;display_string=Audit&amp;VAR:KEY=XIPINCXKH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function="false" hidden="true" name="_902__FDSAUDITLINK__" vbProcedure="false">{"fdsup://directions/FAT Viewer?action=UPDATE&amp;creator=factset&amp;DYN_ARGS=TRUE&amp;DOC_NAME=FAT:FQL_AUDITING_CLIENT_TEMPLATE.FAT&amp;display_string=Audit&amp;VAR:KEY=ZWZSVENYT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SB&amp;VAR:INDEX=0"}</definedName>
    <definedName function="false" hidden="true" name="_909__FDSAUDITLINK__" vbProcedure="false">{"fdsup://Directions/FactSet Auditing Viewer?action=AUDIT_VALUE&amp;DB=129&amp;ID1=37940G10&amp;VALUEID=02001&amp;SDATE=201002&amp;PERIODTYPE=QTR_STD&amp;window=popup_no_bar&amp;width=385&amp;height=120&amp;START_MAXIMIZED=FALSE&amp;creator=factset&amp;display_string=Audit"}</definedName>
    <definedName function="false" hidden="true" name="_90__FDSAUDITLINK__" vbProcedure="false">{"fdsup://directions/FAT Viewer?action=UPDATE&amp;creator=factset&amp;DYN_ARGS=TRUE&amp;DOC_NAME=FAT:FQL_AUDITING_CLIENT_TEMPLATE.FAT&amp;display_string=Audit&amp;VAR:KEY=EZCBIPGHWJ&amp;VAR:QUERY=RkZfRUJJVERBX09QRVIoTFRNLDAsLCwsVVNEKQ==&amp;WINDOW=FIRST_POPUP&amp;HEIGHT=450&amp;WIDTH=450&amp;STAR","T_MAXIMIZED=FALSE&amp;VAR:CALENDAR=US&amp;VAR:SYMBOL=PWER&amp;VAR:INDEX=0"}</definedName>
    <definedName function="false" hidden="true" name="_91__FDSAUDITLINK__" vbProcedure="false">{"fdsup://directions/FAT Viewer?action=UPDATE&amp;creator=factset&amp;DYN_ARGS=TRUE&amp;DOC_NAME=FAT:FQL_AUDITING_CLIENT_TEMPLATE.FAT&amp;display_string=Audit&amp;VAR:KEY=PUNMDQDYRC&amp;VAR:QUERY=KEZTTF9ORVRfSU5DKE5PVyxOT1csRlNBLCxVU0QpQEZGX05FVF9JTkMoTFRNUywwLCwsLFVTRCkp&amp;WINDOW=F","IRST_POPUP&amp;HEIGHT=450&amp;WIDTH=450&amp;START_MAXIMIZED=FALSE&amp;VAR:CALENDAR=US&amp;VAR:SYMBOL=AXIH&amp;VAR:INDEX=0"}</definedName>
    <definedName function="false" hidden="true" name="_925__FDSAUDITLINK__" vbProcedure="false">{"fdsup://directions/FAT Viewer?action=UPDATE&amp;creator=factset&amp;DYN_ARGS=TRUE&amp;DOC_NAME=FAT:FQL_AUDITING_CLIENT_TEMPLATE.FAT&amp;display_string=Audit&amp;VAR:KEY=REJWJQJGTE&amp;VAR:QUERY=KEZTTF9ORVRfSU5DKE5PVyxOT1csRlNBLCxVU0QpQEZGX05FVF9JTkMoTFRNUywwLCwsLFVTRCkp&amp;WINDOW=F","IRST_POPUP&amp;HEIGHT=450&amp;WIDTH=450&amp;START_MAXIMIZED=FALSE&amp;VAR:CALENDAR=US&amp;VAR:SYMBOL=SNWL&amp;VAR:INDEX=0"}</definedName>
    <definedName function="false" hidden="true" name="_92__FDSAUDITLINK__" vbProcedure="false">{"fdsup://directions/FAT Viewer?action=UPDATE&amp;creator=factset&amp;DYN_ARGS=TRUE&amp;DOC_NAME=FAT:FQL_AUDITING_CLIENT_TEMPLATE.FAT&amp;display_string=Audit&amp;VAR:KEY=FWLEHCLYNE&amp;VAR:QUERY=KEZTTF9ORVRfSU5DKE5PVyxOT1csRlNBLCxVU0QpQEZGX05FVF9JTkMoTFRNUywwLCwsLFVTRCkp&amp;WINDOW=F","IRST_POPUP&amp;HEIGHT=450&amp;WIDTH=450&amp;START_MAXIMIZED=FALSE&amp;VAR:CALENDAR=US&amp;VAR:SYMBOL=AQAS&amp;VAR:INDEX=0"}</definedName>
    <definedName function="false" hidden="true" name="_935__FDSAUDITLINK__" vbProcedure="false">{"fdsup://Directions/FactSet Auditing Viewer?action=AUDIT_VALUE&amp;DB=129&amp;ID1=83547010&amp;VALUEID=02001&amp;SDATE=201001&amp;PERIODTYPE=QTR_STD&amp;window=popup_no_bar&amp;width=385&amp;height=120&amp;START_MAXIMIZED=FALSE&amp;creator=factset&amp;display_string=Audit"}</definedName>
    <definedName function="false" hidden="true" name="_939__FDSAUDITLINK__" vbProcedure="false">{"fdsup://directions/FAT Viewer?action=UPDATE&amp;creator=factset&amp;DYN_ARGS=TRUE&amp;DOC_NAME=FAT:FQL_AUDITING_CLIENT_TEMPLATE.FAT&amp;display_string=Audit&amp;VAR:KEY=NAFAFWTEP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WL&amp;VAR:INDEX=0"}</definedName>
    <definedName function="false" hidden="true" name="_93__FDSAUDITLINK__" vbProcedure="false">{"fdsup://directions/FAT Viewer?action=UPDATE&amp;creator=factset&amp;DYN_ARGS=TRUE&amp;DOC_NAME=FAT:FQL_AUDITING_CLIENT_TEMPLATE.FAT&amp;display_string=Audit&amp;VAR:KEY=DGNIXKTQXY&amp;VAR:QUERY=KEZTTF9ORVRfSU5DKE5PVyxOT1csRlNBLCxVU0QpQEZGX05FVF9JTkMoTFRNUywwLCwsLFVTRCkp&amp;WINDOW=F","IRST_POPUP&amp;HEIGHT=450&amp;WIDTH=450&amp;START_MAXIMIZED=FALSE&amp;VAR:CALENDAR=US&amp;VAR:SYMBOL=PRTK&amp;VAR:INDEX=0"}</definedName>
    <definedName function="false" hidden="true" name="_94__FDSAUDITLINK__" vbProcedure="false">{"fdsup://directions/FAT Viewer?action=UPDATE&amp;creator=factset&amp;DYN_ARGS=TRUE&amp;DOC_NAME=FAT:FQL_AUDITING_CLIENT_TEMPLATE.FAT&amp;display_string=Audit&amp;VAR:KEY=SBOHUDSDOF&amp;VAR:QUERY=RkZfRUJJVERBX09QRVIoTFRNLDAsLCwsVVNEKQ==&amp;WINDOW=FIRST_POPUP&amp;HEIGHT=450&amp;WIDTH=450&amp;STAR","T_MAXIMIZED=FALSE&amp;VAR:CALENDAR=US&amp;VAR:SYMBOL=SKH&amp;VAR:INDEX=0"}</definedName>
    <definedName function="false" hidden="true" name="_957__FDSAUDITLINK__" vbProcedure="false">{"fdsup://directions/FAT Viewer?action=UPDATE&amp;creator=factset&amp;DYN_ARGS=TRUE&amp;DOC_NAME=FAT:FQL_AUDITING_CLIENT_TEMPLATE.FAT&amp;display_string=Audit&amp;VAR:KEY=SPUBKNQHEH&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TNT&amp;VAR:INDEX=0"}</definedName>
    <definedName function="false" hidden="true" name="_95__FDSAUDITLINK__" vbProcedure="false">{"fdsup://directions/FAT Viewer?action=UPDATE&amp;creator=factset&amp;DYN_ARGS=TRUE&amp;DOC_NAME=FAT:FQL_AUDITING_CLIENT_TEMPLATE.FAT&amp;display_string=Audit&amp;VAR:KEY=SXULUVKDKR&amp;VAR:QUERY=RkZfRUJJVERBX09QRVIoTFRNLDAsLCwsVVNEKQ==&amp;WINDOW=FIRST_POPUP&amp;HEIGHT=450&amp;WIDTH=450&amp;STAR","T_MAXIMIZED=FALSE&amp;VAR:CALENDAR=US&amp;VAR:SYMBOL=ASEI&amp;VAR:INDEX=0"}</definedName>
    <definedName function="false" hidden="true" name="_96__FDSAUDITLINK__" vbProcedure="false">{"fdsup://directions/FAT Viewer?action=UPDATE&amp;creator=factset&amp;DYN_ARGS=TRUE&amp;DOC_NAME=FAT:FQL_AUDITING_CLIENT_TEMPLATE.FAT&amp;display_string=Audit&amp;VAR:KEY=GTYNGXCREV&amp;VAR:QUERY=RkZfRUJJVERBX09QRVIoTFRNLDAsLCwsVVNEKQ==&amp;WINDOW=FIRST_POPUP&amp;HEIGHT=450&amp;WIDTH=450&amp;STAR","T_MAXIMIZED=FALSE&amp;VAR:CALENDAR=US&amp;VAR:SYMBOL=SQNM&amp;VAR:INDEX=0"}</definedName>
    <definedName function="false" hidden="true" name="_972__FDSAUDITLINK__" vbProcedure="false">{"fdsup://directions/FAT Viewer?action=UPDATE&amp;creator=factset&amp;DYN_ARGS=TRUE&amp;DOC_NAME=FAT:FQL_AUDITING_CLIENT_TEMPLATE.FAT&amp;display_string=Audit&amp;VAR:KEY=BINMFMRUFG&amp;VAR:QUERY=KEZTTF9ORVRfSU5DKE5PVyxOT1csRlNBLCxVU0QpQEZGX05FVF9JTkMoTFRNUywwLCwsLFVTRCkp&amp;WINDOW=F","IRST_POPUP&amp;HEIGHT=450&amp;WIDTH=450&amp;START_MAXIMIZED=FALSE&amp;VAR:CALENDAR=US&amp;VAR:SYMBOL=WLGC&amp;VAR:INDEX=0"}</definedName>
    <definedName function="false" hidden="true" name="_973__FDSAUDITLINK__" vbProcedure="false">{"fdsup://directions/FAT Viewer?action=UPDATE&amp;creator=factset&amp;DYN_ARGS=TRUE&amp;DOC_NAME=FAT:FQL_AUDITING_CLIENT_TEMPLATE.FAT&amp;display_string=Audit&amp;VAR:KEY=NCDADAVOJI&amp;VAR:QUERY=KEZTTF9ORVRfSU5DKE5PVyxOT1csRlNBLCxVU0QpQEZGX05FVF9JTkMoTFRNUywwLCwsLFVTRCkp&amp;WINDOW=F","IRST_POPUP&amp;HEIGHT=450&amp;WIDTH=450&amp;START_MAXIMIZED=FALSE&amp;VAR:CALENDAR=US&amp;VAR:SYMBOL=VOXW&amp;VAR:INDEX=0"}</definedName>
    <definedName function="false" hidden="true" name="_97__FDSAUDITLINK__" vbProcedure="false">{"fdsup://directions/FAT Viewer?action=UPDATE&amp;creator=factset&amp;DYN_ARGS=TRUE&amp;DOC_NAME=FAT:FQL_AUDITING_CLIENT_TEMPLATE.FAT&amp;display_string=Audit&amp;VAR:KEY=ZUNCFMBCLS&amp;VAR:QUERY=KEZTTF9ORVRfSU5DKE5PVyxOT1csRlNBLCxVU0QpQEZGX05FVF9JTkMoTFRNUywwLCwsLFVTRCkp&amp;WINDOW=F","IRST_POPUP&amp;HEIGHT=450&amp;WIDTH=450&amp;START_MAXIMIZED=FALSE&amp;VAR:CALENDAR=US&amp;VAR:SYMBOL=DAIO&amp;VAR:INDEX=0"}</definedName>
    <definedName function="false" hidden="true" name="_985__FDSAUDITLINK__" vbProcedure="false">{"fdsup://directions/FAT Viewer?action=UPDATE&amp;creator=factset&amp;DYN_ARGS=TRUE&amp;DOC_NAME=FAT:FQL_AUDITING_CLIENT_TEMPLATE.FAT&amp;display_string=Audit&amp;VAR:KEY=DSHMPALWBS&amp;VAR:QUERY=KEZTTF9ORVRfSU5DKE5PVyxOT1csRlNBLCxVU0QpQEZGX05FVF9JTkMoTFRNUywwLCwsLFVTRCkp&amp;WINDOW=F","IRST_POPUP&amp;HEIGHT=450&amp;WIDTH=450&amp;START_MAXIMIZED=FALSE&amp;VAR:CALENDAR=US&amp;VAR:SYMBOL=ELON&amp;VAR:INDEX=0"}</definedName>
    <definedName function="false" hidden="true" name="_986__FDSAUDITLINK__" vbProcedure="false">{"fdsup://directions/FAT Viewer?action=UPDATE&amp;creator=factset&amp;DYN_ARGS=TRUE&amp;DOC_NAME=FAT:FQL_AUDITING_CLIENT_TEMPLATE.FAT&amp;display_string=Audit&amp;VAR:KEY=ZQVKZOFCRY&amp;VAR:QUERY=KEZTTF9ORVRfSU5DKE5PVyxOT1csRlNBLCxVU0QpQEZGX05FVF9JTkMoTFRNUywwLCwsLFVTRCkp&amp;WINDOW=F","IRST_POPUP&amp;HEIGHT=450&amp;WIDTH=450&amp;START_MAXIMIZED=FALSE&amp;VAR:CALENDAR=US&amp;VAR:SYMBOL=TYPE&amp;VAR:INDEX=0"}</definedName>
    <definedName function="false" hidden="true" name="_98__FDSAUDITLINK__" vbProcedure="false">{"fdsup://directions/FAT Viewer?action=UPDATE&amp;creator=factset&amp;DYN_ARGS=TRUE&amp;DOC_NAME=FAT:FQL_AUDITING_CLIENT_TEMPLATE.FAT&amp;display_string=Audit&amp;VAR:KEY=BKLILEBODE&amp;VAR:QUERY=KEZTTF9ORVRfSU5DKE5PVyxOT1csRlNBLCxVU0QpQEZGX05FVF9JTkMoTFRNUywwLCwsLFVTRCkp&amp;WINDOW=F","IRST_POPUP&amp;HEIGHT=450&amp;WIDTH=450&amp;START_MAXIMIZED=FALSE&amp;VAR:CALENDAR=US&amp;VAR:SYMBOL=CRWG&amp;VAR:INDEX=0"}</definedName>
    <definedName function="false" hidden="true" name="_992__FDSAUDITLINK__" vbProcedure="false">{"fdsup://directions/FAT Viewer?action=UPDATE&amp;creator=factset&amp;DYN_ARGS=TRUE&amp;DOC_NAME=FAT:FQL_AUDITING_CLIENT_TEMPLATE.FAT&amp;display_string=Audit&amp;VAR:KEY=PWVUPQRKR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YIG&amp;VAR:INDEX=0"}</definedName>
    <definedName function="false" hidden="true" name="_99__FDSAUDITLINK__" vbProcedure="false">{"fdsup://directions/FAT Viewer?action=UPDATE&amp;creator=factset&amp;DYN_ARGS=TRUE&amp;DOC_NAME=FAT:FQL_AUDITING_CLIENT_TEMPLATE.FAT&amp;display_string=Audit&amp;VAR:KEY=LSJWRYXKBE&amp;VAR:QUERY=KEZTTF9ORVRfSU5DKE5PVyxOT1csRlNBLCxVU0QpQEZGX05FVF9JTkMoTFRNUywwLCwsLFVTRCkp&amp;WINDOW=F","IRST_POPUP&amp;HEIGHT=450&amp;WIDTH=450&amp;START_MAXIMIZED=FALSE&amp;VAR:CALENDAR=US&amp;VAR:SYMBOL=AWRE&amp;VAR:INDEX=0"}</definedName>
    <definedName function="false" hidden="true" name="_9_0_Table2_" vbProcedure="false">#REF!</definedName>
    <definedName function="false" hidden="true" name="_9__123Graph_ACHART_3" vbProcedure="false">#REF!</definedName>
    <definedName function="false" hidden="true" name="_9__123Graph_AChart_58B" vbProcedure="false">#REF!</definedName>
    <definedName function="false" hidden="true" name="_9__123Graph_ADIAGR_10" vbProcedure="false">#REF!</definedName>
    <definedName function="false" hidden="true" name="_9__123Graph_BADV_GDP" vbProcedure="false">#REF!</definedName>
    <definedName function="false" hidden="true" name="_9__123Graph_BChart_1A" vbProcedure="false">#REF!</definedName>
    <definedName function="false" hidden="true" name="_9__123Graph_B_FABP_L.WK1_FAB" vbProcedure="false">#REF!</definedName>
    <definedName function="false" hidden="true" name="_9__123Graph_CCHART_1" vbProcedure="false">#REF!</definedName>
    <definedName function="false" hidden="true" name="_9__123Graph_XCHART_1" vbProcedure="false">#REF!</definedName>
    <definedName function="false" hidden="true" name="_9__FDSAUDITLINK__" vbProcedure="false">{"fdsup://directions/FAT Viewer?action=UPDATE&amp;creator=factset&amp;DYN_ARGS=TRUE&amp;DOC_NAME=FAT:FQL_AUDITING_CLIENT_TEMPLATE.FAT&amp;display_string=Audit&amp;VAR:KEY=EZOBMNEJMN&amp;VAR:QUERY=RkZfRUJJVERBX09QRVIoTFRNLDAsLCwsVVNEKQ==&amp;WINDOW=FIRST_POPUP&amp;HEIGHT=450&amp;WIDTH=450&amp;STAR","T_MAXIMIZED=FALSE&amp;VAR:CALENDAR=US&amp;VAR:SYMBOL=AXAS&amp;VAR:INDEX=0"}</definedName>
    <definedName function="false" hidden="true" name="_A" vbProcedure="false">#REF!</definedName>
    <definedName function="false" hidden="true" name="_ACTUAL" vbProcedure="false">#REF!</definedName>
    <definedName function="false" hidden="true" name="_Actual_for_2004_Measure" vbProcedure="false">#REF!</definedName>
    <definedName function="false" hidden="false" name="_All2" vbProcedure="false">#REF!,#REF!,#REF!,#REF!,#REF!,#REF!,#REF!,#REF!,#REF!,#REF!,#REF!,#REF!</definedName>
    <definedName function="false" hidden="true" name="_ALL6434" vbProcedure="false">{"ALLOCATION1",#N/A,FALSE,"EXPENSE ALLOCATIONS";"ALLOCATION2",#N/A,FALSE,"EXPENSE ALLOCATIONS";"ALLOCATION3",#N/A,FALSE,"EXPENSE ALLOCATIONS";"ALLOCATION4",#N/A,FALSE,"EXPENSE ALLOCATIONS"}</definedName>
    <definedName function="false" hidden="true" name="_ASS6434"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_ATPCorr_Range1" vbProcedure="false">#REF!</definedName>
    <definedName function="false" hidden="true" name="_ATPCorr_Range2" vbProcedure="false">#REF!</definedName>
    <definedName function="false" hidden="true" name="_ATPHist_Range1" vbProcedure="false">#REF!</definedName>
    <definedName function="false" hidden="false" name="_BCM1" vbProcedure="false">#REF!</definedName>
    <definedName function="false" hidden="false" name="_BCM2" vbProcedure="false">#REF!</definedName>
    <definedName function="false" hidden="false" name="_BCM3" vbProcedure="false">#REF!</definedName>
    <definedName function="false" hidden="true" name="_bdm.007C1D224CD4405180C7F52512E0677E.edm" vbProcedure="false">#REF!</definedName>
    <definedName function="false" hidden="true" name="_bdm.0212DFFC1A0C410AB03B85791489E314.edm" vbProcedure="false">#REF!</definedName>
    <definedName function="false" hidden="true" name="_bdm.0509802BC4904463BD9FC7D1014C0CB8.edm" vbProcedure="false">#REF!</definedName>
    <definedName function="false" hidden="true" name="_bdm.0652B2FA48DF4E2B8B56B5AB406B0454.edm" vbProcedure="false">#REF!</definedName>
    <definedName function="false" hidden="true" name="_bdm.06D12D44523E4BD7A34C103ABC138FE6.edm" vbProcedure="false">#REF!</definedName>
    <definedName function="false" hidden="true" name="_bdm.0727FB01840844D786CB71C844C9EB4C.edm" vbProcedure="false">#REF!</definedName>
    <definedName function="false" hidden="true" name="_bdm.07770C4610E5438D97E300C16D056E98.edm" vbProcedure="false">#REF!</definedName>
    <definedName function="false" hidden="true" name="_bdm.07AC53FEE803406C9531892C0564F0F9.edm" vbProcedure="false">#REF!</definedName>
    <definedName function="false" hidden="true" name="_bdm.08809FBE138B47CCAD15FC5454D067CE.edm" vbProcedure="false">#REF!</definedName>
    <definedName function="false" hidden="true" name="_bdm.08E906A3B032434B809DF8092B86D2B7.edm" vbProcedure="false">#REF!</definedName>
    <definedName function="false" hidden="true" name="_bdm.08ED4FA6B75744A299D0109409ABDDB2.edm" vbProcedure="false">#REF!</definedName>
    <definedName function="false" hidden="true" name="_bdm.08F66C9368AD4809A7CFE6BC9CD19E59.edm" vbProcedure="false">#REF!</definedName>
    <definedName function="false" hidden="true" name="_bdm.090C1322A53D4D659F6A118AA25D33F5.edm" vbProcedure="false">#REF!</definedName>
    <definedName function="false" hidden="true" name="_bdm.0937F7D5D75D47909A107C4153EF30C5.edm" vbProcedure="false">#REF!</definedName>
    <definedName function="false" hidden="true" name="_bdm.0B006983832D4A4BB0CAA77AAD8BD7F5.edm" vbProcedure="false">#REF!</definedName>
    <definedName function="false" hidden="true" name="_bdm.0B16DDC8F11446EF80BD96B0B2830468.edm" vbProcedure="false">#REF!</definedName>
    <definedName function="false" hidden="true" name="_bdm.0B4E7C16708143ABB997E9DB54FE61B7.edm" vbProcedure="false">#REF!</definedName>
    <definedName function="false" hidden="true" name="_bdm.0CED5F337A76485181B3C670A5F19C19.edm" vbProcedure="false">#REF!</definedName>
    <definedName function="false" hidden="true" name="_bdm.0D36997B78AB466394832F21270DBFC5.edm" vbProcedure="false">#REF!</definedName>
    <definedName function="false" hidden="true" name="_bdm.0d6cddd2b14641a0a917baf61c049254.edm" vbProcedure="false">#REF!</definedName>
    <definedName function="false" hidden="true" name="_bdm.0E87031A59F24634B5DF3E339424E512.edm" vbProcedure="false">#REF!</definedName>
    <definedName function="false" hidden="true" name="_bdm.0F2D4F2161D545EA90A4972FB5A47AE4.edm" vbProcedure="false">#REF!</definedName>
    <definedName function="false" hidden="true" name="_bdm.0F6E0E9F304A411CB41E827CE743B5F3.edm" vbProcedure="false">#REF!</definedName>
    <definedName function="false" hidden="true" name="_bdm.10EE248B6C1C4AF3B497BF73778A146B.edm" vbProcedure="false">#REF!</definedName>
    <definedName function="false" hidden="true" name="_bdm.11964115B08D41A389E489A0AB814BD8.edm" vbProcedure="false">#REF!</definedName>
    <definedName function="false" hidden="true" name="_bdm.1342FBAC436D49058A60BB38DB85549F.edm" vbProcedure="false">#REF!</definedName>
    <definedName function="false" hidden="true" name="_bdm.13DDB2E78C0247C88D1DFFC76BEBBDF0.edm" vbProcedure="false">#REF!</definedName>
    <definedName function="false" hidden="true" name="_bdm.14FE4641874C4F7E99B67E50923FF628.edm" vbProcedure="false">#REF!</definedName>
    <definedName function="false" hidden="true" name="_bdm.163B76C3758B4E4B8C86E3E09B9718E7.edm" vbProcedure="false">#REF!</definedName>
    <definedName function="false" hidden="true" name="_bdm.163E2FDCECFE4D2B9834E952F20E3FF8.edm" vbProcedure="false">#REF!</definedName>
    <definedName function="false" hidden="true" name="_bdm.165C12FE986E4CC6B7F27A6F259F2FD6.edm" vbProcedure="false">#REF!</definedName>
    <definedName function="false" hidden="true" name="_bdm.1667D34F451B47A291E6F994C4DCF306.edm" vbProcedure="false">#REF!</definedName>
    <definedName function="false" hidden="true" name="_bdm.17098ED9C95B4C0E87C052D54D4497F9.edm" vbProcedure="false">#REF!</definedName>
    <definedName function="false" hidden="true" name="_bdm.1725CF220F8544B3A93A6A34452DE3B4.edm" vbProcedure="false">#REF!</definedName>
    <definedName function="false" hidden="true" name="_bdm.17672105E5154FE39823210F0C5D4F05.edm" vbProcedure="false">#REF!</definedName>
    <definedName function="false" hidden="true" name="_bdm.17F361D5D23747BA948495BA7E88A00D.edm" vbProcedure="false">#REF!</definedName>
    <definedName function="false" hidden="true" name="_bdm.17F866F4A5424D21907A0346A2C2702B.edm" vbProcedure="false">#REF!</definedName>
    <definedName function="false" hidden="true" name="_bdm.182A092D6D1C466DA73C10E7A82062CE.edm" vbProcedure="false">#REF!</definedName>
    <definedName function="false" hidden="true" name="_bdm.1843A4C3559E43EF8F9135CB54A394F2.edm" vbProcedure="false">#REF!</definedName>
    <definedName function="false" hidden="true" name="_bdm.19DFC8088FAA449B830F76E630D45546.edm" vbProcedure="false">#REF!</definedName>
    <definedName function="false" hidden="true" name="_bdm.1A9DAEE8FC174312986F4582C72DF1DD.edm" vbProcedure="false">#REF!</definedName>
    <definedName function="false" hidden="true" name="_bdm.1CDE706ABE974904AB10D5BEDFF51CF1.edm" vbProcedure="false">#REF!</definedName>
    <definedName function="false" hidden="true" name="_bdm.1D31ADDD89E94A38B7BE8F46C37088B8.edm" vbProcedure="false">#REF!</definedName>
    <definedName function="false" hidden="true" name="_bdm.1D6EF08EA1B9481CBD26D8122B8479A0.edm" vbProcedure="false">#REF!</definedName>
    <definedName function="false" hidden="true" name="_bdm.1FD4499AC9D54CE78C54643664F39825.edm" vbProcedure="false">#REF!</definedName>
    <definedName function="false" hidden="true" name="_bdm.201243D001344D18B490F478F4DFD232.edm" vbProcedure="false">#REF!</definedName>
    <definedName function="false" hidden="true" name="_bdm.203A700151E74AC194E303E69BA9C259.edm" vbProcedure="false">#REF!</definedName>
    <definedName function="false" hidden="true" name="_bdm.211961A7CA444C2A8E5C65F4932BCDC8.edm" vbProcedure="false">#REF!</definedName>
    <definedName function="false" hidden="true" name="_bdm.21442ACF5AFF488BBFD5E92D9F5EB87F.edm" vbProcedure="false">#REF!</definedName>
    <definedName function="false" hidden="true" name="_bdm.214F2EF6C5C045DA91441430114DE4DE.edm" vbProcedure="false">#REF!</definedName>
    <definedName function="false" hidden="true" name="_bdm.217AA813249D48AF92C8A8EE718400AE.edm" vbProcedure="false">#REF!</definedName>
    <definedName function="false" hidden="true" name="_bdm.221A9393172942218BF4C88122E45E37.edm" vbProcedure="false">#REF!</definedName>
    <definedName function="false" hidden="true" name="_bdm.223FA0F578B54D3985D5F1916242D99E.edm" vbProcedure="false">#REF!</definedName>
    <definedName function="false" hidden="true" name="_bdm.22848480365A4AD787CB568D7A43B8C9.edm" vbProcedure="false">#REF!</definedName>
    <definedName function="false" hidden="true" name="_bdm.22F8688D6FCA481B82CA2039A5430694.edm" vbProcedure="false">#REF!</definedName>
    <definedName function="false" hidden="true" name="_bdm.232CF17E728046D0980AB3855D0034E2.edm" vbProcedure="false">#REF!</definedName>
    <definedName function="false" hidden="true" name="_bdm.2367AFAF6F354507A2F7FAD4285BF823.edm" vbProcedure="false">#REF!</definedName>
    <definedName function="false" hidden="true" name="_bdm.243683C5B1934B80B13188D70B3990DC.edm" vbProcedure="false">#REF!</definedName>
    <definedName function="false" hidden="true" name="_bdm.25B1ECE57C9947209199BF7D79B7C176.edm" vbProcedure="false">#REF!</definedName>
    <definedName function="false" hidden="true" name="_bdm.286D71576F594129B57FB4E48DA754EB.edm" vbProcedure="false">#REF!</definedName>
    <definedName function="false" hidden="true" name="_bdm.28FF0754628C4B7191EF1E5522B262DD.edm" vbProcedure="false">#REF!</definedName>
    <definedName function="false" hidden="true" name="_bdm.2B8991C8FB944E59AAE16E141B55BB80.edm" vbProcedure="false">#REF!</definedName>
    <definedName function="false" hidden="true" name="_bdm.2BDF6DC525A84AF5B02C3F48FC64E9D2.edm" vbProcedure="false">#REF!</definedName>
    <definedName function="false" hidden="true" name="_bdm.2BF54DEE655D4906A1DCB89B5C0326CB.edm" vbProcedure="false">#REF!</definedName>
    <definedName function="false" hidden="true" name="_bdm.2C089501CA6F479FA3F60A4BD1CD2F8A.edm" vbProcedure="false">#REF!</definedName>
    <definedName function="false" hidden="true" name="_bdm.2E428D2EC9814B68ADCCB9B19DB22E22.edm" vbProcedure="false">#REF!</definedName>
    <definedName function="false" hidden="true" name="_bdm.2EE9F91D5241460AAC5150A0A8DD30FF.edm" vbProcedure="false">#REF!</definedName>
    <definedName function="false" hidden="true" name="_bdm.2F096A31D9F148B985FD794312F898E4.edm" vbProcedure="false">#REF!</definedName>
    <definedName function="false" hidden="true" name="_bdm.2F24A8BD52384E19A7A637CDC5866186.edm" vbProcedure="false">#REF!</definedName>
    <definedName function="false" hidden="true" name="_bdm.2F25D9E0D1E14980B59276BB4E10A158.edm" vbProcedure="false">#REF!</definedName>
    <definedName function="false" hidden="true" name="_bdm.2F5076D0F4AC4714B9CFB9B629CA8858.edm" vbProcedure="false">#REF!</definedName>
    <definedName function="false" hidden="true" name="_bdm.3092689E7F68403C9292BEBC403D2B15.edm" vbProcedure="false">#REF!</definedName>
    <definedName function="false" hidden="true" name="_bdm.30A77FEC37A34CD59F4EC0C859C2BEA0.edm" vbProcedure="false">#REF!</definedName>
    <definedName function="false" hidden="true" name="_bdm.314BBCC8E133420F829BD730B4381557.edm" vbProcedure="false">#REF!</definedName>
    <definedName function="false" hidden="true" name="_bdm.31FAF8A743024EF6BDEB1151DDF166DE.edm" vbProcedure="false">#REF!</definedName>
    <definedName function="false" hidden="true" name="_bdm.332B2404CFE4441796AA1544CF40DB4E.edm" vbProcedure="false">#REF!</definedName>
    <definedName function="false" hidden="true" name="_bdm.33DCA2489AFE489093E29584AD646144.edm" vbProcedure="false">#REF!</definedName>
    <definedName function="false" hidden="true" name="_bdm.349557DCBEFF4F8E8D5C0228BF7D84B3.edm" vbProcedure="false">#REF!</definedName>
    <definedName function="false" hidden="true" name="_bdm.34955D7CE2324A58AFBD7D751BAE3E08.edm" vbProcedure="false">#REF!</definedName>
    <definedName function="false" hidden="true" name="_bdm.34B4F250FC6A4966A5ABFD741CD31C7F.edm" vbProcedure="false">#REF!</definedName>
    <definedName function="false" hidden="true" name="_bdm.361A9A36F2BF4DC09160CE67DB22EADA.edm" vbProcedure="false">#REF!</definedName>
    <definedName function="false" hidden="true" name="_bdm.3662D7A0274049DB9B4C8069F3A35328.edm" vbProcedure="false">#REF!</definedName>
    <definedName function="false" hidden="true" name="_bdm.367985CB18ED464082C32C8004AF3DBB.edm" vbProcedure="false">#REF!</definedName>
    <definedName function="false" hidden="true" name="_bdm.3725BDC49D8E40C3A1171C39655E8550.edm" vbProcedure="false">#REF!</definedName>
    <definedName function="false" hidden="true" name="_bdm.3740CE4802E447E6A79FE94C3C72DBD3.edm" vbProcedure="false">#REF!</definedName>
    <definedName function="false" hidden="true" name="_bdm.3A4002C051C84559AFF45376905AD802.edm" vbProcedure="false">#REF!</definedName>
    <definedName function="false" hidden="true" name="_bdm.3A4AF8DBFC4D4164BC2010E4235A20E8.edm" vbProcedure="false">#REF!</definedName>
    <definedName function="false" hidden="true" name="_bdm.3A5C89EA66A84577A98C232F1E9A4F9F.edm" vbProcedure="false">#REF!</definedName>
    <definedName function="false" hidden="true" name="_bdm.3C6262B1B9C140AB8A295AD5117BBFC0.edm" vbProcedure="false">#REF!</definedName>
    <definedName function="false" hidden="true" name="_bdm.3C97C2300D5B450EBADA03E50AB93131.edm" vbProcedure="false">#REF!</definedName>
    <definedName function="false" hidden="true" name="_bdm.3D48200D60544AB79C3694531093BE4C.edm" vbProcedure="false">#REF!</definedName>
    <definedName function="false" hidden="true" name="_bdm.3DD692E4D0CF40CCA1682614C96FDF5D.edm" vbProcedure="false">#REF!</definedName>
    <definedName function="false" hidden="true" name="_bdm.3E58AE55A8EF49399E9383CE951C01D1.edm" vbProcedure="false">#REF!</definedName>
    <definedName function="false" hidden="true" name="_bdm.40236D7B690249A68976D3E52575A0BE.edm" vbProcedure="false">#REF!</definedName>
    <definedName function="false" hidden="true" name="_bdm.4492482F0B55452FB99276AE12073F54.edm" vbProcedure="false">#REF!</definedName>
    <definedName function="false" hidden="true" name="_bdm.44D49DBEB97D4237B80FC216436F140C.edm" vbProcedure="false">#REF!</definedName>
    <definedName function="false" hidden="true" name="_bdm.4539EBA6B5B84444A1F76D9D280205BB.edm" vbProcedure="false">#REF!</definedName>
    <definedName function="false" hidden="true" name="_bdm.460747DA77EB47A98CFB755E79265356.edm" vbProcedure="false">#REF!</definedName>
    <definedName function="false" hidden="true" name="_bdm.464ED734D79F4532A663BDEBD4C3C297.edm" vbProcedure="false">#REF!</definedName>
    <definedName function="false" hidden="true" name="_bdm.46D3E9C7DA6F4704932482F5213A38EB.edm" vbProcedure="false">#REF!</definedName>
    <definedName function="false" hidden="true" name="_bdm.4706DBBE78864C68B8256DA2B6FFD654.edm" vbProcedure="false">#REF!</definedName>
    <definedName function="false" hidden="true" name="_bdm.47486A06C8AD425688AFCB3B22D1133A.edm" vbProcedure="false">#REF!</definedName>
    <definedName function="false" hidden="true" name="_bdm.478B5CD28C844133AACFC9DF39DC43AF.edm" vbProcedure="false">#REF!</definedName>
    <definedName function="false" hidden="true" name="_bdm.47F6196DA00C4CD0AC70EF2DF9331ED4.edm" vbProcedure="false">#REF!</definedName>
    <definedName function="false" hidden="true" name="_bdm.4852103F1A18483BAFEA8A24CE3D04F6.edm" vbProcedure="false">#REF!</definedName>
    <definedName function="false" hidden="true" name="_bdm.4B1AFB48E76B43A4AB3E89F10A2D5BEE.edm" vbProcedure="false">#REF!</definedName>
    <definedName function="false" hidden="true" name="_bdm.4BA88AF9071C434EB75CA3D111800785.edm" vbProcedure="false">#REF!</definedName>
    <definedName function="false" hidden="true" name="_bdm.4C3EB4FE854E43CFAE6F54EB631D1C1F.edm" vbProcedure="false">#REF!</definedName>
    <definedName function="false" hidden="true" name="_bdm.4D1F0D8BCF9D4379929562CEB4F0701A.edm" vbProcedure="false">#REF!</definedName>
    <definedName function="false" hidden="true" name="_bdm.4D3E16DB19C5488FBA540F19461C6273.edm" vbProcedure="false">#REF!</definedName>
    <definedName function="false" hidden="true" name="_bdm.4D4CE99942FE493AA387974D5EDF2789.edm" vbProcedure="false">#REF!</definedName>
    <definedName function="false" hidden="true" name="_bdm.4DF2E8191A274494995F180E31F8BEB5.edm" vbProcedure="false">#REF!</definedName>
    <definedName function="false" hidden="true" name="_bdm.4F10A7067052416086343648DE345934.edm" vbProcedure="false">#REF!</definedName>
    <definedName function="false" hidden="true" name="_bdm.4F9D6F55E3B3447EBF02FC46E009DC59.edm" vbProcedure="false">#REF!</definedName>
    <definedName function="false" hidden="true" name="_bdm.4FBD7DEE5F6D40C7A08F42E15D58BFC1.edm" vbProcedure="false">#REF!</definedName>
    <definedName function="false" hidden="true" name="_bdm.50D7CF27216A42C889D34F484504AD69.edm" vbProcedure="false">#REF!</definedName>
    <definedName function="false" hidden="true" name="_bdm.535F8182450144A49EC5DF3A00A29FBA.edm" vbProcedure="false">#REF!</definedName>
    <definedName function="false" hidden="true" name="_bdm.565A9E7B49DB4C5780DCBA06446B44E1.edm" vbProcedure="false">#REF!</definedName>
    <definedName function="false" hidden="true" name="_bdm.567113E172EA43C5A883A8853C6BA3EC.edm" vbProcedure="false">#REF!</definedName>
    <definedName function="false" hidden="true" name="_bdm.57D7FFE4DAAF40EB82914B83A23F085C.edm" vbProcedure="false">#REF!</definedName>
    <definedName function="false" hidden="true" name="_bdm.57FAF79DDB26488CBF6F468AAD102F27.edm" vbProcedure="false">#REF!</definedName>
    <definedName function="false" hidden="true" name="_bdm.584D4F374A984FEAA4E1F0A62609A73E.edm" vbProcedure="false">#REF!</definedName>
    <definedName function="false" hidden="true" name="_bdm.5851B0650D5C4D63BA9CC6026B55BB0A.edm" vbProcedure="false">#REF!</definedName>
    <definedName function="false" hidden="true" name="_bdm.589901537B274BF792448A5E59FC8CB6.edm" vbProcedure="false">#REF!</definedName>
    <definedName function="false" hidden="true" name="_bdm.58A8A0D4F1B84A3AA49D9ACECD1B3B92.edm" vbProcedure="false">#REF!</definedName>
    <definedName function="false" hidden="true" name="_bdm.595451C85CBC4376AB401C7014E4CF5F.edm" vbProcedure="false">#REF!</definedName>
    <definedName function="false" hidden="true" name="_bdm.599CC5D95B6447BD961CF0BBFC70EB51.edm" vbProcedure="false">#REF!</definedName>
    <definedName function="false" hidden="true" name="_bdm.59DD29AF92674D0AA5002A5B8A198CD5.edm" vbProcedure="false">#REF!</definedName>
    <definedName function="false" hidden="true" name="_bdm.5AF6AA25243C4F5BB196F43B5BBF1AAC.edm" vbProcedure="false">#REF!</definedName>
    <definedName function="false" hidden="true" name="_bdm.5B8853FCE0ED42889507A8BAFA27CFCE.edm" vbProcedure="false">#REF!</definedName>
    <definedName function="false" hidden="true" name="_bdm.5C2CC264937B4EC8BE1AAF8267E5BE79.edm" vbProcedure="false">#REF!</definedName>
    <definedName function="false" hidden="true" name="_bdm.5C2F16D04DB641429C2ECC2FD4C1CF38.edm" vbProcedure="false">#REF!</definedName>
    <definedName function="false" hidden="true" name="_bdm.5C9761554DC74C6290AD7EC8BB270F05.edm" vbProcedure="false">#REF!</definedName>
    <definedName function="false" hidden="true" name="_bdm.5C9BD23A0AD44B6887A75ACA258F1F68.edm" vbProcedure="false">#REF!</definedName>
    <definedName function="false" hidden="true" name="_bdm.5C9ECFE796C640FEA68C7A7FDEC1155C.edm" vbProcedure="false">#REF!</definedName>
    <definedName function="false" hidden="true" name="_bdm.5CDFFBA1D93C47A593D321BC335B82DD.edm" vbProcedure="false">#REF!</definedName>
    <definedName function="false" hidden="true" name="_bdm.5DC226D4CE804ECD9EC318EA03F6AD6C.edm" vbProcedure="false">#REF!</definedName>
    <definedName function="false" hidden="true" name="_bdm.5DFC73F990E4481599AA49889538BDDD.edm" vbProcedure="false">#REF!</definedName>
    <definedName function="false" hidden="true" name="_bdm.5E3DCB481E9548FFB70DEEA097C37635.edm" vbProcedure="false">#REF!</definedName>
    <definedName function="false" hidden="true" name="_bdm.5E60683406494261A10CD7FA575253E5.edm" vbProcedure="false">#REF!</definedName>
    <definedName function="false" hidden="true" name="_bdm.5EE44A33288346BD9CB50AC27CA21C38.edm" vbProcedure="false">#REF!</definedName>
    <definedName function="false" hidden="true" name="_bdm.620DA7BECEC3407AA327D2D103124C67.edm" vbProcedure="false">#REF!</definedName>
    <definedName function="false" hidden="true" name="_bdm.624C04683BEF45FA8ED19815606C3AC9.edm" vbProcedure="false">#REF!</definedName>
    <definedName function="false" hidden="true" name="_bdm.62685EEFEEF0469589644AC6CE733B5D.edm" vbProcedure="false">#REF!</definedName>
    <definedName function="false" hidden="true" name="_bdm.63B4555C3E9740F0B166EF4520071DF1.edm" vbProcedure="false">#REF!</definedName>
    <definedName function="false" hidden="true" name="_bdm.650482CC37F54C7486109DE5CF662E51.edm" vbProcedure="false">#REF!</definedName>
    <definedName function="false" hidden="true" name="_bdm.6598F473D5DB4BB5B5EC52A04FFCDC12.edm" vbProcedure="false">#REF!</definedName>
    <definedName function="false" hidden="true" name="_bdm.6615C7F19C8D442186AE6E09EF77236E.edm" vbProcedure="false">#REF!</definedName>
    <definedName function="false" hidden="true" name="_bdm.669E03D999FC49EB993534F9A826F1DB.edm" vbProcedure="false">#REF!</definedName>
    <definedName function="false" hidden="true" name="_bdm.67CE6EE77A6849B6B24982AB1DA251F7.edm" vbProcedure="false">#REF!</definedName>
    <definedName function="false" hidden="true" name="_bdm.68D53E3E301E419C81640E96B51C0541.edm" vbProcedure="false">#REF!</definedName>
    <definedName function="false" hidden="true" name="_bdm.69171AF4927342A89F30890E477E9652.edm" vbProcedure="false">#REF!</definedName>
    <definedName function="false" hidden="true" name="_bdm.692B7F99FC2E4E97ACF9B9BD81DC2C28.edm" vbProcedure="false">#REF!</definedName>
    <definedName function="false" hidden="true" name="_bdm.6936904F447D4EC68E7EF173D0C5D062.edm" vbProcedure="false">#REF!</definedName>
    <definedName function="false" hidden="true" name="_bdm.69FB87B386074066B28D02646251BE11.edm" vbProcedure="false">#REF!</definedName>
    <definedName function="false" hidden="true" name="_bdm.6AB5154AB78E475ABBCDCF68CB1680E0.edm" vbProcedure="false">#REF!</definedName>
    <definedName function="false" hidden="true" name="_bdm.6AF363F23E5D4831875D36E8308AC602.edm" vbProcedure="false">#REF!</definedName>
    <definedName function="false" hidden="true" name="_bdm.6BF0E9E815284022980CE1F9EC0094CD.edm" vbProcedure="false">#REF!</definedName>
    <definedName function="false" hidden="true" name="_bdm.6CAC72C2F2EF4A3383F0B28BFEC8CCE5.edm" vbProcedure="false">#REF!</definedName>
    <definedName function="false" hidden="true" name="_bdm.6EA10269A3B24951B5D6A5311EE84D94.edm" vbProcedure="false">#REF!</definedName>
    <definedName function="false" hidden="true" name="_bdm.6ECC9AB0AF374354B55BC66F3271C419.edm" vbProcedure="false">#REF!</definedName>
    <definedName function="false" hidden="true" name="_bdm.6F2AEF76A618474F82A9CEBB24EE1F6D.edm" vbProcedure="false">#REF!</definedName>
    <definedName function="false" hidden="true" name="_bdm.6FCE41D658274903B5016F37BAF8A09A.edm" vbProcedure="false">#REF!</definedName>
    <definedName function="false" hidden="true" name="_bdm.7083CF59816C476FBF59D9DA8E47C842.edm" vbProcedure="false">#REF!</definedName>
    <definedName function="false" hidden="true" name="_bdm.70A063EE23FB4349877157024E63138F.edm" vbProcedure="false">#REF!</definedName>
    <definedName function="false" hidden="true" name="_bdm.7295872893D34B8E8474F3A43581A390.edm" vbProcedure="false">#REF!</definedName>
    <definedName function="false" hidden="true" name="_bdm.74599FEADCFB4E469BEB481F66DE3185.edm" vbProcedure="false">#REF!</definedName>
    <definedName function="false" hidden="true" name="_bdm.758322C5072D4D9B99DF5A4EB8AF126B.edm" vbProcedure="false">#REF!</definedName>
    <definedName function="false" hidden="true" name="_bdm.75D0DCEB04C94512909C06F6F9D1F0A7.edm" vbProcedure="false">#REF!</definedName>
    <definedName function="false" hidden="true" name="_bdm.76C1C8601913451D838B60DF8F2FEDB6.edm" vbProcedure="false">#REF!</definedName>
    <definedName function="false" hidden="true" name="_bdm.77935E09A3ED4712B20DDEBE809BC0B7.edm" vbProcedure="false">#REF!</definedName>
    <definedName function="false" hidden="true" name="_bdm.77CC7B0CEF02431BA982D987B1CB13E4.edm" vbProcedure="false">#REF!</definedName>
    <definedName function="false" hidden="true" name="_bdm.792860EEFD1A41A6B112CA62466F734D.edm" vbProcedure="false">#REF!</definedName>
    <definedName function="false" hidden="true" name="_bdm.7B254461E5324E45BEE190E68FF83051.edm" vbProcedure="false">#REF!</definedName>
    <definedName function="false" hidden="true" name="_bdm.7BEDD6FE9CFF4AF987CFA1D4497F8ECE.edm" vbProcedure="false">#REF!</definedName>
    <definedName function="false" hidden="true" name="_bdm.7C34919F0F2F4FC08546460F84CA54C2.edm" vbProcedure="false">#REF!</definedName>
    <definedName function="false" hidden="true" name="_bdm.7D916AC2CC6E4F8FB065D6C265518558.edm" vbProcedure="false">#REF!</definedName>
    <definedName function="false" hidden="true" name="_bdm.7EE00B6435C1476AAA5C97C4B6EAE357.edm" vbProcedure="false">#REF!</definedName>
    <definedName function="false" hidden="true" name="_bdm.7F47B7B7D6B04068BB785BE4A08F7831.edm" vbProcedure="false">#REF!</definedName>
    <definedName function="false" hidden="true" name="_bdm.810757DA8E6847FD970CEB3C8143D777.edm" vbProcedure="false">#REF!</definedName>
    <definedName function="false" hidden="true" name="_bdm.81ACE81BBA164E598B7D514CD4E45E03.edm" vbProcedure="false">#REF!</definedName>
    <definedName function="false" hidden="true" name="_bdm.823B08A8FC88406494FF440E2D778393.edm" vbProcedure="false">#REF!</definedName>
    <definedName function="false" hidden="true" name="_bdm.827A71F4F0C94CC98D922F2C9772674B.edm" vbProcedure="false">#REF!</definedName>
    <definedName function="false" hidden="true" name="_bdm.82B8BD634988435395214C286D17E7BE.edm" vbProcedure="false">#REF!</definedName>
    <definedName function="false" hidden="true" name="_bdm.82EFA27717C142FBB420C303C579BA29.edm" vbProcedure="false">#REF!</definedName>
    <definedName function="false" hidden="true" name="_bdm.8575D7ECDD83400C89A165638EB5EE20.edm" vbProcedure="false">#REF!</definedName>
    <definedName function="false" hidden="true" name="_bdm.857B94AC2182472E8AB6D321C42FF487.edm" vbProcedure="false">#REF!</definedName>
    <definedName function="false" hidden="true" name="_bdm.85D0E3585AD74D84819750EA77D0FBBC.edm" vbProcedure="false">#REF!</definedName>
    <definedName function="false" hidden="true" name="_bdm.863BF4F7290140E69B2B87490F07484B.edm" vbProcedure="false">#REF!</definedName>
    <definedName function="false" hidden="true" name="_bdm.87E6133EF43847F095F90DAA9F14B7A5.edm" vbProcedure="false">#REF!</definedName>
    <definedName function="false" hidden="true" name="_bdm.88B1D067B32F46B1ACEA3AA7847867BE.edm" vbProcedure="false">#REF!</definedName>
    <definedName function="false" hidden="true" name="_bdm.88D3DB4E992142578E411AAFD95F4A86.edm" vbProcedure="false">#REF!</definedName>
    <definedName function="false" hidden="true" name="_bdm.88DED8903826409DB598C5E7D2F75047.edm" vbProcedure="false">#REF!</definedName>
    <definedName function="false" hidden="true" name="_bdm.89BC625B4F72436EA507DD004B57B02C.edm" vbProcedure="false">#REF!</definedName>
    <definedName function="false" hidden="true" name="_bdm.8D3EC86C52BA4606BD1A5A5867FE3C64.edm" vbProcedure="false">#REF!</definedName>
    <definedName function="false" hidden="true" name="_bdm.8D9391C437274C7EA72A4323997461BA.edm" vbProcedure="false">#REF!</definedName>
    <definedName function="false" hidden="true" name="_bdm.8E4F78A3EED34ED19509EF5F4BB4333A.edm" vbProcedure="false">#REF!</definedName>
    <definedName function="false" hidden="true" name="_bdm.8F2D1730F7654A21A73FEEBE202F5D42.edm" vbProcedure="false">#REF!</definedName>
    <definedName function="false" hidden="true" name="_bdm.90A3C6ACD4684869B959CD791EC1F91A.edm" vbProcedure="false">#REF!</definedName>
    <definedName function="false" hidden="true" name="_bdm.90A8C2B24E6B4D708AFCB03F66B23F3B.edm" vbProcedure="false">#REF!</definedName>
    <definedName function="false" hidden="true" name="_bdm.90D796657FEA4FF3A2C72CD3900B02A6.edm" vbProcedure="false">#REF!</definedName>
    <definedName function="false" hidden="true" name="_bdm.90DFE3A60CA249D5A87DD9C00562D2B4.edm" vbProcedure="false">#REF!</definedName>
    <definedName function="false" hidden="true" name="_bdm.912951C0F4FE4B5A813AFFEB07FF581B.edm" vbProcedure="false">#REF!</definedName>
    <definedName function="false" hidden="true" name="_bdm.913FA7EE6F8A4250B38C02AE3EE29770.edm" vbProcedure="false">#REF!</definedName>
    <definedName function="false" hidden="true" name="_bdm.925139B8251749AA84AA5990DF9410D6.edm" vbProcedure="false">#REF!</definedName>
    <definedName function="false" hidden="true" name="_bdm.9338BE5A60D24EBEAB6CB5E2FBC186C4.edm" vbProcedure="false">#REF!</definedName>
    <definedName function="false" hidden="true" name="_bdm.938C210AAC49466FB0F7963C2AABB464.edm" vbProcedure="false">#REF!</definedName>
    <definedName function="false" hidden="true" name="_bdm.951E8D1026C54C1BB150FC85D486130E.edm" vbProcedure="false">#REF!</definedName>
    <definedName function="false" hidden="true" name="_bdm.952D6C3494F740B9B6AB89B5B627F0AF.edm" vbProcedure="false">#REF!</definedName>
    <definedName function="false" hidden="true" name="_bdm.9558C6FD2D1A41DAB7EBD3A408924DE6.edm" vbProcedure="false">#REF!</definedName>
    <definedName function="false" hidden="true" name="_bdm.95715A5BB5E3499A94DC8975E4288E8F.edm" vbProcedure="false">#REF!</definedName>
    <definedName function="false" hidden="true" name="_bdm.97450FEA63AC48C29BB4280DA28F67B3.edm" vbProcedure="false">#REF!</definedName>
    <definedName function="false" hidden="true" name="_bdm.984E06A6ACDF4279BD838011E4A5AF2C.edm" vbProcedure="false">#REF!</definedName>
    <definedName function="false" hidden="true" name="_bdm.99360D89E3C540ADBF0AA7B20E277903.edm" vbProcedure="false">#REF!</definedName>
    <definedName function="false" hidden="true" name="_bdm.99CF7A7A764440C4AEABDC10D7096928.edm" vbProcedure="false">#REF!</definedName>
    <definedName function="false" hidden="true" name="_bdm.99ECE305D9964B3EB31187E43523C73A.edm" vbProcedure="false">#REF!</definedName>
    <definedName function="false" hidden="true" name="_bdm.9AD6B69603B7489AADB8B69EB68D4A8E.edm" vbProcedure="false">#REF!</definedName>
    <definedName function="false" hidden="true" name="_bdm.9C5E33F06FFD4E02AE99E21017847A25.edm" vbProcedure="false">#REF!</definedName>
    <definedName function="false" hidden="true" name="_bdm.9CDC35CDB7B143079762F320F757C403.edm" vbProcedure="false">#REF!</definedName>
    <definedName function="false" hidden="true" name="_bdm.9D5AC8D2946C4947BCC864BE771192BF.edm" vbProcedure="false">#REF!</definedName>
    <definedName function="false" hidden="true" name="_bdm.9EA8A8C2E66746DF876CF5FF97D83BFE.edm" vbProcedure="false">#REF!</definedName>
    <definedName function="false" hidden="true" name="_bdm.9EC999D9F66D46989B57D13ABC24D7AA.edm" vbProcedure="false">#REF!</definedName>
    <definedName function="false" hidden="true" name="_bdm.9F281C2D729544CBA58025780394E066.edm" vbProcedure="false">#REF!</definedName>
    <definedName function="false" hidden="true" name="_bdm.9F49B659818E4F8DB537CBAD556706A7.edm" vbProcedure="false">#REF!</definedName>
    <definedName function="false" hidden="true" name="_bdm.9F624989C7F74AE8BC7E695101E00664.edm" vbProcedure="false">#REF!</definedName>
    <definedName function="false" hidden="true" name="_bdm.9FBD1BCD908540E1BAFE4833CEC6CB07.edm" vbProcedure="false">#REF!</definedName>
    <definedName function="false" hidden="true" name="_bdm.A0FB5C0D7A1C4E72AD632A2E87049DE9.edm" vbProcedure="false">#REF!</definedName>
    <definedName function="false" hidden="true" name="_bdm.A0FC95D084484F4CB0DB8065802DAEC2.edm" vbProcedure="false">#REF!</definedName>
    <definedName function="false" hidden="true" name="_bdm.A3938693C4AA4101B5EA684FA4DC9EC5.edm" vbProcedure="false">#REF!</definedName>
    <definedName function="false" hidden="true" name="_bdm.A4037FE5EC384836AFE1552295245158.edm" vbProcedure="false">#REF!</definedName>
    <definedName function="false" hidden="true" name="_bdm.A47690466B074C2595AFD45A96169806.edm" vbProcedure="false">#REF!</definedName>
    <definedName function="false" hidden="true" name="_bdm.A5F535492512432A8901717E7ED3338A.edm" vbProcedure="false">#REF!</definedName>
    <definedName function="false" hidden="true" name="_bdm.A60B08BA82324890B93913E05CC34D5C.edm" vbProcedure="false">#REF!</definedName>
    <definedName function="false" hidden="true" name="_bdm.A6EBA1A6287C4D08821F9261BEC5BB9F.edm" vbProcedure="false">#REF!</definedName>
    <definedName function="false" hidden="true" name="_bdm.A6EF3A4E0A144B79AD4B86443EF8EAAE.edm" vbProcedure="false">#REF!</definedName>
    <definedName function="false" hidden="true" name="_bdm.A843B10E23444DF4BF9548958BCE1994.edm" vbProcedure="false">#REF!</definedName>
    <definedName function="false" hidden="true" name="_bdm.A8637A6BEE354D0C8FFD84419A5B55EE.edm" vbProcedure="false">#REF!</definedName>
    <definedName function="false" hidden="true" name="_bdm.A8715AB9E6DF421394B78E1BCEE371F3.edm" vbProcedure="false">#REF!</definedName>
    <definedName function="false" hidden="true" name="_bdm.A9E3240BA7B34DDDAFEFBD34858D688B.edm" vbProcedure="false">#REF!</definedName>
    <definedName function="false" hidden="true" name="_bdm.AAF5CE366D08433B852FFB2FE6BEE7BD.edm" vbProcedure="false">#REF!</definedName>
    <definedName function="false" hidden="true" name="_bdm.AC0CD7931FA641D08094AC99CB8A7CBB.edm" vbProcedure="false">#REF!</definedName>
    <definedName function="false" hidden="true" name="_bdm.ACFBF56D2368498B8A05F0F048968777.edm" vbProcedure="false">#REF!</definedName>
    <definedName function="false" hidden="true" name="_bdm.AD671641271E4A339DE71A82D54046A6.edm" vbProcedure="false">#REF!</definedName>
    <definedName function="false" hidden="true" name="_bdm.AF35239CE0974434AC10DACCD1E36B59.edm" vbProcedure="false">#REF!</definedName>
    <definedName function="false" hidden="true" name="_bdm.AF3B80D6C5934257827225A4D281BD7F.edm" vbProcedure="false">#REF!</definedName>
    <definedName function="false" hidden="true" name="_bdm.AF4BC401E63543628D12CFA9B1B3B0B3.edm" vbProcedure="false">#REF!</definedName>
    <definedName function="false" hidden="true" name="_bdm.AF62C68FA3FE4EF8B966E24E3681345E.edm" vbProcedure="false">#REF!</definedName>
    <definedName function="false" hidden="true" name="_bdm.AF773558D3EC481A96F8F48875B36A88.edm" vbProcedure="false">#REF!</definedName>
    <definedName function="false" hidden="true" name="_bdm.B186E15AA61247E49B998A281EB54A51.edm" vbProcedure="false">#REF!</definedName>
    <definedName function="false" hidden="true" name="_bdm.B2EEA3FEF9EF460F9646D5046F51BA6B.edm" vbProcedure="false">#REF!</definedName>
    <definedName function="false" hidden="true" name="_bdm.B32C27066B474B7093CA312E4410C870.edm" vbProcedure="false">#REF!</definedName>
    <definedName function="false" hidden="true" name="_bdm.B36C7EF357604A01973B60B80860CD3F.edm" vbProcedure="false">#REF!</definedName>
    <definedName function="false" hidden="true" name="_bdm.B3B9E42BB888499897B24C1353B83652.edm" vbProcedure="false">#REF!</definedName>
    <definedName function="false" hidden="true" name="_bdm.B3E164EC4CF84C70868E58344F800852.edm" vbProcedure="false">#REF!</definedName>
    <definedName function="false" hidden="true" name="_bdm.B4367CE3B149429698EFDB6B3E697924.edm" vbProcedure="false">#REF!</definedName>
    <definedName function="false" hidden="true" name="_bdm.B44B1986CC8E4141AF91DC102D3DDCEC.edm" vbProcedure="false">#REF!</definedName>
    <definedName function="false" hidden="true" name="_bdm.B52191CCE22E457BB401BCF64C2EAA30.edm" vbProcedure="false">#REF!</definedName>
    <definedName function="false" hidden="true" name="_bdm.B5637F213E89450389A6B13F1DB2F883.edm" vbProcedure="false">#REF!</definedName>
    <definedName function="false" hidden="true" name="_bdm.B573AA7F9CF94E4993B9107E06358CE4.edm" vbProcedure="false">#REF!</definedName>
    <definedName function="false" hidden="true" name="_bdm.B5D0B6F2DA3044C2B0160E4D2F3D091A.edm" vbProcedure="false">#REF!</definedName>
    <definedName function="false" hidden="true" name="_bdm.B8FCDE0827E846458FD1BAFA5F07AAE3.edm" vbProcedure="false">#REF!</definedName>
    <definedName function="false" hidden="true" name="_bdm.B9F0B03BF7A4481FA4BDC46EC9E8AE3A.edm" vbProcedure="false">#REF!</definedName>
    <definedName function="false" hidden="true" name="_bdm.BA1AD8CD31EB4332A5896B9E976942F8.edm" vbProcedure="false">#REF!</definedName>
    <definedName function="false" hidden="true" name="_bdm.BC30C88F489C4EE7A775970A002B8D88.edm" vbProcedure="false">#REF!</definedName>
    <definedName function="false" hidden="true" name="_bdm.BCA7CDCDA1FB4B76BF3755179C2D0200.edm" vbProcedure="false">#REF!</definedName>
    <definedName function="false" hidden="true" name="_bdm.BDB9018F394B4D619CA288E2B170F24A.edm" vbProcedure="false">#REF!</definedName>
    <definedName function="false" hidden="true" name="_bdm.BF4F9C20D67546B7AEC95ECB28BAFA61.edm" vbProcedure="false">#REF!</definedName>
    <definedName function="false" hidden="true" name="_bdm.bf56be0d727849f7979a9e905c7fd8ea.edm" vbProcedure="false">#REF!</definedName>
    <definedName function="false" hidden="true" name="_bdm.BFB2303463084596B58FFD9A36A7F01F.edm" vbProcedure="false">#REF!</definedName>
    <definedName function="false" hidden="true" name="_bdm.C0CA9FF7E3D746D6A6EB54F72E8CB42F.edm" vbProcedure="false">#REF!</definedName>
    <definedName function="false" hidden="true" name="_bdm.C17A1B12D43F41EA9736D9062F460D1D.edm" vbProcedure="false">#REF!</definedName>
    <definedName function="false" hidden="true" name="_bdm.C2B1479279C14F60AC08799ED8A8E24D.edm" vbProcedure="false">#REF!</definedName>
    <definedName function="false" hidden="true" name="_bdm.C451E26BD32B4E55B4C9248448F65317.edm" vbProcedure="false">#REF!</definedName>
    <definedName function="false" hidden="true" name="_bdm.C5019477A1CF488D88A1FA4ACCD41639.edm" vbProcedure="false">#REF!</definedName>
    <definedName function="false" hidden="true" name="_bdm.C50EE2BE6B35410AB901B6599395C07B.edm" vbProcedure="false">#REF!</definedName>
    <definedName function="false" hidden="true" name="_bdm.C541723F84574BFDAE16881899D5BD5F.edm" vbProcedure="false">#REF!</definedName>
    <definedName function="false" hidden="true" name="_bdm.C61BC3CF5C1842AFB0E667CD3F300D2F.edm" vbProcedure="false">#REF!</definedName>
    <definedName function="false" hidden="true" name="_bdm.C62CA4D9D8444FC18A277D9EF9117F9B.edm" vbProcedure="false">#REF!</definedName>
    <definedName function="false" hidden="true" name="_bdm.C6D132461F934440B9092B92149D0296.edm" vbProcedure="false">#REF!</definedName>
    <definedName function="false" hidden="true" name="_bdm.C898044C281F4002B657876EEEF54A94.edm" vbProcedure="false">#REF!</definedName>
    <definedName function="false" hidden="true" name="_bdm.C921ECD3503E49C58CD25F4EF785790F.edm" vbProcedure="false">#REF!</definedName>
    <definedName function="false" hidden="true" name="_bdm.CA6B13128BBB43BBB82BC6F4304CB568.edm" vbProcedure="false">#REF!</definedName>
    <definedName function="false" hidden="true" name="_bdm.CC3F58CA387F4CDD83A1309CBB1DAF33.edm" vbProcedure="false">#REF!</definedName>
    <definedName function="false" hidden="true" name="_bdm.CC4B1B78616E4AC5B0C3EA8852AB3482.edm" vbProcedure="false">#REF!</definedName>
    <definedName function="false" hidden="true" name="_bdm.CC4EED0E69894811808F3CEC927B750A.edm" vbProcedure="false">#REF!</definedName>
    <definedName function="false" hidden="true" name="_bdm.CCC109E1FEF54FE283F960D682C3FF99.edm" vbProcedure="false">#REF!</definedName>
    <definedName function="false" hidden="true" name="_bdm.CCD7E4EFF54E4A20BF2027CDB6FBCE63.edm" vbProcedure="false">#REF!</definedName>
    <definedName function="false" hidden="true" name="_bdm.CCF645B21C6A4B79962E4B4F54BDDC44.edm" vbProcedure="false">#REF!</definedName>
    <definedName function="false" hidden="true" name="_bdm.CE94C805E56F4131B2E2AC2DEC82DE08.edm" vbProcedure="false">#REF!</definedName>
    <definedName function="false" hidden="true" name="_bdm.CEC58C1E6AB140598B0F7A7657AFA84C.edm" vbProcedure="false">#REF!</definedName>
    <definedName function="false" hidden="true" name="_bdm.CECDD7CB7A09430EA1F498A5A3993152.edm" vbProcedure="false">#REF!</definedName>
    <definedName function="false" hidden="true" name="_bdm.CF13E457D517439E8DFA165C08086F62.edm" vbProcedure="false">#REF!</definedName>
    <definedName function="false" hidden="true" name="_bdm.CFC68A61017B42D68FAA62D2DAF7A122.edm" vbProcedure="false">#REF!</definedName>
    <definedName function="false" hidden="true" name="_bdm.CFD83350EFA74CE7BC4A97BA0581DF0E.edm" vbProcedure="false">#REF!</definedName>
    <definedName function="false" hidden="true" name="_bdm.D006BEACAD3549478E340D7CF196196C.edm" vbProcedure="false">#REF!</definedName>
    <definedName function="false" hidden="true" name="_bdm.D1167CB8CB3C499792ECABBB8EFDFF4F.edm" vbProcedure="false">#REF!</definedName>
    <definedName function="false" hidden="true" name="_bdm.D17EA099031C443B89E6C979CDDF3D48.edm" vbProcedure="false">#REF!</definedName>
    <definedName function="false" hidden="true" name="_bdm.D23F9A3C37EB4DC1B5C216A2067B790B.edm" vbProcedure="false">#REF!</definedName>
    <definedName function="false" hidden="true" name="_bdm.D3538A7923D148678A9682A4668C6A1D.edm" vbProcedure="false">#REF!</definedName>
    <definedName function="false" hidden="true" name="_bdm.D402BBBB39A64C1BB3A4A09CC5C83A2B.edm" vbProcedure="false">#REF!</definedName>
    <definedName function="false" hidden="true" name="_bdm.D456FF9BE78248F0B3652125379A3E97.edm" vbProcedure="false">#REF!</definedName>
    <definedName function="false" hidden="true" name="_bdm.D5C01346892D44BBAFED8BBB50DDF252.edm" vbProcedure="false">#REF!</definedName>
    <definedName function="false" hidden="true" name="_bdm.D5EDF818421F412FA7B7D269FDAE29BF.edm" vbProcedure="false">#REF!</definedName>
    <definedName function="false" hidden="true" name="_bdm.D620A42770B34055BA37BCD0A54B7272.edm" vbProcedure="false">#REF!</definedName>
    <definedName function="false" hidden="true" name="_bdm.D65CA1A576C143CCAD2F28E1CE17B0F9.edm" vbProcedure="false">#REF!</definedName>
    <definedName function="false" hidden="true" name="_bdm.D6A0C32ABEB04BA68B033149FD6D991B.edm" vbProcedure="false">#REF!</definedName>
    <definedName function="false" hidden="true" name="_bdm.D6ECEA1865F44233A4D80AD58389D486.edm" vbProcedure="false">#REF!</definedName>
    <definedName function="false" hidden="true" name="_bdm.D7866A487AB444C493DF0B61870C6870.edm" vbProcedure="false">#REF!</definedName>
    <definedName function="false" hidden="true" name="_bdm.D7A6E81E3BD045F59FDA267BC03A3C62.edm" vbProcedure="false">#REF!</definedName>
    <definedName function="false" hidden="true" name="_bdm.D7EE71CFFFDA4800AC1B0210099E6013.edm" vbProcedure="false">#REF!</definedName>
    <definedName function="false" hidden="true" name="_bdm.D8FD12FED03A4CC38CCE98769BDE229B.edm" vbProcedure="false">#REF!</definedName>
    <definedName function="false" hidden="true" name="_bdm.D9037BEC4D0F42FD85D3D54A8BE0B2D3.edm" vbProcedure="false">#REF!</definedName>
    <definedName function="false" hidden="true" name="_bdm.D93F073A2895443AA768981F1D53F91C.edm" vbProcedure="false">#REF!</definedName>
    <definedName function="false" hidden="true" name="_bdm.D96858F302744E2CBA10106AED3868AC.edm" vbProcedure="false">#REF!</definedName>
    <definedName function="false" hidden="true" name="_bdm.D997B1CBEED44634B81E7AC27993CD1D.edm" vbProcedure="false">#REF!</definedName>
    <definedName function="false" hidden="true" name="_bdm.D9E6F7E2FBDB4FF6A6D632BFBE3A1A0F.edm" vbProcedure="false">#REF!</definedName>
    <definedName function="false" hidden="true" name="_bdm.DA6C8EBCD7094EC1B3EE8042CCB87AF0.edm" vbProcedure="false">#REF!</definedName>
    <definedName function="false" hidden="true" name="_bdm.DBF8F79D2FE244698C14155A4A3CFA25.edm" vbProcedure="false">#REF!</definedName>
    <definedName function="false" hidden="true" name="_bdm.DC26CD57A3D34C338B71B657C42D8090.edm" vbProcedure="false">#REF!</definedName>
    <definedName function="false" hidden="true" name="_bdm.DC59E11096EA46E583147B64C93DB116.edm" vbProcedure="false">#REF!</definedName>
    <definedName function="false" hidden="true" name="_bdm.DD198B09B29947C4A91036666023904D.edm" vbProcedure="false">#REF!</definedName>
    <definedName function="false" hidden="true" name="_bdm.DE13A75BEF444FEB8CCAD1287D93FC39.edm" vbProcedure="false">#REF!</definedName>
    <definedName function="false" hidden="true" name="_bdm.DEA02B8DB9594F51BA561009BFB2731A.edm" vbProcedure="false">#REF!</definedName>
    <definedName function="false" hidden="true" name="_bdm.E02682C552034E10BC26E2455D758CA2.edm" vbProcedure="false">#REF!</definedName>
    <definedName function="false" hidden="true" name="_bdm.E08AF7EDF6F1450CBCEDAFE6F731DE8E.edm" vbProcedure="false">#REF!</definedName>
    <definedName function="false" hidden="true" name="_bdm.E0A044CDFAB14C31909AD34032FFC27A.edm" vbProcedure="false">#REF!</definedName>
    <definedName function="false" hidden="true" name="_bdm.E1CF26BB2A1C430BAE06A5159699351E.edm" vbProcedure="false">#REF!</definedName>
    <definedName function="false" hidden="true" name="_bdm.E24FA0B24E994683B5D26B4D4B1C6E39.edm" vbProcedure="false">#REF!</definedName>
    <definedName function="false" hidden="true" name="_bdm.E3E97FF38AE849ADBF8024660A3C8714.edm" vbProcedure="false">#REF!</definedName>
    <definedName function="false" hidden="true" name="_bdm.E59407F3CE1B469D821F556E75961908.edm" vbProcedure="false">#REF!</definedName>
    <definedName function="false" hidden="true" name="_bdm.E72208BA69664A8986D206FDDC062899.edm" vbProcedure="false">#REF!</definedName>
    <definedName function="false" hidden="true" name="_bdm.E88EB71D19574FE8A9DF43F9F1515E70.edm" vbProcedure="false">#REF!</definedName>
    <definedName function="false" hidden="true" name="_bdm.E9059C077C5E4681BEE729300697B096.edm" vbProcedure="false">#REF!</definedName>
    <definedName function="false" hidden="true" name="_bdm.E96DA16933A44F4FA04E8DC0350CF178.edm" vbProcedure="false">#REF!</definedName>
    <definedName function="false" hidden="true" name="_bdm.E9F20B094B5C432380706435C3F317BD.edm" vbProcedure="false">#REF!</definedName>
    <definedName function="false" hidden="true" name="_bdm.EAEC9C3D50474F6CA7AEE5FBEDB1FC8E.edm" vbProcedure="false">#REF!</definedName>
    <definedName function="false" hidden="true" name="_bdm.EBC9C4E0F6244A4892D91C8E25ECB064.edm" vbProcedure="false">#REF!</definedName>
    <definedName function="false" hidden="true" name="_bdm.ECA4FCC1175149579C964E9BFBA0946F.edm" vbProcedure="false">#REF!</definedName>
    <definedName function="false" hidden="true" name="_bdm.ECFCEDA84A4F4AE7BFB60B5705D59FA4.edm" vbProcedure="false">#REF!</definedName>
    <definedName function="false" hidden="true" name="_bdm.ED384B7EF5F941F6ADF4883A79A8F240.edm" vbProcedure="false">#REF!</definedName>
    <definedName function="false" hidden="true" name="_bdm.ED5C45D4EBCF42AAA574E7F83783DB16.edm" vbProcedure="false">#REF!</definedName>
    <definedName function="false" hidden="true" name="_bdm.ED715F2540794D9B8E0C8355A29ACF7C.edm" vbProcedure="false">#REF!</definedName>
    <definedName function="false" hidden="true" name="_bdm.ED7912AC909844EC95C9EA1AEB12EA25.edm" vbProcedure="false">#REF!</definedName>
    <definedName function="false" hidden="true" name="_bdm.ED7FD5E25DD740199082F12BDF460C28.edm" vbProcedure="false">#REF!</definedName>
    <definedName function="false" hidden="true" name="_bdm.EDDDE303DB6042A7A2AFAF04708371B2.edm" vbProcedure="false">#REF!</definedName>
    <definedName function="false" hidden="true" name="_bdm.EF04E9344B5F4A0B814AADBD0AD95363.edm" vbProcedure="false">#REF!</definedName>
    <definedName function="false" hidden="true" name="_bdm.EF7FD2C37D354A8FAB6759BD2F5F82E1.edm" vbProcedure="false">#REF!</definedName>
    <definedName function="false" hidden="true" name="_bdm.EFEE59572EB94C23B609CC461DA22CFD.edm" vbProcedure="false">#REF!</definedName>
    <definedName function="false" hidden="true" name="_bdm.F036D26E6177415F8BD10517B5DF651E.edm" vbProcedure="false">#REF!</definedName>
    <definedName function="false" hidden="true" name="_bdm.F158AD8585DE41D6BB706741D00B8FEA.edm" vbProcedure="false">#REF!</definedName>
    <definedName function="false" hidden="true" name="_bdm.F17CC758ADBC4F7AB39097771E7085F1.edm" vbProcedure="false">#REF!</definedName>
    <definedName function="false" hidden="true" name="_bdm.F1848CF655A24B649FB4BA7E6F72B24D.edm" vbProcedure="false">#REF!</definedName>
    <definedName function="false" hidden="true" name="_bdm.F1904A2A9F9A4DA6B72749FDDCFFC0B0.edm" vbProcedure="false">#REF!</definedName>
    <definedName function="false" hidden="true" name="_bdm.F1CC71DB0ABD45E79622486C7591ECBF.edm" vbProcedure="false">#REF!</definedName>
    <definedName function="false" hidden="true" name="_bdm.F296A185EB7949318A9D02702AD41721.edm" vbProcedure="false">#REF!</definedName>
    <definedName function="false" hidden="true" name="_bdm.F33BD566F8114135BDAF818B7D8BF681.edm" vbProcedure="false">#REF!</definedName>
    <definedName function="false" hidden="true" name="_bdm.F5013502BB33475987B52B0E58F635C8.edm" vbProcedure="false">#REF!</definedName>
    <definedName function="false" hidden="true" name="_bdm.F52D112DB8DF469F890973278C701DD1.edm" vbProcedure="false">#REF!</definedName>
    <definedName function="false" hidden="true" name="_bdm.F5381A4563D54AB3ADB5AB3336923A4B.edm" vbProcedure="false">#REF!</definedName>
    <definedName function="false" hidden="true" name="_bdm.F58EC808EF7B4C3884BAA1DBFEEE81F5.edm" vbProcedure="false">#REF!</definedName>
    <definedName function="false" hidden="true" name="_bdm.F5BE2744AC11475CAC362EE7D038A280.edm" vbProcedure="false">#REF!</definedName>
    <definedName function="false" hidden="true" name="_bdm.F5D2E35AAEBD432DB25543ABA8C05ADF.edm" vbProcedure="false">#REF!</definedName>
    <definedName function="false" hidden="true" name="_bdm.F5D98B4808264048934A0E8CCABAE730.edm" vbProcedure="false">#REF!</definedName>
    <definedName function="false" hidden="true" name="_bdm.F5EF5999F67B47A3BAE3E4C1512193BB.edm" vbProcedure="false">#REF!</definedName>
    <definedName function="false" hidden="true" name="_bdm.F69FBDB7BCA94DF0A522DE00D0BB7ED9.edm" vbProcedure="false">#REF!</definedName>
    <definedName function="false" hidden="true" name="_bdm.F801C78F06134DBDA3240FC7D7B01019.edm" vbProcedure="false">#REF!</definedName>
    <definedName function="false" hidden="true" name="_bdm.F982B25943F2477A8C5790E92BCD6090.edm" vbProcedure="false">#REF!</definedName>
    <definedName function="false" hidden="true" name="_bdm.F9C5C6F8F39E47FABE65D2F9B40626CE.edm" vbProcedure="false">#REF!</definedName>
    <definedName function="false" hidden="true" name="_bdm.FA71987509654501A8D46F5AEFDBECE3.edm" vbProcedure="false">#REF!</definedName>
    <definedName function="false" hidden="true" name="_bdm.FA91808AD7BA40B2BB607626DA0D0D9C.edm" vbProcedure="false">#REF!</definedName>
    <definedName function="false" hidden="true" name="_bdm.FastTrackBookmark.2_11_2013_6_34_24_PM.edm" vbProcedure="false">#REF!</definedName>
    <definedName function="false" hidden="true" name="_bdm.FastTrackBookmark.3_25_2007_12_17_45_PM.edm" vbProcedure="false">#REF!</definedName>
    <definedName function="false" hidden="true" name="_bdm.FBB2FA84F8594108BA62138DAE9D6BC5.edm" vbProcedure="false">#REF!</definedName>
    <definedName function="false" hidden="true" name="_bdm.FC2E308D536A460090AB075542B0147E.edm" vbProcedure="false">#REF!</definedName>
    <definedName function="false" hidden="true" name="_bdm.FE617C93C384410184937574688E6C1C.edm" vbProcedure="false">#REF!</definedName>
    <definedName function="false" hidden="true" name="_bdm.FECF881F1117400CA18091261E8714CB.edm" vbProcedure="false">#REF!</definedName>
    <definedName function="false" hidden="true" name="_BUDGET" vbProcedure="false">#REF!</definedName>
    <definedName function="false" hidden="true" name="_Budget_for_Measure" vbProcedure="false">#REF!</definedName>
    <definedName function="false" hidden="true" name="_CAP10" vbProcedure="false">{"LC",#N/A,FALSE,"FC-15 Cap Expend"}</definedName>
    <definedName function="false" hidden="true" name="_DDD" vbProcedure="false">#REF!</definedName>
    <definedName function="false" hidden="true" name="_Dist_Values" vbProcedure="false">#REF!</definedName>
    <definedName function="false" hidden="true" name="_Dist_Values1" vbProcedure="false">#REF!</definedName>
    <definedName function="false" hidden="true" name="_DP6434" vbProcedure="false">{"TOTALDPAK",#N/A,FALSE,"DPAK PRODUCTION";"HADPAK",#N/A,FALSE,"DPAK PRODUCTION";"PSIDPAK",#N/A,FALSE,"DPAK PRODUCTION"}</definedName>
    <definedName function="false" hidden="true" name="_dro1" vbProcedure="false">{#N/A,#N/A,FALSE,"Cosmos Report"}</definedName>
    <definedName function="false" hidden="true" name="_dro2" vbProcedure="false">{#N/A,#N/A,FALSE,"Cosmos Report"}</definedName>
    <definedName function="false" hidden="false" name="_DV_C11_7" vbProcedure="false">#REF!</definedName>
    <definedName function="false" hidden="true" name="_FA16434" vbProcedure="false">{"TOTALFAB",#N/A,FALSE,"WAFER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function="false" hidden="true" name="_FA2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FA9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FAC6434" vbProcedure="false">{"TOTAL",#N/A,FALSE,"FACILITIES EXPENSE";"TOTALDETAIL",#N/A,FALSE,"FACILITIES EXPENSE";"MATERIALS",#N/A,FALSE,"FACILITIES EXPENSE";"FACILITIES",#N/A,FALSE,"FACILITIES EXPENSE";"CHEM",#N/A,FALSE,"FACILITIES EXPENSE";"GENSVC",#N/A,FALSE,"FACILITIES EXPENSE";"SAFETY",#N/A,FALSE,"FACILITIES EXPENSE"}</definedName>
    <definedName function="false" hidden="false" name="_FDS2" vbProcedure="false">{"bs",#N/A,FALSE,"SCF"}</definedName>
    <definedName function="false" hidden="true" name="_Fill" vbProcedure="false">#REF!</definedName>
    <definedName function="false" hidden="true" name="_Filll2" vbProcedure="false">#REF!</definedName>
    <definedName function="false" hidden="true" name="_filter" vbProcedure="false">#REF!</definedName>
    <definedName function="false" hidden="true" name="_for_YTD_Year" vbProcedure="false">#REF!</definedName>
    <definedName function="false" hidden="false" name="_fy97" vbProcedure="false">{#N/A,#N/A,FALSE,"FY97";#N/A,#N/A,FALSE,"FY98";#N/A,#N/A,FALSE,"FY99";#N/A,#N/A,FALSE,"FY00";#N/A,#N/A,FALSE,"FY01"}</definedName>
    <definedName function="false" hidden="false" name="_hhh9" vbProcedure="false">{#N/A,#N/A,FALSE,"MAY";#N/A,#N/A,FALSE,"Q2";#N/A,#N/A,FALSE,"YTD"}</definedName>
    <definedName function="false" hidden="true" name="_Key1" vbProcedure="false">#REF!</definedName>
    <definedName function="false" hidden="true" name="_Key2" vbProcedure="false">#REF!</definedName>
    <definedName function="false" hidden="true" name="_key3" vbProcedure="false">#REF!</definedName>
    <definedName function="false" hidden="true" name="_LASTYEAR" vbProcedure="false">#REF!</definedName>
    <definedName function="false" hidden="false" name="_LY2" vbProcedure="false">#REF!</definedName>
    <definedName function="false" hidden="true" name="_new2" vbProcedure="false">{"FY97Q1 nvs",#N/A,FALSE,"FY97 - Q1";"FY97Q2 nvs",#N/A,FALSE,"FY97 - Q2";"FY97Q3 nvs",#N/A,FALSE,"FY97 - Q3";"FY97Q4 nvs",#N/A,FALSE,"FY97 - Q4"}</definedName>
    <definedName function="false" hidden="true" name="_new3" vbProcedure="false">{"FY98Q1 nvs",#N/A,FALSE,"FY98 - Q1";"FY98Q2 nvs",#N/A,FALSE,"FY98 - Q2";"FY98Q3 nvs",#N/A,FALSE,"FY98 - Q3";"FY98Q4 nvs",#N/A,FALSE,"FY98 - Q4"}</definedName>
    <definedName function="false" hidden="true" name="_new4" vbProcedure="false">{"INPUT",#N/A,FALSE,"REVENUE AND GM ";"CONTROL",#N/A,FALSE,"REVENUE AND GM ";"SWITCH",#N/A,FALSE,"REVENUE AND GM ";"OUTPUT",#N/A,FALSE,"REVENUE AND GM ";"TOTAL",#N/A,FALSE,"REVENUE AND GM "}</definedName>
    <definedName function="false" hidden="true" name="_new5" vbProcedure="false">{"FY97Total",#N/A,FALSE,"FY97 - Total";"FY98Total",#N/A,FALSE,"FY98 - Total"}</definedName>
    <definedName function="false" hidden="true" name="_new6" vbProcedure="false">{"FY97Q1",#N/A,FALSE,"FY97 - Q1";"FY97Q2",#N/A,FALSE,"FY97 - Q2";"FY97Q3",#N/A,FALSE,"FY97 - Q3";"FY97Q4",#N/A,FALSE,"FY97 - Q4"}</definedName>
    <definedName function="false" hidden="false" name="_OHM1" vbProcedure="false">#REF!</definedName>
    <definedName function="false" hidden="false" name="_OHM10" vbProcedure="false">#REF!</definedName>
    <definedName function="false" hidden="false" name="_OHM11" vbProcedure="false">#REF!</definedName>
    <definedName function="false" hidden="false" name="_OHM12" vbProcedure="false">#REF!</definedName>
    <definedName function="false" hidden="false" name="_OHM2" vbProcedure="false">#REF!</definedName>
    <definedName function="false" hidden="false" name="_OHM3" vbProcedure="false">#REF!</definedName>
    <definedName function="false" hidden="false" name="_OHM4" vbProcedure="false">#REF!</definedName>
    <definedName function="false" hidden="false" name="_OHM5" vbProcedure="false">#REF!</definedName>
    <definedName function="false" hidden="false" name="_OHM6" vbProcedure="false">#REF!</definedName>
    <definedName function="false" hidden="false" name="_OHM7" vbProcedure="false">#REF!</definedName>
    <definedName function="false" hidden="false" name="_OHM8" vbProcedure="false">#REF!</definedName>
    <definedName function="false" hidden="false" name="_OHM9" vbProcedure="false">#REF!</definedName>
    <definedName function="false" hidden="false" name="_OM1" vbProcedure="false">#REF!</definedName>
    <definedName function="false" hidden="false" name="_OM2" vbProcedure="false">#REF!</definedName>
    <definedName function="false" hidden="false" name="_OM3" vbProcedure="false">#REF!</definedName>
    <definedName function="false" hidden="false" name="_OM4" vbProcedure="false">#REF!</definedName>
    <definedName function="false" hidden="false" name="_Order1" vbProcedure="false">255</definedName>
    <definedName function="false" hidden="false" name="_Order2" vbProcedure="false">255</definedName>
    <definedName function="false" hidden="true" name="_P00balance_sheet_2" vbProcedure="false">#REF!</definedName>
    <definedName function="false" hidden="true" name="_P00DCF_Summary" vbProcedure="false">#REF!</definedName>
    <definedName function="false" hidden="true" name="_P00drivers_quarterly" vbProcedure="false">#REF!</definedName>
    <definedName function="false" hidden="true" name="_P00finacials_quarterly_nots" vbProcedure="false">#REF!</definedName>
    <definedName function="false" hidden="true" name="_P00financials_quarterly" vbProcedure="false">#REF!</definedName>
    <definedName function="false" hidden="true" name="_P00yearly2" vbProcedure="false">#REF!</definedName>
    <definedName function="false" hidden="true" name="_Parse_In" vbProcedure="false">#REF!</definedName>
    <definedName function="false" hidden="true" name="_Parse_Out" vbProcedure="false">#REF!</definedName>
    <definedName function="false" hidden="true" name="_pcSlicerSheet10_Slicer1" vbProcedure="false">#REF!</definedName>
    <definedName function="false" hidden="true" name="_pcSlicerSheet10_Slicer2" vbProcedure="false">#REF!</definedName>
    <definedName function="false" hidden="true" name="_pcSlicerSheet11_Slicer1" vbProcedure="false">#REF!</definedName>
    <definedName function="false" hidden="true" name="_pcSlicerSheet11_Slicer2" vbProcedure="false">#REF!</definedName>
    <definedName function="false" hidden="true" name="_pcSlicerSheet12_Slicer1" vbProcedure="false">#REF!</definedName>
    <definedName function="false" hidden="true" name="_pcSlicerSheet12_Slicer2" vbProcedure="false">#REF!</definedName>
    <definedName function="false" hidden="true" name="_pcSlicerSheet13_Slicer1" vbProcedure="false">#REF!</definedName>
    <definedName function="false" hidden="true" name="_pcSlicerSheet13_Slicer2" vbProcedure="false">#REF!</definedName>
    <definedName function="false" hidden="true" name="_pcSlicerSheet14_Slicer1" vbProcedure="false">#REF!</definedName>
    <definedName function="false" hidden="true" name="_pcSlicerSheet14_Slicer2" vbProcedure="false">#REF!</definedName>
    <definedName function="false" hidden="true" name="_pcSlicerSheet15_Slicer1" vbProcedure="false">#REF!</definedName>
    <definedName function="false" hidden="true" name="_pcSlicerSheet15_Slicer2" vbProcedure="false">#REF!</definedName>
    <definedName function="false" hidden="true" name="_pcSlicerSheet16_Slicer1" vbProcedure="false">#REF!</definedName>
    <definedName function="false" hidden="true" name="_pcSlicerSheet16_Slicer2" vbProcedure="false">#REF!</definedName>
    <definedName function="false" hidden="true" name="_pcSlicerSheet17_Slicer1" vbProcedure="false">#REF!</definedName>
    <definedName function="false" hidden="true" name="_pcSlicerSheet17_Slicer2" vbProcedure="false">#REF!</definedName>
    <definedName function="false" hidden="true" name="_pcSlicerSheet18_Slicer1" vbProcedure="false">#REF!</definedName>
    <definedName function="false" hidden="true" name="_pcSlicerSheet18_Slicer2" vbProcedure="false">#REF!</definedName>
    <definedName function="false" hidden="true" name="_pcSlicerSheet19_Slicer1" vbProcedure="false">#REF!</definedName>
    <definedName function="false" hidden="true" name="_pcSlicerSheet19_Slicer2" vbProcedure="false">#REF!</definedName>
    <definedName function="false" hidden="true" name="_pcSlicerSheet1_Slicer1" vbProcedure="false">#REF!</definedName>
    <definedName function="false" hidden="true" name="_pcSlicerSheet1_Slicer2" vbProcedure="false">#REF!</definedName>
    <definedName function="false" hidden="true" name="_pcSlicerSheet20_Slicer1" vbProcedure="false">#REF!</definedName>
    <definedName function="false" hidden="true" name="_pcSlicerSheet20_Slicer2" vbProcedure="false">#REF!</definedName>
    <definedName function="false" hidden="true" name="_pcSlicerSheet21_Slicer1" vbProcedure="false">#REF!</definedName>
    <definedName function="false" hidden="true" name="_pcSlicerSheet21_Slicer2" vbProcedure="false">#REF!</definedName>
    <definedName function="false" hidden="true" name="_pcSlicerSheet22_Slicer1" vbProcedure="false">#REF!</definedName>
    <definedName function="false" hidden="true" name="_pcSlicerSheet22_Slicer2" vbProcedure="false">#REF!</definedName>
    <definedName function="false" hidden="true" name="_pcSlicerSheet2_Slicer1" vbProcedure="false">#REF!</definedName>
    <definedName function="false" hidden="true" name="_pcSlicerSheet2_Slicer2" vbProcedure="false">#REF!</definedName>
    <definedName function="false" hidden="true" name="_pcSlicerSheet3_Slicer1" vbProcedure="false">#REF!</definedName>
    <definedName function="false" hidden="true" name="_pcSlicerSheet3_Slicer2" vbProcedure="false">#REF!</definedName>
    <definedName function="false" hidden="true" name="_pcSlicerSheet4_Slicer1" vbProcedure="false">#REF!</definedName>
    <definedName function="false" hidden="true" name="_pcSlicerSheet4_Slicer2" vbProcedure="false">#REF!</definedName>
    <definedName function="false" hidden="true" name="_pcSlicerSheet5_Slicer1" vbProcedure="false">#REF!</definedName>
    <definedName function="false" hidden="true" name="_pcSlicerSheet5_Slicer2" vbProcedure="false">#REF!</definedName>
    <definedName function="false" hidden="true" name="_pcSlicerSheet6_Slicer1" vbProcedure="false">#REF!</definedName>
    <definedName function="false" hidden="true" name="_pcSlicerSheet6_Slicer2" vbProcedure="false">#REF!</definedName>
    <definedName function="false" hidden="true" name="_pcSlicerSheet7_Slicer1" vbProcedure="false">#REF!</definedName>
    <definedName function="false" hidden="true" name="_pcSlicerSheet7_Slicer2" vbProcedure="false">#REF!</definedName>
    <definedName function="false" hidden="true" name="_pcSlicerSheet8_Slicer1" vbProcedure="false">#REF!</definedName>
    <definedName function="false" hidden="true" name="_pcSlicerSheet8_Slicer2" vbProcedure="false">#REF!</definedName>
    <definedName function="false" hidden="true" name="_pcSlicerSheet9_Slicer1" vbProcedure="false">#REF!</definedName>
    <definedName function="false" hidden="true" name="_pcSlicerSheet9_Slicer2" vbProcedure="false">#REF!</definedName>
    <definedName function="false" hidden="true" name="_pcSlicerSheet_Slicer1" vbProcedure="false">#REF!</definedName>
    <definedName function="false" hidden="true" name="_pcSlicerSheet_Slicer2" vbProcedure="false">#REF!</definedName>
    <definedName function="false" hidden="false" name="_PM1" vbProcedure="false">#REF!</definedName>
    <definedName function="false" hidden="false" name="_PM2" vbProcedure="false">#REF!</definedName>
    <definedName function="false" hidden="false" name="_PM3" vbProcedure="false">#REF!</definedName>
    <definedName function="false" hidden="true" name="_PROGNOSIS" vbProcedure="false">#REF!</definedName>
    <definedName function="false" hidden="true" name="_q1" vbProcedure="false">{"rfcjan",#N/A,FALSE,"Stats"}</definedName>
    <definedName function="false" hidden="true" name="_q2" vbProcedure="false">{"rfcjan",#N/A,FALSE,"Stats"}</definedName>
    <definedName function="false" hidden="true" name="_q3" vbProcedure="false">{"rfcjan",#N/A,FALSE,"Stats"}</definedName>
    <definedName function="false" hidden="false" name="_Qcmpsplus" vbProcedure="false">{"page 1";"page 2";"summary";"notes";"source"}</definedName>
    <definedName function="false" hidden="false" name="_Qprescomps" vbProcedure="false">{"page 1";"page 2";"notes";"summary"}</definedName>
    <definedName function="false" hidden="true" name="_QR6434" vbProcedure="false">{"QAEXPENSE",#N/A,FALSE,"QUALITY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function="false" hidden="false" name="_Regression_Int" vbProcedure="false">1</definedName>
    <definedName function="false" hidden="true" name="_Regression_Out" vbProcedure="false">#REF!</definedName>
    <definedName function="false" hidden="true" name="_Regression_X" vbProcedure="false">#REF!</definedName>
    <definedName function="false" hidden="true" name="_Regression_Y" vbProcedure="false">#REF!</definedName>
    <definedName function="false" hidden="false" name="_Report" vbProcedure="false">{"p1";"p2";"analys";"covrge";"notes";"page 1";"page 2";"page1";"roea";"source";"source2";"summary"}</definedName>
    <definedName function="false" hidden="true" name="_Rf_Feb_Act_for_YTD" vbProcedure="false">#REF!</definedName>
    <definedName function="false" hidden="true" name="_Rf_Oct_Act_for_2003_YTD" vbProcedure="false">#REF!</definedName>
    <definedName function="false" hidden="true" name="_Sort" vbProcedure="false">#REF!</definedName>
    <definedName function="false" hidden="true" name="_Sort1" vbProcedure="false">#REF!</definedName>
    <definedName function="false" hidden="true" name="_Sort2" vbProcedure="false">#REF!</definedName>
    <definedName function="false" hidden="false" name="_S_Base" vbProcedure="false">{0.1;0;0.382758620689655;0;0;0;0.258620689655172;0;0.258620689655172}</definedName>
    <definedName function="false" hidden="false" name="_S_new_case" vbProcedure="false">{0.1;0;0.45;0;0;0;0;0;0.45}</definedName>
    <definedName function="false" hidden="true" name="_Table1_In1" vbProcedure="false">#REF!</definedName>
    <definedName function="false" hidden="true" name="_Table1_Out" vbProcedure="false">#REF!</definedName>
    <definedName function="false" hidden="true" name="_Table2_In1" vbProcedure="false">#REF!</definedName>
    <definedName function="false" hidden="true" name="_Table2_In2" vbProcedure="false">#REF!</definedName>
    <definedName function="false" hidden="true" name="_Table2_Out" vbProcedure="false">#REF!</definedName>
    <definedName function="false" hidden="true" name="_Table3_In2" vbProcedure="false">#REF!</definedName>
    <definedName function="false" hidden="true" name="_Table3_Out" vbProcedure="false">#REF!</definedName>
    <definedName function="false" hidden="true" name="_TEM6434" vbProcedure="false">{"ALLOCATION1",#N/A,FALSE,"EXPENSE ALLOCATIONS";"ALLOCATION2",#N/A,FALSE,"EXPENSE ALLOCATIONS";"ALLOCATION3",#N/A,FALSE,"EXPENSE ALLOCATIONS";"ALLOCATION4",#N/A,FALSE,"EXPENSE ALLOCATIONS"}</definedName>
    <definedName function="false" hidden="false" name="_uuu11" vbProcedure="false">{#N/A,#N/A,FALSE,"MAY";#N/A,#N/A,FALSE,"Q2";#N/A,#N/A,FALSE,"YTD"}</definedName>
    <definedName function="false" hidden="false" name="_wrn1" vbProcedure="false">{#N/A,#N/A,FALSE,"DCF";#N/A,#N/A,FALSE,"WACC";#N/A,#N/A,FALSE,"Sales_EBIT";#N/A,#N/A,FALSE,"Capex_Depreciation";#N/A,#N/A,FALSE,"WC";#N/A,#N/A,FALSE,"Interest";#N/A,#N/A,FALSE,"Assumptions"}</definedName>
    <definedName function="false" hidden="false" name="_xlcn.DiscrimMatchOutputSheet" vbProcedure="false">#REF!</definedName>
    <definedName function="false" hidden="false" name="_xlcn.EmpCont" vbProcedure="false">#REF!</definedName>
    <definedName function="false" hidden="false" name="_xlcn.LinkedTable_ADA_Code_Lookup" vbProcedure="false">#REF!</definedName>
    <definedName function="false" hidden="false" name="_xlcn.LinkedTable_AdjustableScrapRate" vbProcedure="false">#REF!</definedName>
    <definedName function="false" hidden="false" name="_xlcn.LinkedTable_AdjustableScrapRate1" vbProcedure="false">#REF!</definedName>
    <definedName function="false" hidden="false" name="_xlcn.LinkedTable_AdjustmentType" vbProcedure="false">#REF!</definedName>
    <definedName function="false" hidden="false" name="_xlcn.LinkedTable_BASE_lic_orders" vbProcedure="false">#REF!</definedName>
    <definedName function="false" hidden="false" name="_xlcn.LinkedTable_CapitationIndicator" vbProcedure="false">#REF!</definedName>
    <definedName function="false" hidden="false" name="_xlcn.LinkedTable_ChangeAssumptions" vbProcedure="false">#REF!</definedName>
    <definedName function="false" hidden="false" name="_xlcn.LinkedTable_ChangeAssumptions1" vbProcedure="false">#REF!</definedName>
    <definedName function="false" hidden="false" name="_xlcn.LinkedTable_Comm_Prod" vbProcedure="false">#REF!</definedName>
    <definedName function="false" hidden="false" name="_xlcn.LinkedTable_Confidence" vbProcedure="false">#REF!</definedName>
    <definedName function="false" hidden="false" name="_xlcn.LinkedTable_Confidence1" vbProcedure="false">#REF!</definedName>
    <definedName function="false" hidden="false" name="_xlcn.LinkedTable_Cust.Tenure" vbProcedure="false">#REF!</definedName>
    <definedName function="false" hidden="false" name="_xlcn.LinkedTable_d.MDCSKULT" vbProcedure="false">#REF!</definedName>
    <definedName function="false" hidden="false" name="_xlcn.LinkedTable_d.MDCSKULT1" vbProcedure="false">#REF!</definedName>
    <definedName function="false" hidden="false" name="_xlcn.LinkedTable_IncreaseinRentals" vbProcedure="false">#REF!</definedName>
    <definedName function="false" hidden="false" name="_xlcn.LinkedTable_IncreaseinRentals1" vbProcedure="false">#REF!</definedName>
    <definedName function="false" hidden="false" name="_xlcn.LinkedTable_InvisalignIndicator" vbProcedure="false">#REF!</definedName>
    <definedName function="false" hidden="false" name="_xlcn.LinkedTable_Map_MDCs" vbProcedure="false">#REF!</definedName>
    <definedName function="false" hidden="false" name="_xlcn.LinkedTable_Map_MDCs1" vbProcedure="false">#REF!</definedName>
    <definedName function="false" hidden="false" name="_xlcn.LinkedTable_MetrocareID" vbProcedure="false">#REF!</definedName>
    <definedName function="false" hidden="false" name="_xlcn.LinkedTable_MetrocareIndicator" vbProcedure="false">#REF!</definedName>
    <definedName function="false" hidden="false" name="_xlcn.LinkedTable_OfficeLookup" vbProcedure="false">#REF!</definedName>
    <definedName function="false" hidden="false" name="_xlcn.LinkedTable_OrthoIndicator" vbProcedure="false">#REF!</definedName>
    <definedName function="false" hidden="false" name="_xlcn.LinkedTable_OrthoStartDates" vbProcedure="false">#REF!</definedName>
    <definedName function="false" hidden="false" name="_xlcn.LinkedTable_Ortho_PatientLookup" vbProcedure="false">#REF!</definedName>
    <definedName function="false" hidden="false" name="_xlcn.LinkedTable_PayorIndicator" vbProcedure="false">#REF!</definedName>
    <definedName function="false" hidden="false" name="_xlcn.LinkedTable_PayorList" vbProcedure="false">#REF!</definedName>
    <definedName function="false" hidden="false" name="_xlcn.LinkedTable_PmtDescrDOS" vbProcedure="false">#REF!</definedName>
    <definedName function="false" hidden="false" name="_xlcn.LinkedTable_RevenueGroup" vbProcedure="false">#REF!</definedName>
    <definedName function="false" hidden="false" name="_xlcn.LinkedTable_SROTypes" vbProcedure="false">#REF!</definedName>
    <definedName function="false" hidden="false" name="_xlcn.LinkedTable_SROTypes1" vbProcedure="false">#REF!</definedName>
    <definedName function="false" hidden="false" name="_xlcn.LinkedTable_Table1" vbProcedure="false">#REF!</definedName>
    <definedName function="false" hidden="false" name="_xlcn.LinkedTable_Table11" vbProcedure="false">#REF!</definedName>
    <definedName function="false" hidden="false" name="_xlcn.LinkedTable_Table12" vbProcedure="false">#REF!</definedName>
    <definedName function="false" hidden="false" name="_xlcn.LinkedTable_Table15" vbProcedure="false">#REF!</definedName>
    <definedName function="false" hidden="false" name="_xlcn.LinkedTable_Table2" vbProcedure="false">#REF!</definedName>
    <definedName function="false" hidden="false" name="_xlcn.LinkedTable_Table21" vbProcedure="false">#REF!</definedName>
    <definedName function="false" hidden="false" name="_xlcn.LinkedTable_Table24" vbProcedure="false">#REF!</definedName>
    <definedName function="false" hidden="false" name="_xlcn.LinkedTable_Table3" vbProcedure="false">#REF!</definedName>
    <definedName function="false" hidden="false" name="_xlcn.LinkedTable_Table31" vbProcedure="false">#REF!</definedName>
    <definedName function="false" hidden="false" name="_xlcn.LinkedTable_Table4" vbProcedure="false">#REF!</definedName>
    <definedName function="false" hidden="false" name="_xlcn.LinkedTable_Table41" vbProcedure="false">#REF!</definedName>
    <definedName function="false" hidden="false" name="_xlcn.LinkedTable_Table5" vbProcedure="false">#REF!</definedName>
    <definedName function="false" hidden="false" name="_xlcn.LinkedTable_Table51" vbProcedure="false">#REF!</definedName>
    <definedName function="false" hidden="false" name="_xlcn.LinkedTable_Table57" vbProcedure="false">#REF!</definedName>
    <definedName function="false" hidden="false" name="_xlcn.LinkedTable_Table6" vbProcedure="false">#REF!</definedName>
    <definedName function="false" hidden="false" name="_xlcn.LinkedTable_Table61" vbProcedure="false">#REF!</definedName>
    <definedName function="false" hidden="false" name="_xlcn.LinkedTable_Table7" vbProcedure="false">#REF!</definedName>
    <definedName function="false" hidden="false" name="_xlcn.LinkedTable_Table8" vbProcedure="false">#REF!</definedName>
    <definedName function="false" hidden="false" name="_xlcn.LinkedTable_Table9" vbProcedure="false">#REF!</definedName>
    <definedName function="false" hidden="false" name="_xlcn.LinkedTable_tb_AllJobs" vbProcedure="false">#REF!</definedName>
    <definedName function="false" hidden="false" name="_xlcn.LinkedTable_tb_ChargeType" vbProcedure="false">#REF!</definedName>
    <definedName function="false" hidden="false" name="_xlcn.LinkedTable_tb_DirectHrs" vbProcedure="false">#REF!</definedName>
    <definedName function="false" hidden="false" name="_xlcn.LinkedTable_tb_Divest" vbProcedure="false">#REF!</definedName>
    <definedName function="false" hidden="false" name="_xlcn.LinkedTable_tb_DivestEmpl" vbProcedure="false">#REF!</definedName>
    <definedName function="false" hidden="false" name="_xlcn.LinkedTable_tb_NonDirectHrs" vbProcedure="false">#REF!</definedName>
    <definedName function="false" hidden="false" name="_xlcn.LinkedTable_tb_OrgMap" vbProcedure="false">#REF!</definedName>
    <definedName function="false" hidden="false" name="_xlcn.LinkedTable_tb_Workday" vbProcedure="false">#REF!</definedName>
    <definedName function="false" hidden="false" name="_xlcn.LinkedTable_UniqueClaimID_List" vbProcedure="false">#REF!</definedName>
    <definedName function="false" hidden="false" name="_xlcn.WorksheetConnection_0000APImportOct2012v2.xlsxTable71" vbProcedure="false">#REF!</definedName>
    <definedName function="false" hidden="false" name="_xlcn.WorksheetConnection_2014CONSOLIDATEDFINANCIALSTATEMENTS2014.xlsmPTE_TB" vbProcedure="false">#REF!</definedName>
    <definedName function="false" hidden="false" name="_xlcn.WorksheetConnection_2014CONSOLIDATEDFINANCIALSTATEMENTS2014.xlsmTable_Query_from_QuickBooks_Data" vbProcedure="false">#REF!</definedName>
    <definedName function="false" hidden="false" name="_xlcn.WorksheetConnection_2014CONSOLIDATEDFINANCIALSTATEMENTS2014.xlsmTable_Query_from_QuickBooks_Data14" vbProcedure="false">#REF!</definedName>
    <definedName function="false" hidden="false" name="_xlcn.WorksheetConnection_2014CONSOLIDATEDFINANCIALSTATEMENTS2014.xlsmTable_Query_from_QuickBooks_Data16" vbProcedure="false">#REF!</definedName>
    <definedName function="false" hidden="false" name="_xlcn.WorksheetConnection_2016A2AI221138" vbProcedure="false">#REF!</definedName>
    <definedName function="false" hidden="false" name="_xlcn.WorksheetConnection_2019A2AI112197" vbProcedure="false">#REF!</definedName>
    <definedName function="false" hidden="false" name="_xlcn.WorksheetConnection_2019A2AI88838" vbProcedure="false">#REF!</definedName>
    <definedName function="false" hidden="false" name="_xlcn.WorksheetConnection_AttainVATODBC2013.11.xlsmBANK" vbProcedure="false">#REF!</definedName>
    <definedName function="false" hidden="false" name="_xlcn.WorksheetConnection_AttainVATODBC2013.11.xlsmCURRENCY" vbProcedure="false">#REF!</definedName>
    <definedName function="false" hidden="false" name="_xlcn.WorksheetConnection_Book2Table21" vbProcedure="false">#REF!</definedName>
    <definedName function="false" hidden="false" name="_xlcn.WorksheetConnection_BookingsDatabase1_1_124_12_19.xlsxTable11" vbProcedure="false">#REF!</definedName>
    <definedName function="false" hidden="false" name="_xlcn.WorksheetConnection_Conformwk.xlsmPastedTemplateData" vbProcedure="false">#REF!</definedName>
    <definedName function="false" hidden="false" name="_xlcn.WorksheetConnection_DataA1AO131" vbProcedure="false">#REF!</definedName>
    <definedName function="false" hidden="false" name="_xlcn.WorksheetConnection_DataB3BE18261" vbProcedure="false">#REF!</definedName>
    <definedName function="false" hidden="false" name="_xlcn.WorksheetConnection_DetailA2O2663" vbProcedure="false">#REF!</definedName>
    <definedName function="false" hidden="false" name="_xlcn.WorksheetConnection_IndustryPowerPivotModelUpdatedFY2017.xlsxNew_Logos_20171" vbProcedure="false">#REF!</definedName>
    <definedName function="false" hidden="false" name="_xlcn.WorksheetConnection_InvoicedRevenuebyClientTypeMonth20142017.xlsxTable11" vbProcedure="false">#REF!</definedName>
    <definedName function="false" hidden="false" name="_xlcn.WorksheetConnection_ModifiedKindfulPaymentVo2P4AG58175" vbProcedure="false">#REF!</definedName>
    <definedName function="false" hidden="false" name="_xlcn.WorksheetConnection_PCDatabase.xlsxProjectCodes1" vbProcedure="false">#REF!</definedName>
    <definedName function="false" hidden="false" name="_xlcn.WorksheetConnection_PCDatabase.xlsxProjListDataUpdates1" vbProcedure="false">#REF!</definedName>
    <definedName function="false" hidden="false" name="_xlcn.WorksheetConnection_PersonnelRecategorization.xlsxTable1" vbProcedure="false">#REF!</definedName>
    <definedName function="false" hidden="false" name="_xlcn.WorksheetConnection_PersonnelRecategorization.xlsxTable11" vbProcedure="false">#REF!</definedName>
    <definedName function="false" hidden="false" name="_xlcn.WorksheetConnection_PersonnelRecategorization.xlsxTable13" vbProcedure="false">#REF!</definedName>
    <definedName function="false" hidden="false" name="_xlcn.WorksheetConnection_PersonnelRecategorization.xlsxTable131" vbProcedure="false">#REF!</definedName>
    <definedName function="false" hidden="false" name="_xlcn.WorksheetConnection_PersonnelRecategorization.xlsxTable381" vbProcedure="false">#REF!</definedName>
    <definedName function="false" hidden="false" name="_xlcn.WorksheetConnection_Renewalratecheck.xlsxTable1" vbProcedure="false">#REF!</definedName>
    <definedName function="false" hidden="false" name="_xlcn.WorksheetConnection_report1531338122379.xlsxTable31" vbProcedure="false">#REF!</definedName>
    <definedName function="false" hidden="false" name="_xlcn.WorksheetConnection_report1531338122379.xlsxTable41" vbProcedure="false">#REF!</definedName>
    <definedName function="false" hidden="false" name="_xlcn.WorksheetConnection_SageDataModelExcel20132.xlsxAUDIT_SPLIT" vbProcedure="false">#REF!</definedName>
    <definedName function="false" hidden="false" name="_xlcn.WorksheetConnection_SageDataModelExcel20132.xlsxCATEGORY" vbProcedure="false">#REF!</definedName>
    <definedName function="false" hidden="false" name="_xlcn.WorksheetConnection_SageDataModelExcel20132.xlsxCAT_TITLE" vbProcedure="false">#REF!</definedName>
    <definedName function="false" hidden="false" name="_xlcn.WorksheetConnection_SageDataModelExcel20132.xlsxCOUNTRY" vbProcedure="false">#REF!</definedName>
    <definedName function="false" hidden="false" name="_xlcn.WorksheetConnection_SageDataModelExcel20132.xlsxNOMINAL_LEDGER" vbProcedure="false">#REF!</definedName>
    <definedName function="false" hidden="false" name="_xlcn.WorksheetConnection_SageDataModelExcel20132.xlsxPROJECT" vbProcedure="false">#REF!</definedName>
    <definedName function="false" hidden="false" name="_xlcn.WorksheetConnection_SageDataModelExcel20132.xlsxPROJECT_COST_CODE" vbProcedure="false">#REF!</definedName>
    <definedName function="false" hidden="false" name="_xlcn.WorksheetConnection_SageDataModelExcel20132.xlsxPROJECT_COST_TYPE" vbProcedure="false">#REF!</definedName>
    <definedName function="false" hidden="false" name="_xlcn.WorksheetConnection_SageDataModelExcel20132.xlsxPROJECT_STATUS" vbProcedure="false">#REF!</definedName>
    <definedName function="false" hidden="false" name="_xlcn.WorksheetConnection_SageDataModelExcel20132.xlsxPROJECT_TRAN" vbProcedure="false">#REF!</definedName>
    <definedName function="false" hidden="false" name="_xlcn.WorksheetConnection_SageDataModelExcel20132.xlsxPURCHASE_LEDGER" vbProcedure="false">#REF!</definedName>
    <definedName function="false" hidden="false" name="_xlcn.WorksheetConnection_SageDataModelExcel20132.xlsxSALES_LEDGER" vbProcedure="false">#REF!</definedName>
    <definedName function="false" hidden="false" name="_xlcn.WorksheetConnection_Sheet1B3AJ18261" vbProcedure="false">#REF!</definedName>
    <definedName function="false" hidden="false" name="_xlcn.WorksheetConnection_SiteList9.25A3W120" vbProcedure="false">#REF!</definedName>
    <definedName function="false" hidden="false" name="_xlcn.WorksheetConnection_SiteList9.25A3W1201" vbProcedure="false">#REF!</definedName>
    <definedName function="false" hidden="false" name="_xlcn.WorksheetConnection_YTD2015A1J56691" vbProcedure="false">#REF!</definedName>
    <definedName function="false" hidden="false" name="_xlnm.Database" vbProcedure="false">#REF!</definedName>
    <definedName function="false" hidden="false" name="_Z5.5_Discounted_Cash_Flow_2" vbProcedure="false">{0;0;0;0;1;#N/A;0;0;0.3;0.3;2;FALSE;FALSE;FALSE;FALSE;FALSE;#N/A;1;#N/A;1;1;"";""}</definedName>
    <definedName function="false" hidden="false" name="_Zanalys" vbProcedure="false">{0;0;0;0;1;1;0.65;0.65;0.75;0.75;2;FALSE;FALSE;FALSE;FALSE;FALSE;#N/A;1;#N/A;1;1;"";""}</definedName>
    <definedName function="false" hidden="false" name="_Zbaladj" vbProcedure="false">{0;0;0;0;1;1;0;0;0;0;2;FALSE;FALSE;FALSE;FALSE;FALSE;#N/A;1;#N/A;1;1;"";""}</definedName>
    <definedName function="false" hidden="true" name="_Zbalance_sheet_2" vbProcedure="false">{0,0,0,0,1,-4105,70.8661417322835,53.8582677165354,70.8661417322835,70.8661417322835,2,FALSE,FALSE,FALSE,FALSE,FALSE,#N/A,1,112,1,1,"","","","","","",FALSE}</definedName>
    <definedName function="false" hidden="false" name="_Zbs_model" vbProcedure="false">{0;0;0;0;1;#N/A;0.5;0.5;0.5;0.5;2;FALSE;FALSE;FALSE;FALSE;FALSE;#N/A;1;#N/A;1;1;"";""}</definedName>
    <definedName function="false" hidden="false" name="_Zcomp" vbProcedure="false">{0;0;0;0;1;#N/A;0.31;0.52;0.44;0.17;2;FALSE;FALSE;FALSE;FALSE;TRUE;#N/A;1;80;#N/A;#N/A;"";""}</definedName>
    <definedName function="false" hidden="false" name="_Zcomp1" vbProcedure="false">{0;0;0;0;1;#N/A;0.31;0.16;0.74;0.2;2;FALSE;FALSE;FALSE;FALSE;TRUE;#N/A;1;61;#N/A;#N/A;"";""}</definedName>
    <definedName function="false" hidden="false" name="_Zcomps" vbProcedure="false">{0;0;0;0;1;#N/A;0.5;0.25;0.75;0.5;2;FALSE;FALSE;FALSE;FALSE;FALSE;#N/A;1;#N/A;1;1;"";"&amp;L&amp;""Arial,Italic""&amp;8&amp;F Page &amp;P of &amp;N &amp;D &amp;T "}</definedName>
    <definedName function="false" hidden="false" name="_Zcomps1" vbProcedure="false">{0;0;0;0;5;#N/A;0.31;0.16;0.74;0.2;2;FALSE;FALSE;FALSE;FALSE;TRUE;#N/A;1;#N/A;1;1;"";""}</definedName>
    <definedName function="false" hidden="false" name="_Zcovrge" vbProcedure="false">{0;0;0;0;1;1;0.9;0.9;1;1;2;FALSE;FALSE;FALSE;FALSE;FALSE;#N/A;1;#N/A;1;1;"";""}</definedName>
    <definedName function="false" hidden="true" name="_ZDCF_Summary" vbProcedure="false">{0,0,0,0,1,-4105,41.04,53.8582677165354,64.08,51.84,2,FALSE,FALSE,FALSE,FALSE,FALSE,#N/A,1,65,1,1,"","","","","","",FALSE}</definedName>
    <definedName function="false" hidden="false" name="_Zdealcomp" vbProcedure="false">{0;0;0;0;1;#N/A;0.5;0.25;0.75;0.5;2;FALSE;FALSE;FALSE;FALSE;FALSE;#N/A;1;#N/A;1;1;"";"&amp;L&amp;""Arial,Italic""&amp;8&amp;F Page &amp;P of &amp;N &amp;D &amp;T "}</definedName>
    <definedName function="false" hidden="false" name="_Zdeals" vbProcedure="false">{0;0;0;0;1;#N/A;0.5;0.25;0.75;0.5;2;FALSE;FALSE;FALSE;FALSE;FALSE;#N/A;1;#N/A;1;1;"";"&amp;L&amp;""Arial,Italic""&amp;8&amp;F Page &amp;P of &amp;N &amp;D &amp;T "}</definedName>
    <definedName function="false" hidden="true" name="_Zdrivers_quarterly" vbProcedure="false">{0,0,0,0,1,-4105,59.76,25.5118110236221,69.12,70.8661417322835,2,FALSE,FALSE,FALSE,FALSE,FALSE,#N/A,1,63,1,1,"","","","","","",FALSE}</definedName>
    <definedName function="false" hidden="false" name="_ZEITF" vbProcedure="false">{0;0;0;0;1;#N/A;0.75;0.5;0.75;0.75;1;FALSE;FALSE;FALSE;FALSE;FALSE;#N/A;1;#N/A;1;1;"";""}</definedName>
    <definedName function="false" hidden="false" name="_ZEITF_bs" vbProcedure="false">{0;0;0;0;1;#N/A;0.5;0.5;0.5;0.5;2;FALSE;FALSE;FALSE;FALSE;FALSE;#N/A;1;#N/A;1;1;"";""}</definedName>
    <definedName function="false" hidden="false" name="_ZEITF_det" vbProcedure="false">{0;0;0;0;1;#N/A;0.75;0.5;0.75;0.75;1;FALSE;FALSE;FALSE;FALSE;FALSE;#N/A;1;#N/A;1;1;"";""}</definedName>
    <definedName function="false" hidden="true" name="_Zfinacials_quarterly_nots" vbProcedure="false">{0,0,0,0,1,-4105,70.8661417322835,53.8582677165354,70.8661417322835,70.8661417322835,2,FALSE,FALSE,FALSE,FALSE,FALSE,#N/A,1,55,1,1,"","","","","","",FALSE}</definedName>
    <definedName function="false" hidden="true" name="_Zfinancials_quarterly" vbProcedure="false">{0,0,0,0,1,-4105,70.8661417322835,53.8582677165354,70.8661417322835,70.8661417322835,2,FALSE,FALSE,FALSE,FALSE,FALSE,#N/A,1,55,1,1,"","","","","","",FALSE}</definedName>
    <definedName function="false" hidden="false" name="_ZHowmet_LTM" vbProcedure="false">{0;0;0;0;5;#N/A;0.39;0.4;0.44;0.17;2;FALSE;FALSE;FALSE;FALSE;TRUE;#N/A;1;#N/A;1;1;"";""}</definedName>
    <definedName function="false" hidden="false" name="_ZHowmet_LTM2" vbProcedure="false">{0;0;0;0;1;#N/A;0.39;0.4;0.44;0.17;1;FALSE;FALSE;FALSE;FALSE;TRUE;#N/A;1;100;#N/A;#N/A;"";""}</definedName>
    <definedName function="false" hidden="false" name="_ZIPOmodel" vbProcedure="false">{0;0;0;0;1;#N/A;0.35;0;0.5;0;2;FALSE;FALSE;FALSE;FALSE;FALSE;#N/A;1;95;#N/A;#N/A;"";""}</definedName>
    <definedName function="false" hidden="false" name="_Zismodel" vbProcedure="false">{0;0;0;0;1;#N/A;0.5;0.5;0.5;0.5;1;FALSE;FALSE;FALSE;FALSE;FALSE;#N/A;1;75;#N/A;#N/A;"";""}</definedName>
    <definedName function="false" hidden="false" name="_ZISsumm" vbProcedure="false">{0;0;0;0;1;#N/A;0.5;0.5;0.5;0.5;2;FALSE;FALSE;FALSE;FALSE;FALSE;#N/A;1;#N/A;1;1;"";""}</definedName>
    <definedName function="false" hidden="false" name="_Zmodel" vbProcedure="false">{0;0;0;0;1;#N/A;0.5;0.5;0.5;0.5;1;FALSE;FALSE;FALSE;FALSE;FALSE;#N/A;1;75;#N/A;#N/A;"";""}</definedName>
    <definedName function="false" hidden="false" name="_Znotes" vbProcedure="false">{0;0;0;0;1;1;0.9;0.9;1;1;2;FALSE;FALSE;FALSE;FALSE;FALSE;#N/A;1;#N/A;1;1;"";""}</definedName>
    <definedName function="false" hidden="false" name="_Zp1" vbProcedure="false">{0;0;0;0;1;1;0.9;0.9;1;1;2;FALSE;FALSE;FALSE;FALSE;FALSE;#N/A;1;#N/A;1;1;"";""}</definedName>
    <definedName function="false" hidden="false" name="_Zp2" vbProcedure="false">{0;0;0;0;1;1;0.9;0.9;1;1;2;FALSE;FALSE;FALSE;FALSE;FALSE;#N/A;1;#N/A;1;1;"";""}</definedName>
    <definedName function="false" hidden="false" name="_Zpage1" vbProcedure="false">{0;0;0;0;1;1;0.65;0.65;0.75;0.75;1;FALSE;FALSE;FALSE;FALSE;FALSE;#N/A;1;#N/A;1;1;"";""}</definedName>
    <definedName function="false" hidden="false" name="_Zpage_1" vbProcedure="false">{0;0;0;0;1;1;0.9;0.9;1;1;2;FALSE;FALSE;FALSE;FALSE;FALSE;#N/A;1;#N/A;1;1;"";""}</definedName>
    <definedName function="false" hidden="false" name="_Zpage_2" vbProcedure="false">{0;0;0;0;1;1;0.9;0.9;1;1;2;FALSE;FALSE;FALSE;FALSE;FALSE;#N/A;1;#N/A;1;1;"";""}</definedName>
    <definedName function="false" hidden="false" name="_ZPAGE_6" vbProcedure="false">{0;0;0;0;1;1;0.75;0.67;1;1;2;FALSE;FALSE;FALSE;FALSE;FALSE;#N/A;1;#N/A;1;1;"";""}</definedName>
    <definedName function="false" hidden="false" name="_ZPAGE_7" vbProcedure="false">{0;0;0;0;1;1;0.75;0.67;1;1;2;FALSE;FALSE;FALSE;FALSE;FALSE;#N/A;1;#N/A;1;1;"";""}</definedName>
    <definedName function="false" hidden="false" name="_ZPAGE_8" vbProcedure="false">{0;0;0;0;1;1;0.75;0.67;1;1;2;FALSE;FALSE;FALSE;FALSE;FALSE;#N/A;1;#N/A;1;1;"";""}</definedName>
    <definedName function="false" hidden="false" name="_Zprint1" vbProcedure="false">{0;0;0;0;1;#N/A;0.5;0.5;0.5;0.5;2;FALSE;FALSE;FALSE;FALSE;FALSE;#N/A;1;90;#N/A;#N/A;"";""}</definedName>
    <definedName function="false" hidden="false" name="_Zprint2" vbProcedure="false">{0;0;0;0;1;#N/A;0;0;0;0;2;TRUE;TRUE;FALSE;FALSE;FALSE;#N/A;1;66;#N/A;#N/A;"";""}</definedName>
    <definedName function="false" hidden="false" name="_Zprint3" vbProcedure="false">{0;0;0;0;1;#N/A;0;0;0;0;2;TRUE;TRUE;FALSE;FALSE;FALSE;#N/A;1;66;#N/A;#N/A;"";""}</definedName>
    <definedName function="false" hidden="false" name="_Zprint_all" vbProcedure="false">{0;0;0;0;1;#N/A;0;0;0.3;0.3;2;FALSE;FALSE;FALSE;FALSE;FALSE;#N/A;1;96;#N/A;#N/A;"";""}</definedName>
    <definedName function="false" hidden="false" name="_Zprint_area" vbProcedure="false">{0;0;0;0;1;#N/A;0;0;0.3;0.3;2;FALSE;FALSE;FALSE;FALSE;FALSE;#N/A;1;100;#N/A;#N/A;"";""}</definedName>
    <definedName function="false" hidden="false" name="_Zroea" vbProcedure="false">{0;0;0;0;1;1;0.9;0.9;1;1;2;FALSE;FALSE;FALSE;FALSE;FALSE;#N/A;1;#N/A;1;1;"";""}</definedName>
    <definedName function="false" hidden="false" name="_Zsource" vbProcedure="false">{0;0;0;0;5;1;0.4;0.4;0.75;0.75;2;FALSE;FALSE;FALSE;FALSE;FALSE;#N/A;1;#N/A;1;1;"";""}</definedName>
    <definedName function="false" hidden="false" name="_Zsource2" vbProcedure="false">{0;0;0;0;1;1;0.9;0.9;1;1;2;FALSE;FALSE;FALSE;FALSE;FALSE;#N/A;1;#N/A;1;1;"";""}</definedName>
    <definedName function="false" hidden="false" name="_Zsummary" vbProcedure="false">{0;0;0;0;1;1;0.75;0.67;1;1;2;FALSE;FALSE;FALSE;FALSE;FALSE;#N/A;1;#N/A;1;1;"";""}</definedName>
    <definedName function="false" hidden="true" name="_Zyearly" vbProcedure="false">{0,0,0,0,1,-4105,14.1732283464567,53.8582677165354,70.8661417322835,70.8661417322835,2,FALSE,FALSE,FALSE,FALSE,FALSE,#N/A,1,75,1,1,"","","","","","",FALSE}</definedName>
    <definedName function="false" hidden="true" name="_Zyearly2" vbProcedure="false">{0,0,0,0,1,-4105,70.8661417322835,53.8582677165354,70.8661417322835,70.8661417322835,2,FALSE,FALSE,FALSE,FALSE,FALSE,#N/A,1,75,1,1,"","","","","","",FALSE}</definedName>
    <definedName function="false" hidden="true" name="__123Graph_A" vbProcedure="false">#REF!</definedName>
    <definedName function="false" hidden="true" name="__123Graph_ABICBETA" vbProcedure="false">#REF!</definedName>
    <definedName function="false" hidden="true" name="__123Graph_ABOOKBETA" vbProcedure="false">#REF!</definedName>
    <definedName function="false" hidden="true" name="__123Graph_ACHART" vbProcedure="false">#REF!</definedName>
    <definedName function="false" hidden="true" name="__123Graph_ACHART2" vbProcedure="false">#REF!</definedName>
    <definedName function="false" hidden="true" name="__123Graph_ACurrent" vbProcedure="false">#REF!</definedName>
    <definedName function="false" hidden="true" name="__123Graph_ADA" vbProcedure="false">#REF!</definedName>
    <definedName function="false" hidden="true" name="__123Graph_ADEPREC2" vbProcedure="false">#REF!</definedName>
    <definedName function="false" hidden="true" name="__123Graph_AEBITDABETA" vbProcedure="false">#REF!</definedName>
    <definedName function="false" hidden="true" name="__123Graph_AEMPBETA" vbProcedure="false">#REF!</definedName>
    <definedName function="false" hidden="true" name="__123Graph_AGRAPH1" vbProcedure="false">#REF!</definedName>
    <definedName function="false" hidden="true" name="__123Graph_AGRAPH2" vbProcedure="false">#REF!</definedName>
    <definedName function="false" hidden="true" name="__123Graph_AGRAPH3" vbProcedure="false">#REF!</definedName>
    <definedName function="false" hidden="true" name="__123Graph_AGRAPH4" vbProcedure="false">#REF!</definedName>
    <definedName function="false" hidden="true" name="__123Graph_AGRAPH5" vbProcedure="false">#REF!</definedName>
    <definedName function="false" hidden="true" name="__123Graph_AGRAPH6" vbProcedure="false">#REF!</definedName>
    <definedName function="false" hidden="true" name="__123Graph_AGRAPH7" vbProcedure="false">#REF!</definedName>
    <definedName function="false" hidden="true" name="__123Graph_AGRAPH8" vbProcedure="false">#REF!</definedName>
    <definedName function="false" hidden="true" name="__123Graph_AGRAPH9" vbProcedure="false">#REF!</definedName>
    <definedName function="false" hidden="true" name="__123Graph_AMVICBETA" vbProcedure="false">#REF!</definedName>
    <definedName function="false" hidden="true" name="__123Graph_ANIBETA" vbProcedure="false">#REF!</definedName>
    <definedName function="false" hidden="true" name="__123Graph_APLNACT" vbProcedure="false">#REF!</definedName>
    <definedName function="false" hidden="true" name="__123Graph_APRINCIPAL" vbProcedure="false">#REF!</definedName>
    <definedName function="false" hidden="true" name="__123Graph_APROCEEDS" vbProcedure="false">#REF!</definedName>
    <definedName function="false" hidden="true" name="__123Graph_ASALEBETA" vbProcedure="false">#REF!</definedName>
    <definedName function="false" hidden="true" name="__123Graph_ATREND" vbProcedure="false">#REF!</definedName>
    <definedName function="false" hidden="true" name="__123Graph_B" vbProcedure="false">#REF!</definedName>
    <definedName function="false" hidden="true" name="__123Graph_BBICBETA" vbProcedure="false">#REF!</definedName>
    <definedName function="false" hidden="true" name="__123Graph_BBOOKBETA" vbProcedure="false">#REF!</definedName>
    <definedName function="false" hidden="true" name="__123Graph_BCHART" vbProcedure="false">#REF!</definedName>
    <definedName function="false" hidden="true" name="__123Graph_BCHART2" vbProcedure="false">#REF!</definedName>
    <definedName function="false" hidden="true" name="__123Graph_BCurrent" vbProcedure="false">#REF!</definedName>
    <definedName function="false" hidden="true" name="__123Graph_BFLATREV" vbProcedure="false">#REF!</definedName>
    <definedName function="false" hidden="true" name="__123Graph_BGRAPH1" vbProcedure="false">#REF!</definedName>
    <definedName function="false" hidden="true" name="__123Graph_BGRAPH2" vbProcedure="false">#REF!</definedName>
    <definedName function="false" hidden="true" name="__123Graph_BGRAPH3" vbProcedure="false">#REF!</definedName>
    <definedName function="false" hidden="true" name="__123Graph_BGRAPH4" vbProcedure="false">#REF!</definedName>
    <definedName function="false" hidden="true" name="__123Graph_BGRAPH5" vbProcedure="false">#REF!</definedName>
    <definedName function="false" hidden="true" name="__123Graph_BGRAPH6" vbProcedure="false">#REF!</definedName>
    <definedName function="false" hidden="true" name="__123Graph_BGRAPH7" vbProcedure="false">#REF!</definedName>
    <definedName function="false" hidden="true" name="__123Graph_BGRAPH8" vbProcedure="false">#REF!</definedName>
    <definedName function="false" hidden="true" name="__123Graph_BGRAPH9" vbProcedure="false">#REF!</definedName>
    <definedName function="false" hidden="true" name="__123Graph_BMKTVBETA" vbProcedure="false">#REF!</definedName>
    <definedName function="false" hidden="true" name="__123Graph_BPLNACT" vbProcedure="false">#REF!</definedName>
    <definedName function="false" hidden="true" name="__123Graph_BPROCEEDS" vbProcedure="false">#REF!</definedName>
    <definedName function="false" hidden="true" name="__123Graph_BSALEBETA" vbProcedure="false">#REF!</definedName>
    <definedName function="false" hidden="true" name="__123Graph_BTREND" vbProcedure="false">#REF!</definedName>
    <definedName function="false" hidden="true" name="__123Graph_BVANREV" vbProcedure="false">#REF!</definedName>
    <definedName function="false" hidden="true" name="__123Graph_C" vbProcedure="false">#REF!</definedName>
    <definedName function="false" hidden="true" name="__123Graph_CCHART" vbProcedure="false">#REF!</definedName>
    <definedName function="false" hidden="true" name="__123Graph_CCHART2" vbProcedure="false">#REF!</definedName>
    <definedName function="false" hidden="true" name="__123Graph_CCurrent" vbProcedure="false">#REF!</definedName>
    <definedName function="false" hidden="true" name="__123Graph_CPROCEEDS" vbProcedure="false">#REF!</definedName>
    <definedName function="false" hidden="true" name="__123Graph_CTREND" vbProcedure="false">#REF!</definedName>
    <definedName function="false" hidden="true" name="__123Graph_D" vbProcedure="false">#REF!</definedName>
    <definedName function="false" hidden="true" name="__123Graph_DCHART" vbProcedure="false">#REF!</definedName>
    <definedName function="false" hidden="true" name="__123Graph_DCHART2" vbProcedure="false">#REF!</definedName>
    <definedName function="false" hidden="true" name="__123Graph_DCurrent" vbProcedure="false">#REF!</definedName>
    <definedName function="false" hidden="true" name="__123Graph_E" vbProcedure="false">#REF!</definedName>
    <definedName function="false" hidden="true" name="__123Graph_ECHART" vbProcedure="false">#REF!</definedName>
    <definedName function="false" hidden="true" name="__123Graph_ECHART2" vbProcedure="false">#REF!</definedName>
    <definedName function="false" hidden="true" name="__123Graph_ECurrent" vbProcedure="false">#REF!</definedName>
    <definedName function="false" hidden="true" name="__123Graph_F" vbProcedure="false">#REF!</definedName>
    <definedName function="false" hidden="true" name="__123Graph_FCHART" vbProcedure="false">#REF!</definedName>
    <definedName function="false" hidden="true" name="__123Graph_FCHART2" vbProcedure="false">#REF!</definedName>
    <definedName function="false" hidden="true" name="__123Graph_FCurrent" vbProcedure="false">#REF!</definedName>
    <definedName function="false" hidden="true" name="__123Graph_LBL_APRINCIPAL" vbProcedure="false">#REF!</definedName>
    <definedName function="false" hidden="true" name="__123Graph_LBL_BGRAPH2" vbProcedure="false">#REF!</definedName>
    <definedName function="false" hidden="true" name="__123Graph_LBL_BGRAPH3" vbProcedure="false">#REF!</definedName>
    <definedName function="false" hidden="true" name="__123Graph_LBL_BGRAPH4" vbProcedure="false">#REF!</definedName>
    <definedName function="false" hidden="true" name="__123Graph_LBL_F" vbProcedure="false">#REF!</definedName>
    <definedName function="false" hidden="true" name="__123Graph_X" vbProcedure="false">#REF!</definedName>
    <definedName function="false" hidden="true" name="__123Graph_XCurrent" vbProcedure="false">#REF!</definedName>
    <definedName function="false" hidden="true" name="__123Graph_XGRAPH2" vbProcedure="false">#REF!</definedName>
    <definedName function="false" hidden="true" name="__123Graph_XGRAPH3" vbProcedure="false">#REF!</definedName>
    <definedName function="false" hidden="true" name="__123Graph_XGRAPH4" vbProcedure="false">#REF!</definedName>
    <definedName function="false" hidden="true" name="__123Graph_XGRAPH5" vbProcedure="false">#REF!</definedName>
    <definedName function="false" hidden="true" name="__123Graph_XGRAPH6" vbProcedure="false">#REF!</definedName>
    <definedName function="false" hidden="true" name="__123Graph_XGRAPH7" vbProcedure="false">#REF!</definedName>
    <definedName function="false" hidden="true" name="__123Graph_XGRAPH8" vbProcedure="false">#REF!</definedName>
    <definedName function="false" hidden="true" name="__123Graph_XGRAPH9" vbProcedure="false">#REF!</definedName>
    <definedName function="false" hidden="true" name="__123Graph_XPLNACT" vbProcedure="false">#REF!</definedName>
    <definedName function="false" hidden="true" name="__123Graph_XPROCEEDS" vbProcedure="false">#REF!</definedName>
    <definedName function="false" hidden="true" name="__123Graph_XTREND" vbProcedure="false">#REF!</definedName>
    <definedName function="false" hidden="true" name="__1__123Graph_ACHART_1" vbProcedure="false">#REF!</definedName>
    <definedName function="false" hidden="true" name="__1__123Graph_BCHART_1" vbProcedure="false">#REF!</definedName>
    <definedName function="false" hidden="true" name="__1__123Graph_CCHART_1" vbProcedure="false">#REF!</definedName>
    <definedName function="false" hidden="true" name="__24__123Graph_XCHART_1" vbProcedure="false">#REF!</definedName>
    <definedName function="false" hidden="true" name="__2__123Graph_ACHART_2" vbProcedure="false">#REF!</definedName>
    <definedName function="false" hidden="true" name="__2__123Graph_CCHART_1" vbProcedure="false">#REF!</definedName>
    <definedName function="false" hidden="true" name="__3__123Graph_DCHART_1" vbProcedure="false">#REF!</definedName>
    <definedName function="false" hidden="true" name="__3__123Graph_XCHART_1" vbProcedure="false">#REF!</definedName>
    <definedName function="false" hidden="true" name="__4__123Graph_BCHART_1" vbProcedure="false">#REF!</definedName>
    <definedName function="false" hidden="true" name="__4__123Graph_CCHART_1" vbProcedure="false">#REF!</definedName>
    <definedName function="false" hidden="true" name="__4__123Graph_XCHART_1" vbProcedure="false">#REF!</definedName>
    <definedName function="false" hidden="true" name="__4__123Graph_XCHART_2" vbProcedure="false">#REF!</definedName>
    <definedName function="false" hidden="true" name="__7__123Graph_CCHART_1" vbProcedure="false">#REF!</definedName>
    <definedName function="false" hidden="false" name="__All2" vbProcedure="false">#REF!,#REF!,#REF!,#REF!,#REF!,#REF!,#REF!,#REF!,#REF!,#REF!,#REF!,#REF!</definedName>
    <definedName function="false" hidden="false" name="__BCM1" vbProcedure="false">#REF!</definedName>
    <definedName function="false" hidden="false" name="__BCM2" vbProcedure="false">#REF!</definedName>
    <definedName function="false" hidden="false" name="__BCM3" vbProcedure="false">#REF!</definedName>
    <definedName function="false" hidden="true" name="__dro1" vbProcedure="false">{#N/A,#N/A,FALSE,"Cosmos Report"}</definedName>
    <definedName function="false" hidden="true" name="__dro2" vbProcedure="false">{#N/A,#N/A,FALSE,"Cosmos Report"}</definedName>
    <definedName function="false" hidden="false" name="__FDS2" vbProcedure="false">{"bs",#N/A,FALSE,"SCF"}</definedName>
    <definedName function="false" hidden="false" name="__FDS_HYPERLINK_TOGGLE_STATE__" vbProcedure="false">"ON"</definedName>
    <definedName function="false" hidden="true" name="__FDS_UNIQUE_RANGE_ID_GENERATOR_COUNTER" vbProcedure="false">3228</definedName>
    <definedName function="false" hidden="false" name="__fy97" vbProcedure="false">{#N/A,#N/A,FALSE,"FY97";#N/A,#N/A,FALSE,"FY98";#N/A,#N/A,FALSE,"FY99";#N/A,#N/A,FALSE,"FY00";#N/A,#N/A,FALSE,"FY01"}</definedName>
    <definedName function="false" hidden="false" name="__hhh9" vbProcedure="false">{#N/A,#N/A,FALSE,"MAY";#N/A,#N/A,FALSE,"Q2";#N/A,#N/A,FALSE,"YTD"}</definedName>
    <definedName function="false" hidden="true" name="__IntlFixup" vbProcedure="false">TRUE()</definedName>
    <definedName function="false" hidden="true" name="__IntlFixupTable" vbProcedure="false">#REF!</definedName>
    <definedName function="false" hidden="true" name="__KEY1" vbProcedure="false">#REF!</definedName>
    <definedName function="false" hidden="true" name="__Key2" vbProcedure="false">#REF!</definedName>
    <definedName function="false" hidden="true" name="__key3" vbProcedure="false">#REF!</definedName>
    <definedName function="false" hidden="false" name="__LY2" vbProcedure="false">#REF!</definedName>
    <definedName function="false" hidden="false" name="__OHM1" vbProcedure="false">#REF!</definedName>
    <definedName function="false" hidden="false" name="__OHM10" vbProcedure="false">#REF!</definedName>
    <definedName function="false" hidden="false" name="__OHM11" vbProcedure="false">#REF!</definedName>
    <definedName function="false" hidden="false" name="__OHM12" vbProcedure="false">#REF!</definedName>
    <definedName function="false" hidden="false" name="__OHM2" vbProcedure="false">#REF!</definedName>
    <definedName function="false" hidden="false" name="__OHM3" vbProcedure="false">#REF!</definedName>
    <definedName function="false" hidden="false" name="__OHM4" vbProcedure="false">#REF!</definedName>
    <definedName function="false" hidden="false" name="__OHM5" vbProcedure="false">#REF!</definedName>
    <definedName function="false" hidden="false" name="__OHM6" vbProcedure="false">#REF!</definedName>
    <definedName function="false" hidden="false" name="__OHM7" vbProcedure="false">#REF!</definedName>
    <definedName function="false" hidden="false" name="__OHM8" vbProcedure="false">#REF!</definedName>
    <definedName function="false" hidden="false" name="__OHM9" vbProcedure="false">#REF!</definedName>
    <definedName function="false" hidden="false" name="__OM1" vbProcedure="false">#REF!</definedName>
    <definedName function="false" hidden="false" name="__OM2" vbProcedure="false">#REF!</definedName>
    <definedName function="false" hidden="false" name="__OM3" vbProcedure="false">#REF!</definedName>
    <definedName function="false" hidden="false" name="__OM4" vbProcedure="false">#REF!</definedName>
    <definedName function="false" hidden="false" name="__PM1" vbProcedure="false">#REF!</definedName>
    <definedName function="false" hidden="false" name="__PM2" vbProcedure="false">#REF!</definedName>
    <definedName function="false" hidden="false" name="__PM3" vbProcedure="false">#REF!</definedName>
    <definedName function="false" hidden="false" name="__r" vbProcedure="false">{"consolidated",#N/A,FALSE,"Sheet1";"cms",#N/A,FALSE,"Sheet1";"fse",#N/A,FALSE,"Sheet1"}</definedName>
    <definedName function="false" hidden="false" name="__uuu11" vbProcedure="false">{#N/A,#N/A,FALSE,"MAY";#N/A,#N/A,FALSE,"Q2";#N/A,#N/A,FALSE,"YTD"}</definedName>
    <definedName function="false" hidden="false" name="__wrn1" vbProcedure="false">{#N/A,#N/A,FALSE,"DCF";#N/A,#N/A,FALSE,"WACC";#N/A,#N/A,FALSE,"Sales_EBIT";#N/A,#N/A,FALSE,"Capex_Depreciation";#N/A,#N/A,FALSE,"WC";#N/A,#N/A,FALSE,"Interest";#N/A,#N/A,FALSE,"Assumptions"}</definedName>
    <definedName function="false" hidden="true" name="__xlfn.BAHTTEXT" vbProcedure="false">#NAME?</definedName>
    <definedName function="false" hidden="true" name="__xlfn.IFERROR" vbProcedure="false">#NAME?</definedName>
    <definedName function="false" hidden="false" name="___All2" vbProcedure="false">#REF!,#REF!,#REF!,#REF!,#REF!,#REF!,#REF!,#REF!,#REF!,#REF!,#REF!,#REF!</definedName>
    <definedName function="false" hidden="true" name="___dro1" vbProcedure="false">{#N/A,#N/A,FALSE,"Cosmos Report"}</definedName>
    <definedName function="false" hidden="true" name="___dro2" vbProcedure="false">{#N/A,#N/A,FALSE,"Cosmos Report"}</definedName>
    <definedName function="false" hidden="false" name="___hhh9" vbProcedure="false">{#N/A,#N/A,FALSE,"MAY";#N/A,#N/A,FALSE,"Q2";#N/A,#N/A,FALSE,"YTD"}</definedName>
    <definedName function="false" hidden="true" name="___KEY1" vbProcedure="false">#REF!</definedName>
    <definedName function="false" hidden="true" name="___Key2" vbProcedure="false">#REF!</definedName>
    <definedName function="false" hidden="false" name="___r" vbProcedure="false">{"consolidated",#N/A,FALSE,"Sheet1";"cms",#N/A,FALSE,"Sheet1";"fse",#N/A,FALSE,"Sheet1"}</definedName>
    <definedName function="false" hidden="true" name="___thinkcell0kUAAAAAAAAAAAAA41keTJtvmkmjSj6CFieU5g" vbProcedure="false">#REF!</definedName>
    <definedName function="false" hidden="false" name="___uuu11" vbProcedure="false">{#N/A,#N/A,FALSE,"MAY";#N/A,#N/A,FALSE,"Q2";#N/A,#N/A,FALSE,"YTD"}</definedName>
    <definedName function="false" hidden="false" name="____All2" vbProcedure="false">#REF!,#REF!,#REF!,#REF!,#REF!,#REF!,#REF!,#REF!,#REF!,#REF!,#REF!,#REF!</definedName>
    <definedName function="false" hidden="false" name="____hhh9" vbProcedure="false">{#N/A,#N/A,FALSE,"MAY";#N/A,#N/A,FALSE,"Q2";#N/A,#N/A,FALSE,"YTD"}</definedName>
    <definedName function="false" hidden="true" name="____KEY1" vbProcedure="false">#REF!</definedName>
    <definedName function="false" hidden="true" name="____Key2" vbProcedure="false">#REF!</definedName>
    <definedName function="false" hidden="false" name="____uuu11" vbProcedure="false">{#N/A,#N/A,FALSE,"MAY";#N/A,#N/A,FALSE,"Q2";#N/A,#N/A,FALSE,"YTD"}</definedName>
    <definedName function="false" hidden="false" name="_____All2" vbProcedure="false">#REF!,#REF!,#REF!,#REF!,#REF!,#REF!,#REF!,#REF!,#REF!,#REF!,#REF!,#REF!</definedName>
    <definedName function="false" hidden="false" name="_____hhh9" vbProcedure="false">{#N/A,#N/A,FALSE,"MAY";#N/A,#N/A,FALSE,"Q2";#N/A,#N/A,FALSE,"YTD"}</definedName>
    <definedName function="false" hidden="true" name="_____KEY1" vbProcedure="false">#REF!</definedName>
    <definedName function="false" hidden="true" name="_____Key2" vbProcedure="false">#REF!</definedName>
    <definedName function="false" hidden="false" name="_____uuu11" vbProcedure="false">{#N/A,#N/A,FALSE,"MAY";#N/A,#N/A,FALSE,"Q2";#N/A,#N/A,FALSE,"YTD"}</definedName>
    <definedName function="false" hidden="false" name="______hhh9" vbProcedure="false">{#N/A,#N/A,FALSE,"MAY";#N/A,#N/A,FALSE,"Q2";#N/A,#N/A,FALSE,"YTD"}</definedName>
    <definedName function="false" hidden="true" name="______KEY1" vbProcedure="false">#REF!</definedName>
    <definedName function="false" hidden="true" name="______Key2" vbProcedure="false">#REF!</definedName>
    <definedName function="false" hidden="false" name="______uuu11" vbProcedure="false">{#N/A,#N/A,FALSE,"MAY";#N/A,#N/A,FALSE,"Q2";#N/A,#N/A,FALSE,"YTD"}</definedName>
    <definedName function="false" hidden="false" name="_______hhh9" vbProcedure="false">{#N/A,#N/A,FALSE,"MAY";#N/A,#N/A,FALSE,"Q2";#N/A,#N/A,FALSE,"YTD"}</definedName>
    <definedName function="false" hidden="false" name="_______uuu11" vbProcedure="false">{#N/A,#N/A,FALSE,"MAY";#N/A,#N/A,FALSE,"Q2";#N/A,#N/A,FALSE,"YTD"}</definedName>
    <definedName function="false" hidden="false" name="________hhh9" vbProcedure="false">{#N/A,#N/A,FALSE,"MAY";#N/A,#N/A,FALSE,"Q2";#N/A,#N/A,FALSE,"YTD"}</definedName>
    <definedName function="false" hidden="false" name="________uuu11" vbProcedure="false">{#N/A,#N/A,FALSE,"MAY";#N/A,#N/A,FALSE,"Q2";#N/A,#N/A,FALSE,"YTD"}</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<sst xmlns="http://schemas.openxmlformats.org/spreadsheetml/2006/main" count="1620" uniqueCount="401">
  <si>
    <t xml:space="preserve">Franchise Development  —  Strategic Dashboard</t>
  </si>
  <si>
    <t xml:space="preserve">EXECUTIVE LAYER · Live roll-up across all 1:1 trackers. Updated automatically — no duplicate data entry. (Open the file in Excel and allow recalculation for live values.)</t>
  </si>
  <si>
    <t xml:space="preserve">Active Projects</t>
  </si>
  <si>
    <t xml:space="preserve">On Track</t>
  </si>
  <si>
    <t xml:space="preserve">At Risk</t>
  </si>
  <si>
    <t xml:space="preserve">Blocked</t>
  </si>
  <si>
    <t xml:space="preserve">Complete</t>
  </si>
  <si>
    <t xml:space="preserve">Avg % Complete</t>
  </si>
  <si>
    <t xml:space="preserve">Total Active Tasks</t>
  </si>
  <si>
    <t xml:space="preserve">Overdue Tasks</t>
  </si>
  <si>
    <t xml:space="preserve">Due in 7 Days</t>
  </si>
  <si>
    <t xml:space="preserve">Not Started</t>
  </si>
  <si>
    <t xml:space="preserve">No Tasks Yet</t>
  </si>
  <si>
    <t xml:space="preserve">Total People</t>
  </si>
  <si>
    <t xml:space="preserve">Status by Focus Area</t>
  </si>
  <si>
    <t xml:space="preserve">Workload by Individual</t>
  </si>
  <si>
    <t xml:space="preserve">Focus Area</t>
  </si>
  <si>
    <t xml:space="preserve">Tasks</t>
  </si>
  <si>
    <t xml:space="preserve">In Progress</t>
  </si>
  <si>
    <t xml:space="preserve">Overdue</t>
  </si>
  <si>
    <t xml:space="preserve">% Complete</t>
  </si>
  <si>
    <t xml:space="preserve">Health</t>
  </si>
  <si>
    <t xml:space="preserve">Person</t>
  </si>
  <si>
    <t xml:space="preserve">Open</t>
  </si>
  <si>
    <t xml:space="preserve">1 – Unified Development System</t>
  </si>
  <si>
    <t xml:space="preserve">Quick Chadwick</t>
  </si>
  <si>
    <t xml:space="preserve">2 – Top-of-Funnel Lead Gen</t>
  </si>
  <si>
    <t xml:space="preserve">MaryFran Anderson</t>
  </si>
  <si>
    <t xml:space="preserve">3 – Broker Channel</t>
  </si>
  <si>
    <t xml:space="preserve">Shane Mattingly</t>
  </si>
  <si>
    <t xml:space="preserve">4 – Portfolio Brand Strategy</t>
  </si>
  <si>
    <t xml:space="preserve">Leslie Toole</t>
  </si>
  <si>
    <t xml:space="preserve">5 – Operational Infrastructure</t>
  </si>
  <si>
    <t xml:space="preserve">Leah Hanlon</t>
  </si>
  <si>
    <t xml:space="preserve">6 – Automation &amp; Content</t>
  </si>
  <si>
    <t xml:space="preserve">Jamie Lavigne</t>
  </si>
  <si>
    <t xml:space="preserve">7 – Operating Rhythm</t>
  </si>
  <si>
    <t xml:space="preserve">Steve Griffith</t>
  </si>
  <si>
    <t xml:space="preserve">8 – Talent Evaluation</t>
  </si>
  <si>
    <t xml:space="preserve">Matt Motyka</t>
  </si>
  <si>
    <t xml:space="preserve">Alvaro Leal</t>
  </si>
  <si>
    <t xml:space="preserve">Cassidy Ford</t>
  </si>
  <si>
    <t xml:space="preserve">Project Status Distribution</t>
  </si>
  <si>
    <t xml:space="preserve">CGO  - Strategic Plan</t>
  </si>
  <si>
    <t xml:space="preserve">Plan includes 8 focus areas comprised of 44 total tactics to completion over the next 100 days. </t>
  </si>
  <si>
    <t xml:space="preserve">Build a Unified Franchise Development System</t>
  </si>
  <si>
    <t xml:space="preserve">Proj ID</t>
  </si>
  <si>
    <t xml:space="preserve">Lead</t>
  </si>
  <si>
    <t xml:space="preserve">Other</t>
  </si>
  <si>
    <t xml:space="preserve">Timing</t>
  </si>
  <si>
    <t xml:space="preserve">Status</t>
  </si>
  <si>
    <t xml:space="preserve">Notes / Commentary</t>
  </si>
  <si>
    <t xml:space="preserve">Legend</t>
  </si>
  <si>
    <t xml:space="preserve">Notes</t>
  </si>
  <si>
    <t xml:space="preserve">Implement standardized Mutual Evaluation Process (MEP) across all brands</t>
  </si>
  <si>
    <t xml:space="preserve">Developers</t>
  </si>
  <si>
    <t xml:space="preserve">Dobelbower</t>
  </si>
  <si>
    <t xml:space="preserve">Short (90)</t>
  </si>
  <si>
    <t xml:space="preserve">G</t>
  </si>
  <si>
    <t xml:space="preserve">Current franchise development processes vary significantly by brand, creating inconsistent candidate experiences and reducing scalability.</t>
  </si>
  <si>
    <t xml:space="preserve">na</t>
  </si>
  <si>
    <t xml:space="preserve">not started</t>
  </si>
  <si>
    <t xml:space="preserve">Standardize pipeline stages, definitions, and reporting in CRM</t>
  </si>
  <si>
    <t xml:space="preserve">Mattingly/Ruhlig</t>
  </si>
  <si>
    <t xml:space="preserve">Inconsistent pipeline definitions and reporting currently limit forecasting accuracy and portfolio-level visibility.</t>
  </si>
  <si>
    <t xml:space="preserve">started &amp; on track</t>
  </si>
  <si>
    <t xml:space="preserve">Implement DAP (Development Action Plan) timelines for all candidates</t>
  </si>
  <si>
    <t xml:space="preserve">Current candidate progression lacks consistent timelines and accountability, creating unnecessary delays and reduced closing certainty.</t>
  </si>
  <si>
    <t xml:space="preserve">Y</t>
  </si>
  <si>
    <t xml:space="preserve">resolving minor issues</t>
  </si>
  <si>
    <t xml:space="preserve">Standardize MTTD structure (confirmation event, not sales event)</t>
  </si>
  <si>
    <t xml:space="preserve">Mid (180)</t>
  </si>
  <si>
    <t xml:space="preserve">MTTD execution varies significantly by brand and should function as a confirmation milestone rather than a late-stage persuasion event.</t>
  </si>
  <si>
    <t xml:space="preserve">R</t>
  </si>
  <si>
    <t xml:space="preserve">off track / needs attention</t>
  </si>
  <si>
    <t xml:space="preserve">Standardize lead qualification across brands (Lumin, SDR, etc.)</t>
  </si>
  <si>
    <t xml:space="preserve">Qualification standards currently vary by brand, resulting in inconsistent lead quality and inefficient developer utilization.</t>
  </si>
  <si>
    <t xml:space="preserve">Launch weekly portfolio-wide pipeline call (eliminate silos)</t>
  </si>
  <si>
    <t xml:space="preserve">C</t>
  </si>
  <si>
    <t xml:space="preserve">Weekly Pipeline Review kicked off 5/5</t>
  </si>
  <si>
    <t xml:space="preserve">Rebuild Top-of-Funnel Lead Generation</t>
  </si>
  <si>
    <t xml:space="preserve">Centralize non-broker marketing under Chadwick</t>
  </si>
  <si>
    <t xml:space="preserve">Chadwick</t>
  </si>
  <si>
    <t xml:space="preserve">Non-broker lead generation efforts are currently fragmented across brands and lack centralized strategic prioritzation. </t>
  </si>
  <si>
    <t xml:space="preserve">Reallocate spend toward non-broker sourced channels</t>
  </si>
  <si>
    <t xml:space="preserve">Thoma/Chadwick</t>
  </si>
  <si>
    <t xml:space="preserve">Marketing spend allocation is not consistently aligned with lead quality, conversion performance, or long-term scalability objectives.</t>
  </si>
  <si>
    <t xml:space="preserve">Build video-first funnel</t>
  </si>
  <si>
    <t xml:space="preserve">M. Anderson/Leal</t>
  </si>
  <si>
    <t xml:space="preserve">Video and automation create an opportunity to improve candidate education, consistency, and developer scalability across all brands.</t>
  </si>
  <si>
    <t xml:space="preserve">Establish portfolio-level KPIs benchmarked against AFDR ratios</t>
  </si>
  <si>
    <t xml:space="preserve">Mattingly</t>
  </si>
  <si>
    <t xml:space="preserve">Portfolio-level KPIs are necessary to properly evaluate marketing efficiency, lead quality, and channel performance across brands.</t>
  </si>
  <si>
    <t xml:space="preserve">Eliminate low-quality lead sources</t>
  </si>
  <si>
    <t xml:space="preserve">Certain lead sources currently produce volume without corresponding conversion performance or franchisee quality.</t>
  </si>
  <si>
    <t xml:space="preserve">Optimize Broker Channel Performance</t>
  </si>
  <si>
    <t xml:space="preserve">Assign MaryFran as broker channel owner</t>
  </si>
  <si>
    <t xml:space="preserve">MF. Anderson</t>
  </si>
  <si>
    <t xml:space="preserve">Broker relationships currently lack centralized ownership and consistent management across the portfolio.</t>
  </si>
  <si>
    <t xml:space="preserve">Route 100% of broker leads through CRM for centralized intake and visibility.</t>
  </si>
  <si>
    <t xml:space="preserve">Shared inboxes and inconsistent lead routing create missed opportunities and limited visibility into broker activity.</t>
  </si>
  <si>
    <t xml:space="preserve">Implement rules-based lead distribution</t>
  </si>
  <si>
    <t xml:space="preserve">Lead distribution should prioritize fairness, responsiveness, and performance while eliminating perception of uneven opportunity.</t>
  </si>
  <si>
    <t xml:space="preserve">Enforce speed-to-lead SLAs</t>
  </si>
  <si>
    <t xml:space="preserve">Response speed remains one of the largest drivers of broker lead conversion and candidate engagement.</t>
  </si>
  <si>
    <t xml:space="preserve">Segment Brokers into Tier 1/Tier 2/ Tier 3</t>
  </si>
  <si>
    <t xml:space="preserve">Not all broker relationships generate equal value, requiring prioritization based on production and lead quality.</t>
  </si>
  <si>
    <t xml:space="preserve">Introduce performance-based lead weighting</t>
  </si>
  <si>
    <t xml:space="preserve">Lead distribution should reward execution and conversion performance while maintaining equitable opportunity across the team.</t>
  </si>
  <si>
    <t xml:space="preserve">Build weekly broker channel performance reporting</t>
  </si>
  <si>
    <t xml:space="preserve">Broker performance visibility is currently limited, making it difficult to optimize relationships and conversion performance.</t>
  </si>
  <si>
    <t xml:space="preserve">Execute Portfolio-Based Brand Strategy</t>
  </si>
  <si>
    <t xml:space="preserve">Position The Seals as a low-cost, high-whitespace growth brand</t>
  </si>
  <si>
    <t xml:space="preserve">Anderson/Chadwick</t>
  </si>
  <si>
    <t xml:space="preserve">The Seals presents an opportunity for accelerated unit growth due to low investment requirements, recurring revenue characteristics, and significant whitespace availability.</t>
  </si>
  <si>
    <t xml:space="preserve">Position 1-Tom as a flagship growth brand</t>
  </si>
  <si>
    <t xml:space="preserve">1-Tom possesses strong branding, broad market appeal, and favorable long-term scalability characteristics.</t>
  </si>
  <si>
    <t xml:space="preserve">Align Kitchen Guard growth strategy with Strategic Accounts initiatives</t>
  </si>
  <si>
    <t xml:space="preserve">Hatcher</t>
  </si>
  <si>
    <t xml:space="preserve">Long (270)</t>
  </si>
  <si>
    <t xml:space="preserve">Kitchen Guard’s compliance-driven recurring revenue model aligns well with enterprise and Strategic Account positioning opportunities.</t>
  </si>
  <si>
    <t xml:space="preserve">Reposition Prism as a multi-service platform opportunity</t>
  </si>
  <si>
    <t xml:space="preserve">Prism’s multi-service structure creates an opportunity to increase average deal size and long-term franchisee value.</t>
  </si>
  <si>
    <t xml:space="preserve">Maintain stable, quality-focused growth for U.S. Lawns</t>
  </si>
  <si>
    <t xml:space="preserve">Steeves</t>
  </si>
  <si>
    <t xml:space="preserve">U.S. Lawns serves as a mature and stable portfolio brand with strong recognition and operational consistency.</t>
  </si>
  <si>
    <t xml:space="preserve">Utilize Clintar as a selective strategic growth vehicle</t>
  </si>
  <si>
    <t xml:space="preserve">Motyka</t>
  </si>
  <si>
    <t xml:space="preserve">Clintar should be positioned toward experienced operators and strategic opportunities rather than high-volume franchise sales efforts.</t>
  </si>
  <si>
    <t xml:space="preserve">Rebuild validation and franchisee confidence within MilliCare</t>
  </si>
  <si>
    <t xml:space="preserve">Griffith/Weaver</t>
  </si>
  <si>
    <t xml:space="preserve">Long-term MilliCare growth requires improvement in franchisee sentiment, validation consistency, and economic confidence.</t>
  </si>
  <si>
    <t xml:space="preserve">Strengthen Operational Infrastructure &amp; Visbility</t>
  </si>
  <si>
    <t xml:space="preserve">Replace shared territory check inboxes with CRM routing</t>
  </si>
  <si>
    <t xml:space="preserve">Shared territory check workflows currently create operational inefficiencies and inconsistent response times.</t>
  </si>
  <si>
    <t xml:space="preserve">Implement territory check response SLA</t>
  </si>
  <si>
    <t xml:space="preserve">Fast and consistent response times are critical to broker experience and franchise sales momentum.</t>
  </si>
  <si>
    <t xml:space="preserve">Standardize lead assignment and routing logic</t>
  </si>
  <si>
    <t xml:space="preserve">Lead routing should prioritize transparency, accountability, and operational consistency across brands.</t>
  </si>
  <si>
    <t xml:space="preserve">Build centralized KPI dashboard and reporting visibility</t>
  </si>
  <si>
    <t xml:space="preserve">Leadership currently lacks consistent portfolio-wide visibility into funnel health and conversion trends.</t>
  </si>
  <si>
    <t xml:space="preserve">Improve CRM adoption and reporting discipline</t>
  </si>
  <si>
    <t xml:space="preserve">Dobelbower/Mattingly</t>
  </si>
  <si>
    <t xml:space="preserve">Consistent CRM usage is required to improve forecasting accuracy and operational visibility.</t>
  </si>
  <si>
    <t xml:space="preserve">Leverage Automation &amp; Content to Improve Scalability</t>
  </si>
  <si>
    <t xml:space="preserve">Develop standardized brand overview videos</t>
  </si>
  <si>
    <t xml:space="preserve">M Anderson/Leal</t>
  </si>
  <si>
    <t xml:space="preserve">Standardized brand messaging improves candidate consistency and reduces repetitive developer workload.</t>
  </si>
  <si>
    <t xml:space="preserve">Develop validation preparation and candidate education content</t>
  </si>
  <si>
    <t xml:space="preserve">N/A</t>
  </si>
  <si>
    <t xml:space="preserve">Better-prepared candidates improve validation outcomes and increase overall process efficiency.</t>
  </si>
  <si>
    <t xml:space="preserve">Create standardized FDD and process walkthrough videos</t>
  </si>
  <si>
    <t xml:space="preserve">Automation of repetitive educational content increases scalability and developer capacity.</t>
  </si>
  <si>
    <t xml:space="preserve">Build centralized content library across brands</t>
  </si>
  <si>
    <t xml:space="preserve">Centralized content infrastructure improves consistency and speed of deployment across the portfolio.</t>
  </si>
  <si>
    <t xml:space="preserve">Automate early-stage candidate education</t>
  </si>
  <si>
    <t xml:space="preserve">Automation creates operational leverage while improving consistency of the candidate experience.</t>
  </si>
  <si>
    <t xml:space="preserve">Establish Operating Rhythm &amp; Accountability</t>
  </si>
  <si>
    <t xml:space="preserve">Implement weekly KPI scorecards by brand, developer, and source</t>
  </si>
  <si>
    <t xml:space="preserve">Transparent performance reporting improves visibility and operational decision-making.</t>
  </si>
  <si>
    <t xml:space="preserve">Conduct monthly funnel conversion and marketing reviews</t>
  </si>
  <si>
    <t xml:space="preserve">Chadwick/MF Anderson</t>
  </si>
  <si>
    <t xml:space="preserve">Regular conversion analysis is necessary to optimize marketing efficiency and franchise development performance.</t>
  </si>
  <si>
    <t xml:space="preserve">Standardize forecasting methodology</t>
  </si>
  <si>
    <t xml:space="preserve">Forecasting methodologies currently vary across brands, limiting portfolio-level planning and visibility.</t>
  </si>
  <si>
    <t xml:space="preserve">Establish clear initiative ownership and accountability</t>
  </si>
  <si>
    <t xml:space="preserve">Consistent ownership structures are required to improve execution discipline and cross-functional alignment.</t>
  </si>
  <si>
    <t xml:space="preserve">Talent Evaluation </t>
  </si>
  <si>
    <t xml:space="preserve">Evaluate the current Franchise Development team to identify top performers, growth opportunities, and long-term leadership potential.</t>
  </si>
  <si>
    <t xml:space="preserve">This assessment will help ensure the organization has the right talent structure in place to support scalable growth across all brands.</t>
  </si>
  <si>
    <t xml:space="preserve">Establish standardized performance expectations and KPI accountability across all Franchise Development roles.</t>
  </si>
  <si>
    <t xml:space="preserve">Creating consistent scorecards and benchmarks will improve visibility, alignment, and operational discipline throughout the department.</t>
  </si>
  <si>
    <t xml:space="preserve">Identify capability gaps and organizational needs across recruiting, sales execution, broker management, and lead conversion.</t>
  </si>
  <si>
    <t xml:space="preserve">Understanding where additional support, training, or restructuring is needed will strengthen overall development effectiveness.</t>
  </si>
  <si>
    <t xml:space="preserve">Build a long-term talent development strategy focused on coaching, succession planning, and cross-brand collaboration.</t>
  </si>
  <si>
    <t xml:space="preserve">Investing in team development will create a more scalable and sustainable franchise development organization over time.</t>
  </si>
  <si>
    <t xml:space="preserve">Projects  —  Tactic Roll-Up (auto)</t>
  </si>
  <si>
    <t xml:space="preserve">AGGREGATION LAYER · One row per tactic. Status, %, risks and milestones roll up automatically from the 1:1 tabs. Run project reviews here or open the Project Review tab.</t>
  </si>
  <si>
    <t xml:space="preserve">Project ID</t>
  </si>
  <si>
    <t xml:space="preserve">Project / Tactic Name</t>
  </si>
  <si>
    <t xml:space="preserve">Exec Owner</t>
  </si>
  <si>
    <t xml:space="preserve">Lead Owner</t>
  </si>
  <si>
    <t xml:space="preserve">Strategic Goal (why)</t>
  </si>
  <si>
    <t xml:space="preserve">Current Status</t>
  </si>
  <si>
    <t xml:space="preserve">Key Risks</t>
  </si>
  <si>
    <t xml:space="preserve">Next Milestone</t>
  </si>
  <si>
    <t xml:space="preserve">Review</t>
  </si>
  <si>
    <t xml:space="preserve">P1-1</t>
  </si>
  <si>
    <t xml:space="preserve">P1-2</t>
  </si>
  <si>
    <t xml:space="preserve">P1-3</t>
  </si>
  <si>
    <t xml:space="preserve">P1-4</t>
  </si>
  <si>
    <t xml:space="preserve">P1-5</t>
  </si>
  <si>
    <t xml:space="preserve">P1-6</t>
  </si>
  <si>
    <t xml:space="preserve">P2-1</t>
  </si>
  <si>
    <t xml:space="preserve">Non-broker lead generation efforts are currently fragmented across brands and lack centralized strategic prioritzation.</t>
  </si>
  <si>
    <t xml:space="preserve">P2-2</t>
  </si>
  <si>
    <t xml:space="preserve">P2-3</t>
  </si>
  <si>
    <t xml:space="preserve">P2-4</t>
  </si>
  <si>
    <t xml:space="preserve">P2-5</t>
  </si>
  <si>
    <t xml:space="preserve">P3-1</t>
  </si>
  <si>
    <t xml:space="preserve">P3-2</t>
  </si>
  <si>
    <t xml:space="preserve">P3-3</t>
  </si>
  <si>
    <t xml:space="preserve">P3-4</t>
  </si>
  <si>
    <t xml:space="preserve">P3-5</t>
  </si>
  <si>
    <t xml:space="preserve">P3-6</t>
  </si>
  <si>
    <t xml:space="preserve">P3-7</t>
  </si>
  <si>
    <t xml:space="preserve">P4-1</t>
  </si>
  <si>
    <t xml:space="preserve">P4-2</t>
  </si>
  <si>
    <t xml:space="preserve">P4-3</t>
  </si>
  <si>
    <t xml:space="preserve">P4-4</t>
  </si>
  <si>
    <t xml:space="preserve">P4-5</t>
  </si>
  <si>
    <t xml:space="preserve">P4-6</t>
  </si>
  <si>
    <t xml:space="preserve">P4-7</t>
  </si>
  <si>
    <t xml:space="preserve">P5-1</t>
  </si>
  <si>
    <t xml:space="preserve">P5-2</t>
  </si>
  <si>
    <t xml:space="preserve">P5-3</t>
  </si>
  <si>
    <t xml:space="preserve">P5-4</t>
  </si>
  <si>
    <t xml:space="preserve">P5-5</t>
  </si>
  <si>
    <t xml:space="preserve">P6-1</t>
  </si>
  <si>
    <t xml:space="preserve">P6-2</t>
  </si>
  <si>
    <t xml:space="preserve">P6-3</t>
  </si>
  <si>
    <t xml:space="preserve">P6-4</t>
  </si>
  <si>
    <t xml:space="preserve">P6-5</t>
  </si>
  <si>
    <t xml:space="preserve">P7-1</t>
  </si>
  <si>
    <t xml:space="preserve">P7-2</t>
  </si>
  <si>
    <t xml:space="preserve">P7-3</t>
  </si>
  <si>
    <t xml:space="preserve">P7-4</t>
  </si>
  <si>
    <t xml:space="preserve">P8-1</t>
  </si>
  <si>
    <t xml:space="preserve">P8-2</t>
  </si>
  <si>
    <t xml:space="preserve">P8-3</t>
  </si>
  <si>
    <t xml:space="preserve">P8-4</t>
  </si>
  <si>
    <t xml:space="preserve">Project Review</t>
  </si>
  <si>
    <t xml:space="preserve">Pick a Project ID — the header and the full task list (everyone working on that tactic) populate automatically.</t>
  </si>
  <si>
    <t xml:space="preserve">Select Project ID &gt;</t>
  </si>
  <si>
    <t xml:space="preserve">Executive Owner</t>
  </si>
  <si>
    <t xml:space="preserve">Blocked Tasks</t>
  </si>
  <si>
    <t xml:space="preserve">Tasks for this Project  (everyone working on the tactic)</t>
  </si>
  <si>
    <t xml:space="preserve">Task ID</t>
  </si>
  <si>
    <t xml:space="preserve">Assigned To</t>
  </si>
  <si>
    <t xml:space="preserve">Task Description</t>
  </si>
  <si>
    <t xml:space="preserve">Role</t>
  </si>
  <si>
    <t xml:space="preserve">Priority</t>
  </si>
  <si>
    <t xml:space="preserve">% Comp</t>
  </si>
  <si>
    <t xml:space="preserve">Start</t>
  </si>
  <si>
    <t xml:space="preserve">Due</t>
  </si>
  <si>
    <t xml:space="preserve">Days Left</t>
  </si>
  <si>
    <t xml:space="preserve">Roadblock</t>
  </si>
  <si>
    <t xml:space="preserve">Last Update</t>
  </si>
  <si>
    <t xml:space="preserve">Next Step</t>
  </si>
  <si>
    <t xml:space="preserve">All Tasks  —  Consolidated Feed (auto)</t>
  </si>
  <si>
    <t xml:space="preserve">ENGINE · Every task from every 1:1 tab is pulled here automatically. Do not type here — update tasks on the individual tabs. Filter by Project ID or Assigned To for any view.</t>
  </si>
  <si>
    <t xml:space="preserve">Tactic / Project Name</t>
  </si>
  <si>
    <t xml:space="preserve">Percent Complete</t>
  </si>
  <si>
    <t xml:space="preserve">Start Date</t>
  </si>
  <si>
    <t xml:space="preserve">Due Date</t>
  </si>
  <si>
    <t xml:space="preserve">Dependency</t>
  </si>
  <si>
    <t xml:space="preserve">Source Tab</t>
  </si>
  <si>
    <t xml:space="preserve">Due7d</t>
  </si>
  <si>
    <t xml:space="preserve">DaysToDue</t>
  </si>
  <si>
    <t xml:space="preserve">EffPct</t>
  </si>
  <si>
    <t xml:space="preserve">HasRoad</t>
  </si>
  <si>
    <t xml:space="preserve">Active</t>
  </si>
  <si>
    <t xml:space="preserve">Quick Chadwick  —  1:1 Task Tracker</t>
  </si>
  <si>
    <t xml:space="preserve">INPUT LAYER · Update your tasks here. Pick a Project ID and the grey columns auto-fill; these tasks roll up to Projects and the Dashboard automatically.</t>
  </si>
  <si>
    <t xml:space="preserve">Hyperlink to Project Sheet</t>
  </si>
  <si>
    <t xml:space="preserve">Owner</t>
  </si>
  <si>
    <t xml:space="preserve">Develop Marketing Spend Reallocation Plan</t>
  </si>
  <si>
    <t xml:space="preserve">High</t>
  </si>
  <si>
    <t xml:space="preserve">Reviewed plan; edits suggested &amp; incorporated</t>
  </si>
  <si>
    <t xml:space="preserve">Monitor reallocated spend vs broker channels</t>
  </si>
  <si>
    <t xml:space="preserve">Contributor</t>
  </si>
  <si>
    <t xml:space="preserve">Training Section 1-3 in Fran Dev 101</t>
  </si>
  <si>
    <t xml:space="preserve">Medium</t>
  </si>
  <si>
    <t xml:space="preserve">Assigned 5/20</t>
  </si>
  <si>
    <t xml:space="preserve">Complete sections 2-3</t>
  </si>
  <si>
    <t xml:space="preserve">Video Coordination with Madsen Anderson</t>
  </si>
  <si>
    <t xml:space="preserve">Coordinating shoot schedule</t>
  </si>
  <si>
    <t xml:space="preserve">Lock production calendar</t>
  </si>
  <si>
    <t xml:space="preserve">Video Project (Signature 7 – 1-Tom)</t>
  </si>
  <si>
    <t xml:space="preserve">Completed</t>
  </si>
  <si>
    <t xml:space="preserve">Publish to content library</t>
  </si>
  <si>
    <t xml:space="preserve">Video Project (Signature 7 – The Seals)</t>
  </si>
  <si>
    <t xml:space="preserve">JL has sample; could be used as sub</t>
  </si>
  <si>
    <t xml:space="preserve">Confirm sub footage with Jamie</t>
  </si>
  <si>
    <t xml:space="preserve">Video Project (Signature 7 – Kitchen Guard)</t>
  </si>
  <si>
    <t xml:space="preserve">Could use Bytes &amp; Insights for sub</t>
  </si>
  <si>
    <t xml:space="preserve">Source sub footage</t>
  </si>
  <si>
    <t xml:space="preserve">Video Project (Signature 7 – MilliCare)</t>
  </si>
  <si>
    <t xml:space="preserve">Coordinate with Steve Griffith</t>
  </si>
  <si>
    <t xml:space="preserve">Kickoff with SG</t>
  </si>
  <si>
    <t xml:space="preserve">Video Project (Signature 7 – Prism)</t>
  </si>
  <si>
    <t xml:space="preserve">JL has sample</t>
  </si>
  <si>
    <t xml:space="preserve">Confirm sub footage</t>
  </si>
  <si>
    <t xml:space="preserve">Video Project (Signature 7 – Clintar)</t>
  </si>
  <si>
    <t xml:space="preserve">Could use TES for sub</t>
  </si>
  <si>
    <t xml:space="preserve">Video Project (Signature 7 – US Lawns)</t>
  </si>
  <si>
    <t xml:space="preserve">Coordinate with JS</t>
  </si>
  <si>
    <t xml:space="preserve">Kickoff with JS</t>
  </si>
  <si>
    <t xml:space="preserve">MaryFran Anderson  —  1:1 Task Tracker</t>
  </si>
  <si>
    <t xml:space="preserve">Broker Portal Update</t>
  </si>
  <si>
    <t xml:space="preserve">Updating broker portal records</t>
  </si>
  <si>
    <t xml:space="preserve">Finalize portal field mapping</t>
  </si>
  <si>
    <t xml:space="preserve">Broker Engagement Opportunities (membership opps)</t>
  </si>
  <si>
    <t xml:space="preserve">Coordinating with Chadwick</t>
  </si>
  <si>
    <t xml:space="preserve">Identify missed membership opportunities</t>
  </si>
  <si>
    <t xml:space="preserve">Broker Outreach Campaign (HubSpot drip build)</t>
  </si>
  <si>
    <t xml:space="preserve">HubSpot drip assets from QC</t>
  </si>
  <si>
    <t xml:space="preserve">Waiting on HubSpot drip assets from Chadwick</t>
  </si>
  <si>
    <t xml:space="preserve">Coordinate with QC</t>
  </si>
  <si>
    <t xml:space="preserve">Unblock drip assets, then define sequence</t>
  </si>
  <si>
    <t xml:space="preserve">In-Person Broker D-Day Event Planning</t>
  </si>
  <si>
    <t xml:space="preserve">Not started</t>
  </si>
  <si>
    <t xml:space="preserve">Draft event concept &amp; budget</t>
  </si>
  <si>
    <t xml:space="preserve">Defining SLA thresholds</t>
  </si>
  <si>
    <t xml:space="preserve">Publish SLA standard to broker team</t>
  </si>
  <si>
    <t xml:space="preserve">Shane Mattingly  —  1:1 Task Tracker</t>
  </si>
  <si>
    <t xml:space="preserve">Standardize pipeline stages, definitions &amp; reporting in CRM</t>
  </si>
  <si>
    <t xml:space="preserve">Critical</t>
  </si>
  <si>
    <t xml:space="preserve">Draft stage definitions circulated</t>
  </si>
  <si>
    <t xml:space="preserve">Finalize stage definitions &amp; lock CRM config</t>
  </si>
  <si>
    <t xml:space="preserve">Route 100% of broker leads through CRM</t>
  </si>
  <si>
    <t xml:space="preserve">Broker portal update (MFA)</t>
  </si>
  <si>
    <t xml:space="preserve">Building intake routing</t>
  </si>
  <si>
    <t xml:space="preserve">Test routing with sample broker leads</t>
  </si>
  <si>
    <t xml:space="preserve">Build centralized KPI dashboard &amp; reporting visibility</t>
  </si>
  <si>
    <t xml:space="preserve">Pipeline stage standardization (P1-2)</t>
  </si>
  <si>
    <t xml:space="preserve">Pending stage standardization</t>
  </si>
  <si>
    <t xml:space="preserve">Spec dashboard KPIs</t>
  </si>
  <si>
    <t xml:space="preserve">Implement weekly KPI scorecards by brand, developer &amp; source</t>
  </si>
  <si>
    <t xml:space="preserve">Scorecard v1 drafted</t>
  </si>
  <si>
    <t xml:space="preserve">Automate weekly refresh</t>
  </si>
  <si>
    <t xml:space="preserve">Reviewing brand forecast inputs</t>
  </si>
  <si>
    <t xml:space="preserve">Align methodology across brands</t>
  </si>
  <si>
    <t xml:space="preserve">Define distribution rules</t>
  </si>
  <si>
    <t xml:space="preserve">Leslie Toole  —  1:1 Task Tracker</t>
  </si>
  <si>
    <t xml:space="preserve">Leah Hanlon  —  1:1 Task Tracker</t>
  </si>
  <si>
    <t xml:space="preserve">Jamie Lavigne  —  1:1 Task Tracker</t>
  </si>
  <si>
    <t xml:space="preserve">Support</t>
  </si>
  <si>
    <t xml:space="preserve">Provide Signature 7 sample / sub footage</t>
  </si>
  <si>
    <t xml:space="preserve">Low</t>
  </si>
  <si>
    <t xml:space="preserve">Sample available for The Seals &amp; Prism</t>
  </si>
  <si>
    <t xml:space="preserve">Share footage with Chadwick</t>
  </si>
  <si>
    <t xml:space="preserve">Steve Griffith  —  1:1 Task Tracker</t>
  </si>
  <si>
    <t xml:space="preserve">Rebuild validation &amp; franchisee confidence within MilliCare</t>
  </si>
  <si>
    <t xml:space="preserve">Franchisee sentiment low; validation inconsistent</t>
  </si>
  <si>
    <t xml:space="preserve">Mapping current validators</t>
  </si>
  <si>
    <t xml:space="preserve">Build validator readiness plan</t>
  </si>
  <si>
    <t xml:space="preserve">Matt Motyka  —  1:1 Task Tracker</t>
  </si>
  <si>
    <t xml:space="preserve">Position Clintar as a selective strategic growth vehicle</t>
  </si>
  <si>
    <t xml:space="preserve">Defining target operator profile</t>
  </si>
  <si>
    <t xml:space="preserve">Draft selective growth criteria</t>
  </si>
  <si>
    <t xml:space="preserve">Alvaro Leal  —  1:1 Task Tracker</t>
  </si>
  <si>
    <t xml:space="preserve">Align on shot list</t>
  </si>
  <si>
    <t xml:space="preserve">Hand off final cut to library</t>
  </si>
  <si>
    <t xml:space="preserve">Cassidy Ford  —  1:1 Task Tracker</t>
  </si>
  <si>
    <t xml:space="preserve">CEO &amp; COO Transition Plan</t>
  </si>
  <si>
    <t xml:space="preserve">Timing:</t>
  </si>
  <si>
    <t xml:space="preserve">Oct. 25' to Dec. 25'. Internal announcement December week 3 or 4. External announcement January 1, 2026.</t>
  </si>
  <si>
    <t xml:space="preserve">Objectives:</t>
  </si>
  <si>
    <t xml:space="preserve">CEO, Ken Hutcheson and COO, Justin Ghadery, collaborate for healthy transition to: 1)  stabilize execution, 2) promote adoption, &amp; 3) avoid distractions</t>
  </si>
  <si>
    <t xml:space="preserve">Parties Involved:</t>
  </si>
  <si>
    <t xml:space="preserve">Justin Ghadery, Ken Hutcheson, &amp; Mike Eblin</t>
  </si>
  <si>
    <t xml:space="preserve">Specific Actions </t>
  </si>
  <si>
    <t xml:space="preserve">Frequency  </t>
  </si>
  <si>
    <t xml:space="preserve">Duration  </t>
  </si>
  <si>
    <t xml:space="preserve">(How often to check-in)</t>
  </si>
  <si>
    <t xml:space="preserve">(Date to Reassess)</t>
  </si>
  <si>
    <t xml:space="preserve">Advisory Partnership</t>
  </si>
  <si>
    <t xml:space="preserve">Executive Coach - Advise new CEO on development areas (strengths &amp; gaps) in various areas of leadership &amp; technical competencies.</t>
  </si>
  <si>
    <t xml:space="preserve">Weekly / Bi-Weekly</t>
  </si>
  <si>
    <t xml:space="preserve">12 Months +</t>
  </si>
  <si>
    <t xml:space="preserve">People - Provide feedback to successor on talent ratings for existing people moves, new hires, and potential acquisition needs. Provide input on budgeting process for full year, 4+8, or 6+6 in regard to talent needs.</t>
  </si>
  <si>
    <t xml:space="preserve">Ongoing</t>
  </si>
  <si>
    <t xml:space="preserve">12 Months</t>
  </si>
  <si>
    <t xml:space="preserve">Process - Join meetings across brands or at the ESB leadership level when input is needed. </t>
  </si>
  <si>
    <t xml:space="preserve">Performance - Assist with completing MOR and BOD meeting materials. Review performance trends to identify gaps, anticipate trends, and recommend solutions.</t>
  </si>
  <si>
    <t xml:space="preserve">ESB Key Priorities &amp; Decisions</t>
  </si>
  <si>
    <t xml:space="preserve">Acquisitions - Advise on pre &amp; post close diligence and decisions such as employee needs, development, and revenue opportunities.</t>
  </si>
  <si>
    <t xml:space="preserve">Financial Modeling &amp; Analysis - Assist in monthly MRP review and analysis, MOR &amp; BOD prep, ramp models for existing and new brands for new franchise owners, and marketing fund performance.</t>
  </si>
  <si>
    <t xml:space="preserve">Monthly</t>
  </si>
  <si>
    <t xml:space="preserve">Talent - Assist successor in interviews as needed or requested, provide input at EOY review process, and general strategies for talent needs such as upgrades, new positions, or role changes. </t>
  </si>
  <si>
    <t xml:space="preserve">3 Months</t>
  </si>
  <si>
    <t xml:space="preserve">Operations - Support national account strategy for all brands including key target customers, pilot programs for expansions such as Relay Fire and Kitchen Guard, and financial management activities for new and existing franchise owners such as business plans, cash management, and other key decisions for new franchise owners. </t>
  </si>
  <si>
    <t xml:space="preserve">Support During Crisis Management - Serve as an immediate resource to successor as problems arise with daily operations whether it be team members, franchisee relations, key suppliers, or top customers. </t>
  </si>
  <si>
    <t xml:space="preserve">Weekly</t>
  </si>
  <si>
    <t xml:space="preserve">Maintain Stakeholder Relationships</t>
  </si>
  <si>
    <t xml:space="preserve">“Bridge” the Past, Present &amp; Future - Attend ESB monthly townhalls at discretion of the successor to celebrate past and present accomplishments, while outlining insights for future potential at ESB. </t>
  </si>
  <si>
    <t xml:space="preserve">Suppliers &amp; Top Customers - Participate in communication between top vendors and top customer accounts across brands at the request of the successor to signal stability and confidence in sustaining current company performance and relationships, as well as innovating or exploring new areas of the business.</t>
  </si>
  <si>
    <t xml:space="preserve">Foster Collaboration and Trust - Serve as and extension of the successor by sharing information directly or confidentially we you learn of any risk or exposure to the business, as well as team members at flight risk. Continue to advocate for the successor and encourage team members, franchise owners, suppliers, and customers to trust the direction of the portfolio and offer a direct connection to the successor as necessary. </t>
  </si>
  <si>
    <t xml:space="preserve">Feedback Loops</t>
  </si>
  <si>
    <t xml:space="preserve">Leverage Institutional Knowledge - Advise successor on historical information related to US Lawns company operations as well as B2B industry specific trends of the past, present, and future.</t>
  </si>
  <si>
    <t xml:space="preserve">Strategic Initiatives - Review strategic initiatives for ESB and each brand at successor's discretion for specific feedback and opportunities while focusing on a competitive analysis across each of our current companies, expanded service lines across our various companies, and industry specific events to position the brand(s) for best exit value.</t>
  </si>
  <si>
    <t xml:space="preserve">Personal Development Plan - Provide successor with regular assessment of performance, both objectively and subjectively, and advise on areas of improvement.</t>
  </si>
  <si>
    <t xml:space="preserve">Bi-Weekly</t>
  </si>
  <si>
    <t xml:space="preserve">Guide Leadership Development - Provide input to successor as it relates to ESB management team, brand leaders, and senior leaders across ESB, with specific examples of strengths, areas of improvement, and activities for development in an objective manner. </t>
  </si>
  <si>
    <t xml:space="preserve">ProjectID</t>
  </si>
  <si>
    <t xml:space="preserve">Orig Status</t>
  </si>
  <si>
    <t xml:space="preserve">StatusList</t>
  </si>
  <si>
    <t xml:space="preserve">PriorityList</t>
  </si>
  <si>
    <t xml:space="preserve">RoleList</t>
  </si>
  <si>
    <t xml:space="preserve">Waiting on Someone</t>
  </si>
</sst>
</file>

<file path=xl/styles.xml><?xml version="1.0" encoding="utf-8"?>
<styleSheet xmlns="http://schemas.openxmlformats.org/spreadsheetml/2006/main">
  <numFmts count="8">
    <numFmt numFmtId="164" formatCode="General"/>
    <numFmt numFmtId="165" formatCode="_(* #,##0.00_);_(* \(#,##0.00\);_(* \-??_);_(@_)"/>
    <numFmt numFmtId="166" formatCode="0"/>
    <numFmt numFmtId="167" formatCode="0%"/>
    <numFmt numFmtId="168" formatCode="General"/>
    <numFmt numFmtId="169" formatCode="[$-409]mmmm\ d&quot;, &quot;yyyy;@"/>
    <numFmt numFmtId="170" formatCode="m/d/yyyy"/>
    <numFmt numFmtId="171" formatCode="0.0"/>
  </numFmts>
  <fonts count="52">
    <font>
      <sz val="11"/>
      <color theme="1"/>
      <name val="Aptos Narrow"/>
      <family val="2"/>
      <charset val="1"/>
    </font>
    <font>
      <sz val="10"/>
      <name val="Arial"/>
      <family val="0"/>
    </font>
    <font>
      <sz val="10"/>
      <name val="Arial"/>
      <family val="0"/>
    </font>
    <font>
      <sz val="10"/>
      <name val="Arial"/>
      <family val="0"/>
    </font>
    <font>
      <sz val="10"/>
      <color theme="1"/>
      <name val="Times New Roman"/>
      <family val="2"/>
      <charset val="1"/>
    </font>
    <font>
      <sz val="10"/>
      <color rgb="FF006100"/>
      <name val="Times New Roman"/>
      <family val="2"/>
      <charset val="1"/>
    </font>
    <font>
      <b val="true"/>
      <sz val="18"/>
      <color rgb="FFFFFFFF"/>
      <name val="Arial"/>
      <family val="0"/>
      <charset val="1"/>
    </font>
    <font>
      <i val="true"/>
      <sz val="9"/>
      <color rgb="FF404040"/>
      <name val="Arial"/>
      <family val="0"/>
      <charset val="1"/>
    </font>
    <font>
      <b val="true"/>
      <sz val="26"/>
      <color rgb="FFFFFFFF"/>
      <name val="Arial"/>
      <family val="0"/>
      <charset val="1"/>
    </font>
    <font>
      <b val="true"/>
      <sz val="9"/>
      <color rgb="FFFFFFFF"/>
      <name val="Arial"/>
      <family val="0"/>
      <charset val="1"/>
    </font>
    <font>
      <b val="true"/>
      <sz val="12"/>
      <color rgb="FF2D4479"/>
      <name val="Arial"/>
      <family val="0"/>
      <charset val="1"/>
    </font>
    <font>
      <sz val="9"/>
      <color rgb="FF000000"/>
      <name val="Arial"/>
      <family val="0"/>
      <charset val="1"/>
    </font>
    <font>
      <b val="true"/>
      <sz val="18"/>
      <color rgb="FF000000"/>
      <name val="Aptos Narrow"/>
      <family val="2"/>
    </font>
    <font>
      <sz val="10"/>
      <color rgb="FF000000"/>
      <name val="Aptos Narrow"/>
      <family val="2"/>
    </font>
    <font>
      <sz val="11"/>
      <color theme="1"/>
      <name val="Century Gothic"/>
      <family val="2"/>
      <charset val="1"/>
    </font>
    <font>
      <sz val="10"/>
      <color theme="1"/>
      <name val="Century Gothic"/>
      <family val="2"/>
      <charset val="1"/>
    </font>
    <font>
      <b val="true"/>
      <sz val="14"/>
      <color theme="0"/>
      <name val="Century Gothic"/>
      <family val="2"/>
      <charset val="1"/>
    </font>
    <font>
      <sz val="18"/>
      <color theme="1"/>
      <name val="Century Gothic"/>
      <family val="2"/>
      <charset val="1"/>
    </font>
    <font>
      <sz val="10"/>
      <color rgb="FF404040"/>
      <name val="Arial"/>
      <family val="0"/>
      <charset val="1"/>
    </font>
    <font>
      <sz val="18"/>
      <color theme="1"/>
      <name val="Aptos Narrow"/>
      <family val="2"/>
      <charset val="1"/>
    </font>
    <font>
      <b val="true"/>
      <sz val="11"/>
      <name val="Century Gothic"/>
      <family val="2"/>
      <charset val="1"/>
    </font>
    <font>
      <sz val="11"/>
      <name val="Century Gothic"/>
      <family val="2"/>
      <charset val="1"/>
    </font>
    <font>
      <b val="true"/>
      <sz val="11"/>
      <color theme="0"/>
      <name val="Century Gothic"/>
      <family val="2"/>
      <charset val="1"/>
    </font>
    <font>
      <b val="true"/>
      <sz val="9"/>
      <color rgb="FF2E75B6"/>
      <name val="Arial"/>
      <family val="0"/>
      <charset val="1"/>
    </font>
    <font>
      <sz val="10"/>
      <name val="Century Gothic"/>
      <family val="2"/>
      <charset val="1"/>
    </font>
    <font>
      <sz val="11"/>
      <color rgb="FF000000"/>
      <name val="Century Gothic"/>
      <family val="2"/>
      <charset val="1"/>
    </font>
    <font>
      <b val="true"/>
      <sz val="11"/>
      <color rgb="FF000000"/>
      <name val="Century Gothic"/>
      <family val="2"/>
      <charset val="1"/>
    </font>
    <font>
      <i val="true"/>
      <sz val="10"/>
      <color rgb="FF000000"/>
      <name val="Century Gothic"/>
      <family val="2"/>
      <charset val="1"/>
    </font>
    <font>
      <b val="true"/>
      <sz val="10"/>
      <color rgb="FF000000"/>
      <name val="Century Gothic"/>
      <family val="2"/>
      <charset val="1"/>
    </font>
    <font>
      <sz val="10"/>
      <color rgb="FF000000"/>
      <name val="Century Gothic"/>
      <family val="2"/>
      <charset val="1"/>
    </font>
    <font>
      <b val="true"/>
      <i val="true"/>
      <sz val="10"/>
      <color rgb="FF000000"/>
      <name val="Century Gothic"/>
      <family val="2"/>
      <charset val="1"/>
    </font>
    <font>
      <b val="true"/>
      <sz val="16"/>
      <color rgb="FFFFFFFF"/>
      <name val="Arial"/>
      <family val="0"/>
      <charset val="1"/>
    </font>
    <font>
      <b val="true"/>
      <sz val="9"/>
      <color rgb="FF2D4479"/>
      <name val="Arial"/>
      <family val="0"/>
      <charset val="1"/>
    </font>
    <font>
      <sz val="9"/>
      <color rgb="FF2E75B6"/>
      <name val="Arial"/>
      <family val="0"/>
      <charset val="1"/>
    </font>
    <font>
      <b val="true"/>
      <sz val="11"/>
      <color rgb="FF2D4479"/>
      <name val="Arial"/>
      <family val="0"/>
      <charset val="1"/>
    </font>
    <font>
      <b val="true"/>
      <sz val="12"/>
      <color rgb="FF7F6000"/>
      <name val="Arial"/>
      <family val="0"/>
      <charset val="1"/>
    </font>
    <font>
      <b val="true"/>
      <sz val="10"/>
      <color rgb="FF404040"/>
      <name val="Arial"/>
      <family val="0"/>
      <charset val="1"/>
    </font>
    <font>
      <sz val="10"/>
      <color rgb="FF000000"/>
      <name val="Arial"/>
      <family val="0"/>
      <charset val="1"/>
    </font>
    <font>
      <b val="true"/>
      <sz val="11"/>
      <color rgb="FFFFFFFF"/>
      <name val="Arial"/>
      <family val="0"/>
      <charset val="1"/>
    </font>
    <font>
      <b val="true"/>
      <sz val="8"/>
      <color rgb="FFFFFFFF"/>
      <name val="Arial"/>
      <family val="0"/>
      <charset val="1"/>
    </font>
    <font>
      <sz val="8"/>
      <color rgb="FF000000"/>
      <name val="Arial"/>
      <family val="0"/>
      <charset val="1"/>
    </font>
    <font>
      <b val="true"/>
      <sz val="9"/>
      <color rgb="FF7F7F7F"/>
      <name val="Arial"/>
      <family val="0"/>
      <charset val="1"/>
    </font>
    <font>
      <sz val="9"/>
      <color rgb="FF3F3F3F"/>
      <name val="Arial"/>
      <family val="0"/>
      <charset val="1"/>
    </font>
    <font>
      <b val="true"/>
      <sz val="14"/>
      <color theme="1"/>
      <name val="Aptos Narrow"/>
      <family val="2"/>
      <charset val="1"/>
    </font>
    <font>
      <b val="true"/>
      <sz val="11"/>
      <color theme="1"/>
      <name val="Aptos Narrow"/>
      <family val="2"/>
      <charset val="1"/>
    </font>
    <font>
      <sz val="14"/>
      <color theme="1"/>
      <name val="Aptos Narrow"/>
      <family val="2"/>
      <charset val="1"/>
    </font>
    <font>
      <b val="true"/>
      <sz val="12"/>
      <color theme="1"/>
      <name val="Aptos Narrow"/>
      <family val="2"/>
      <charset val="1"/>
    </font>
    <font>
      <sz val="12"/>
      <color theme="1"/>
      <name val="Aptos Narrow"/>
      <family val="2"/>
      <charset val="1"/>
    </font>
    <font>
      <sz val="10"/>
      <color theme="1"/>
      <name val="Aptos Narrow"/>
      <family val="2"/>
      <charset val="1"/>
    </font>
    <font>
      <sz val="11"/>
      <color rgb="FF000000"/>
      <name val="Aptos Narrow"/>
      <family val="2"/>
      <charset val="1"/>
    </font>
    <font>
      <b val="true"/>
      <sz val="10"/>
      <color rgb="FFFFFFFF"/>
      <name val="Arial"/>
      <family val="0"/>
      <charset val="1"/>
    </font>
    <font>
      <b val="true"/>
      <sz val="9"/>
      <color rgb="FF595959"/>
      <name val="Arial"/>
      <family val="0"/>
      <charset val="1"/>
    </font>
  </fonts>
  <fills count="22">
    <fill>
      <patternFill patternType="none"/>
    </fill>
    <fill>
      <patternFill patternType="gray125"/>
    </fill>
    <fill>
      <patternFill patternType="solid">
        <fgColor rgb="FFC6EFCE"/>
        <bgColor rgb="FFC1E5F5"/>
      </patternFill>
    </fill>
    <fill>
      <patternFill patternType="solid">
        <fgColor rgb="FF1F3864"/>
        <bgColor rgb="FF2D4479"/>
      </patternFill>
    </fill>
    <fill>
      <patternFill patternType="solid">
        <fgColor rgb="FF2E75B6"/>
        <bgColor rgb="FF156082"/>
      </patternFill>
    </fill>
    <fill>
      <patternFill patternType="solid">
        <fgColor rgb="FF70AD47"/>
        <bgColor rgb="FF548235"/>
      </patternFill>
    </fill>
    <fill>
      <patternFill patternType="solid">
        <fgColor rgb="FFFFC000"/>
        <bgColor rgb="FFFFFF00"/>
      </patternFill>
    </fill>
    <fill>
      <patternFill patternType="solid">
        <fgColor rgb="FFC00000"/>
        <bgColor rgb="FF9C0006"/>
      </patternFill>
    </fill>
    <fill>
      <patternFill patternType="solid">
        <fgColor rgb="FF548235"/>
        <bgColor rgb="FF595959"/>
      </patternFill>
    </fill>
    <fill>
      <patternFill patternType="solid">
        <fgColor rgb="FF2D4479"/>
        <bgColor rgb="FF1F4E78"/>
      </patternFill>
    </fill>
    <fill>
      <patternFill patternType="solid">
        <fgColor rgb="FF404040"/>
        <bgColor rgb="FF3F3F3F"/>
      </patternFill>
    </fill>
    <fill>
      <patternFill patternType="solid">
        <fgColor rgb="FFBF9000"/>
        <bgColor rgb="FF9C6500"/>
      </patternFill>
    </fill>
    <fill>
      <patternFill patternType="solid">
        <fgColor rgb="FF808080"/>
        <bgColor rgb="FF7F7F7F"/>
      </patternFill>
    </fill>
    <fill>
      <patternFill patternType="solid">
        <fgColor rgb="FFA6A6A6"/>
        <bgColor rgb="FFBFBFBF"/>
      </patternFill>
    </fill>
    <fill>
      <patternFill patternType="solid">
        <fgColor rgb="FF1F6F54"/>
        <bgColor rgb="FF156082"/>
      </patternFill>
    </fill>
    <fill>
      <patternFill patternType="solid">
        <fgColor theme="1"/>
        <bgColor rgb="FF262626"/>
      </patternFill>
    </fill>
    <fill>
      <patternFill patternType="solid">
        <fgColor theme="4" tint="0.7999"/>
        <bgColor rgb="FFC6EFCE"/>
      </patternFill>
    </fill>
    <fill>
      <patternFill patternType="solid">
        <fgColor rgb="FFFFF2CC"/>
        <bgColor rgb="FFFCE4D6"/>
      </patternFill>
    </fill>
    <fill>
      <patternFill patternType="solid">
        <fgColor rgb="FFF2F2F2"/>
        <bgColor rgb="FFDDEBF7"/>
      </patternFill>
    </fill>
    <fill>
      <patternFill patternType="solid">
        <fgColor rgb="FF595959"/>
        <bgColor rgb="FF404040"/>
      </patternFill>
    </fill>
    <fill>
      <patternFill patternType="solid">
        <fgColor theme="4"/>
        <bgColor rgb="FF1F4E78"/>
      </patternFill>
    </fill>
    <fill>
      <patternFill patternType="solid">
        <fgColor theme="2" tint="-0.1"/>
        <bgColor rgb="FFD9D9D9"/>
      </patternFill>
    </fill>
  </fills>
  <borders count="72">
    <border diagonalUp="false" diagonalDown="false">
      <left/>
      <right/>
      <top/>
      <bottom/>
      <diagonal/>
    </border>
    <border diagonalUp="false" diagonalDown="false">
      <left style="medium">
        <color rgb="FF808080"/>
      </left>
      <right/>
      <top style="medium">
        <color rgb="FF808080"/>
      </top>
      <bottom style="thin">
        <color rgb="FF2E75B6"/>
      </bottom>
      <diagonal/>
    </border>
    <border diagonalUp="false" diagonalDown="false">
      <left style="medium">
        <color rgb="FF808080"/>
      </left>
      <right/>
      <top style="medium">
        <color rgb="FF808080"/>
      </top>
      <bottom style="thin">
        <color rgb="FF70AD47"/>
      </bottom>
      <diagonal/>
    </border>
    <border diagonalUp="false" diagonalDown="false">
      <left style="medium">
        <color rgb="FF808080"/>
      </left>
      <right/>
      <top style="medium">
        <color rgb="FF808080"/>
      </top>
      <bottom style="thin">
        <color rgb="FFFFC000"/>
      </bottom>
      <diagonal/>
    </border>
    <border diagonalUp="false" diagonalDown="false">
      <left style="medium">
        <color rgb="FF808080"/>
      </left>
      <right/>
      <top style="medium">
        <color rgb="FF808080"/>
      </top>
      <bottom style="thin">
        <color rgb="FFC00000"/>
      </bottom>
      <diagonal/>
    </border>
    <border diagonalUp="false" diagonalDown="false">
      <left style="medium">
        <color rgb="FF808080"/>
      </left>
      <right/>
      <top style="medium">
        <color rgb="FF808080"/>
      </top>
      <bottom style="thin">
        <color rgb="FF548235"/>
      </bottom>
      <diagonal/>
    </border>
    <border diagonalUp="false" diagonalDown="false">
      <left style="medium">
        <color rgb="FF808080"/>
      </left>
      <right/>
      <top style="medium">
        <color rgb="FF808080"/>
      </top>
      <bottom style="thin">
        <color rgb="FF2D4479"/>
      </bottom>
      <diagonal/>
    </border>
    <border diagonalUp="false" diagonalDown="false">
      <left style="medium">
        <color rgb="FF808080"/>
      </left>
      <right/>
      <top style="thin">
        <color rgb="FF2E75B6"/>
      </top>
      <bottom style="medium">
        <color rgb="FF808080"/>
      </bottom>
      <diagonal/>
    </border>
    <border diagonalUp="false" diagonalDown="false">
      <left style="medium">
        <color rgb="FF808080"/>
      </left>
      <right/>
      <top style="thin">
        <color rgb="FF70AD47"/>
      </top>
      <bottom style="medium">
        <color rgb="FF808080"/>
      </bottom>
      <diagonal/>
    </border>
    <border diagonalUp="false" diagonalDown="false">
      <left style="medium">
        <color rgb="FF808080"/>
      </left>
      <right/>
      <top style="thin">
        <color rgb="FFFFC000"/>
      </top>
      <bottom style="medium">
        <color rgb="FF808080"/>
      </bottom>
      <diagonal/>
    </border>
    <border diagonalUp="false" diagonalDown="false">
      <left style="medium">
        <color rgb="FF808080"/>
      </left>
      <right/>
      <top style="thin">
        <color rgb="FFC00000"/>
      </top>
      <bottom style="medium">
        <color rgb="FF808080"/>
      </bottom>
      <diagonal/>
    </border>
    <border diagonalUp="false" diagonalDown="false">
      <left style="medium">
        <color rgb="FF808080"/>
      </left>
      <right/>
      <top style="thin">
        <color rgb="FF548235"/>
      </top>
      <bottom style="medium">
        <color rgb="FF808080"/>
      </bottom>
      <diagonal/>
    </border>
    <border diagonalUp="false" diagonalDown="false">
      <left style="medium">
        <color rgb="FF808080"/>
      </left>
      <right/>
      <top style="thin">
        <color rgb="FF2D4479"/>
      </top>
      <bottom style="medium">
        <color rgb="FF808080"/>
      </bottom>
      <diagonal/>
    </border>
    <border diagonalUp="false" diagonalDown="false">
      <left style="medium">
        <color rgb="FF808080"/>
      </left>
      <right/>
      <top style="medium">
        <color rgb="FF808080"/>
      </top>
      <bottom style="thin">
        <color rgb="FF404040"/>
      </bottom>
      <diagonal/>
    </border>
    <border diagonalUp="false" diagonalDown="false">
      <left style="medium">
        <color rgb="FF808080"/>
      </left>
      <right/>
      <top style="medium">
        <color rgb="FF808080"/>
      </top>
      <bottom style="thin">
        <color rgb="FFBF9000"/>
      </bottom>
      <diagonal/>
    </border>
    <border diagonalUp="false" diagonalDown="false">
      <left style="medium">
        <color rgb="FF808080"/>
      </left>
      <right/>
      <top style="medium">
        <color rgb="FF808080"/>
      </top>
      <bottom style="thin">
        <color rgb="FF808080"/>
      </bottom>
      <diagonal/>
    </border>
    <border diagonalUp="false" diagonalDown="false">
      <left style="medium">
        <color rgb="FF808080"/>
      </left>
      <right/>
      <top style="medium">
        <color rgb="FF808080"/>
      </top>
      <bottom style="thin">
        <color rgb="FFA6A6A6"/>
      </bottom>
      <diagonal/>
    </border>
    <border diagonalUp="false" diagonalDown="false">
      <left style="medium">
        <color rgb="FF808080"/>
      </left>
      <right/>
      <top style="medium">
        <color rgb="FF808080"/>
      </top>
      <bottom style="thin">
        <color rgb="FF1F6F54"/>
      </bottom>
      <diagonal/>
    </border>
    <border diagonalUp="false" diagonalDown="false">
      <left style="medium">
        <color rgb="FF808080"/>
      </left>
      <right/>
      <top style="thin">
        <color rgb="FF404040"/>
      </top>
      <bottom style="medium">
        <color rgb="FF808080"/>
      </bottom>
      <diagonal/>
    </border>
    <border diagonalUp="false" diagonalDown="false">
      <left style="medium">
        <color rgb="FF808080"/>
      </left>
      <right/>
      <top style="thin">
        <color rgb="FFBF9000"/>
      </top>
      <bottom style="medium">
        <color rgb="FF808080"/>
      </bottom>
      <diagonal/>
    </border>
    <border diagonalUp="false" diagonalDown="false">
      <left style="medium">
        <color rgb="FF808080"/>
      </left>
      <right/>
      <top style="thin">
        <color rgb="FF808080"/>
      </top>
      <bottom style="medium">
        <color rgb="FF808080"/>
      </bottom>
      <diagonal/>
    </border>
    <border diagonalUp="false" diagonalDown="false">
      <left style="medium">
        <color rgb="FF808080"/>
      </left>
      <right/>
      <top style="thin">
        <color rgb="FFA6A6A6"/>
      </top>
      <bottom style="medium">
        <color rgb="FF808080"/>
      </bottom>
      <diagonal/>
    </border>
    <border diagonalUp="false" diagonalDown="false">
      <left style="medium">
        <color rgb="FF808080"/>
      </left>
      <right/>
      <top style="thin">
        <color rgb="FF1F6F54"/>
      </top>
      <bottom style="medium">
        <color rgb="FF808080"/>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thick"/>
      <right style="thin">
        <color theme="0"/>
      </right>
      <top style="thick"/>
      <bottom/>
      <diagonal/>
    </border>
    <border diagonalUp="false" diagonalDown="false">
      <left/>
      <right/>
      <top style="thick"/>
      <bottom/>
      <diagonal/>
    </border>
    <border diagonalUp="false" diagonalDown="false">
      <left/>
      <right style="thick"/>
      <top style="thick"/>
      <bottom/>
      <diagonal/>
    </border>
    <border diagonalUp="false" diagonalDown="false">
      <left style="thick"/>
      <right/>
      <top/>
      <bottom/>
      <diagonal/>
    </border>
    <border diagonalUp="false" diagonalDown="false">
      <left style="thin"/>
      <right style="thin">
        <color theme="0"/>
      </right>
      <top style="thin"/>
      <bottom style="thin">
        <color theme="0"/>
      </bottom>
      <diagonal/>
    </border>
    <border diagonalUp="false" diagonalDown="false">
      <left style="thin">
        <color theme="0"/>
      </left>
      <right style="thin">
        <color theme="0"/>
      </right>
      <top style="thin"/>
      <bottom style="thin">
        <color theme="0"/>
      </bottom>
      <diagonal/>
    </border>
    <border diagonalUp="false" diagonalDown="false">
      <left style="thin">
        <color theme="0"/>
      </left>
      <right/>
      <top style="thin"/>
      <bottom style="thin">
        <color theme="0"/>
      </bottom>
      <diagonal/>
    </border>
    <border diagonalUp="false" diagonalDown="false">
      <left style="medium"/>
      <right style="medium"/>
      <top style="medium"/>
      <bottom style="thin"/>
      <diagonal/>
    </border>
    <border diagonalUp="false" diagonalDown="false">
      <left style="medium"/>
      <right style="thin">
        <color theme="0"/>
      </right>
      <top style="thin">
        <color theme="0"/>
      </top>
      <bottom style="thin">
        <color theme="0"/>
      </bottom>
      <diagonal/>
    </border>
    <border diagonalUp="false" diagonalDown="false">
      <left/>
      <right style="medium"/>
      <top/>
      <bottom/>
      <diagonal/>
    </border>
    <border diagonalUp="false" diagonalDown="false">
      <left style="thin"/>
      <right style="thin">
        <color theme="0"/>
      </right>
      <top style="thin">
        <color theme="0"/>
      </top>
      <bottom style="thin">
        <color theme="0"/>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top style="thin">
        <color theme="0"/>
      </top>
      <bottom style="thin">
        <color theme="0"/>
      </bottom>
      <diagonal/>
    </border>
    <border diagonalUp="false" diagonalDown="false">
      <left style="medium"/>
      <right style="medium"/>
      <top style="thin"/>
      <bottom style="thin"/>
      <diagonal/>
    </border>
    <border diagonalUp="false" diagonalDown="false">
      <left style="medium"/>
      <right style="thin">
        <color theme="0"/>
      </right>
      <top style="thin">
        <color theme="0"/>
      </top>
      <bottom style="medium"/>
      <diagonal/>
    </border>
    <border diagonalUp="false" diagonalDown="false">
      <left/>
      <right style="medium"/>
      <top/>
      <bottom style="medium"/>
      <diagonal/>
    </border>
    <border diagonalUp="false" diagonalDown="false">
      <left style="thick"/>
      <right/>
      <top/>
      <bottom style="thick"/>
      <diagonal/>
    </border>
    <border diagonalUp="false" diagonalDown="false">
      <left/>
      <right/>
      <top/>
      <bottom style="thick"/>
      <diagonal/>
    </border>
    <border diagonalUp="false" diagonalDown="false">
      <left style="thin"/>
      <right style="thin">
        <color theme="0"/>
      </right>
      <top style="thin">
        <color theme="0"/>
      </top>
      <bottom style="thick"/>
      <diagonal/>
    </border>
    <border diagonalUp="false" diagonalDown="false">
      <left style="thin">
        <color theme="0"/>
      </left>
      <right style="thin">
        <color theme="0"/>
      </right>
      <top style="thin">
        <color theme="0"/>
      </top>
      <bottom style="thick"/>
      <diagonal/>
    </border>
    <border diagonalUp="false" diagonalDown="false">
      <left style="thin">
        <color theme="0"/>
      </left>
      <right/>
      <top style="thin">
        <color theme="0"/>
      </top>
      <bottom style="thick"/>
      <diagonal/>
    </border>
    <border diagonalUp="false" diagonalDown="false">
      <left style="medium"/>
      <right style="medium"/>
      <top style="thin"/>
      <bottom style="medium"/>
      <diagonal/>
    </border>
    <border diagonalUp="false" diagonalDown="false">
      <left style="thick"/>
      <right/>
      <top style="thick"/>
      <bottom style="thin">
        <color theme="0"/>
      </bottom>
      <diagonal/>
    </border>
    <border diagonalUp="false" diagonalDown="false">
      <left/>
      <right/>
      <top style="thick"/>
      <bottom style="medium"/>
      <diagonal/>
    </border>
    <border diagonalUp="false" diagonalDown="false">
      <left/>
      <right/>
      <top style="thick"/>
      <bottom style="thin"/>
      <diagonal/>
    </border>
    <border diagonalUp="false" diagonalDown="false">
      <left/>
      <right/>
      <top style="thin">
        <color theme="0"/>
      </top>
      <bottom style="thin">
        <color theme="0"/>
      </bottom>
      <diagonal/>
    </border>
    <border diagonalUp="false" diagonalDown="false">
      <left/>
      <right/>
      <top style="thin">
        <color theme="0"/>
      </top>
      <bottom style="thick"/>
      <diagonal/>
    </border>
    <border diagonalUp="false" diagonalDown="false">
      <left style="thin">
        <color theme="0"/>
      </left>
      <right/>
      <top/>
      <bottom style="thin">
        <color theme="0"/>
      </bottom>
      <diagonal/>
    </border>
    <border diagonalUp="false" diagonalDown="false">
      <left style="thin">
        <color theme="0"/>
      </left>
      <right style="thin">
        <color theme="0"/>
      </right>
      <top/>
      <bottom style="thin">
        <color theme="0"/>
      </bottom>
      <diagonal/>
    </border>
    <border diagonalUp="false" diagonalDown="false">
      <left/>
      <right/>
      <top/>
      <bottom style="thin">
        <color theme="0"/>
      </bottom>
      <diagonal/>
    </border>
    <border diagonalUp="false" diagonalDown="false">
      <left style="thin">
        <color theme="0"/>
      </left>
      <right/>
      <top style="thin">
        <color theme="0"/>
      </top>
      <bottom/>
      <diagonal/>
    </border>
    <border diagonalUp="false" diagonalDown="false">
      <left style="thin">
        <color theme="0"/>
      </left>
      <right style="thin">
        <color theme="0"/>
      </right>
      <top style="thin">
        <color theme="0"/>
      </top>
      <bottom/>
      <diagonal/>
    </border>
    <border diagonalUp="false" diagonalDown="false">
      <left/>
      <right/>
      <top style="thin">
        <color theme="0"/>
      </top>
      <bottom/>
      <diagonal/>
    </border>
    <border diagonalUp="false" diagonalDown="false">
      <left/>
      <right style="thick"/>
      <top style="thick"/>
      <bottom style="medium"/>
      <diagonal/>
    </border>
    <border diagonalUp="false" diagonalDown="false">
      <left/>
      <right style="thin">
        <color theme="0"/>
      </right>
      <top style="thin">
        <color theme="0"/>
      </top>
      <bottom style="thin">
        <color theme="0"/>
      </bottom>
      <diagonal/>
    </border>
    <border diagonalUp="false" diagonalDown="false">
      <left/>
      <right style="thin">
        <color theme="0"/>
      </right>
      <top style="thin">
        <color theme="0"/>
      </top>
      <bottom/>
      <diagonal/>
    </border>
    <border diagonalUp="false" diagonalDown="false">
      <left/>
      <right style="thin">
        <color theme="0"/>
      </right>
      <top style="thin">
        <color theme="0"/>
      </top>
      <bottom style="thick"/>
      <diagonal/>
    </border>
    <border diagonalUp="false" diagonalDown="false">
      <left style="thin">
        <color rgb="FFBFBFBF"/>
      </left>
      <right/>
      <top style="thin">
        <color rgb="FFBFBFBF"/>
      </top>
      <bottom style="thin">
        <color rgb="FFBFBFBF"/>
      </bottom>
      <diagonal/>
    </border>
    <border diagonalUp="false" diagonalDown="false">
      <left style="medium"/>
      <right style="medium"/>
      <top style="medium"/>
      <bottom/>
      <diagonal/>
    </border>
    <border diagonalUp="false" diagonalDown="false">
      <left style="medium"/>
      <right/>
      <top/>
      <bottom/>
      <diagonal/>
    </border>
    <border diagonalUp="false" diagonalDown="false">
      <left style="medium"/>
      <right style="medium"/>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4" fontId="5" fillId="2"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78">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6" fontId="8" fillId="5" borderId="2" xfId="0" applyFont="true" applyBorder="true" applyAlignment="true" applyProtection="false">
      <alignment horizontal="center" vertical="center" textRotation="0" wrapText="false" indent="0" shrinkToFit="false"/>
      <protection locked="true" hidden="false"/>
    </xf>
    <xf numFmtId="166" fontId="8" fillId="6" borderId="3" xfId="0" applyFont="true" applyBorder="true" applyAlignment="true" applyProtection="false">
      <alignment horizontal="center" vertical="center" textRotation="0" wrapText="false" indent="0" shrinkToFit="false"/>
      <protection locked="true" hidden="false"/>
    </xf>
    <xf numFmtId="166" fontId="8" fillId="7" borderId="4" xfId="0" applyFont="true" applyBorder="true" applyAlignment="true" applyProtection="false">
      <alignment horizontal="center" vertical="center" textRotation="0" wrapText="false" indent="0" shrinkToFit="false"/>
      <protection locked="true" hidden="false"/>
    </xf>
    <xf numFmtId="166" fontId="8" fillId="8" borderId="5" xfId="0" applyFont="true" applyBorder="true" applyAlignment="true" applyProtection="false">
      <alignment horizontal="center" vertical="center" textRotation="0" wrapText="false" indent="0" shrinkToFit="false"/>
      <protection locked="true" hidden="false"/>
    </xf>
    <xf numFmtId="167" fontId="8" fillId="9" borderId="6" xfId="0" applyFont="true" applyBorder="true" applyAlignment="true" applyProtection="false">
      <alignment horizontal="center" vertical="center" textRotation="0" wrapText="false" indent="0" shrinkToFit="false"/>
      <protection locked="true" hidden="false"/>
    </xf>
    <xf numFmtId="164" fontId="9" fillId="4" borderId="7" xfId="0" applyFont="true" applyBorder="true" applyAlignment="true" applyProtection="false">
      <alignment horizontal="center" vertical="center" textRotation="0" wrapText="true" indent="0" shrinkToFit="false"/>
      <protection locked="true" hidden="false"/>
    </xf>
    <xf numFmtId="164" fontId="9" fillId="5" borderId="8" xfId="0" applyFont="true" applyBorder="true" applyAlignment="true" applyProtection="false">
      <alignment horizontal="center" vertical="center" textRotation="0" wrapText="true" indent="0" shrinkToFit="false"/>
      <protection locked="true" hidden="false"/>
    </xf>
    <xf numFmtId="164" fontId="9" fillId="6" borderId="9" xfId="0" applyFont="true" applyBorder="true" applyAlignment="true" applyProtection="false">
      <alignment horizontal="center" vertical="center" textRotation="0" wrapText="true" indent="0" shrinkToFit="false"/>
      <protection locked="true" hidden="false"/>
    </xf>
    <xf numFmtId="164" fontId="9" fillId="7" borderId="10" xfId="0" applyFont="true" applyBorder="true" applyAlignment="true" applyProtection="false">
      <alignment horizontal="center" vertical="center" textRotation="0" wrapText="true" indent="0" shrinkToFit="false"/>
      <protection locked="true" hidden="false"/>
    </xf>
    <xf numFmtId="164" fontId="9" fillId="8" borderId="11" xfId="0" applyFont="true" applyBorder="true" applyAlignment="true" applyProtection="false">
      <alignment horizontal="center" vertical="center" textRotation="0" wrapText="true" indent="0" shrinkToFit="false"/>
      <protection locked="true" hidden="false"/>
    </xf>
    <xf numFmtId="164" fontId="9" fillId="9" borderId="12" xfId="0" applyFont="true" applyBorder="true" applyAlignment="true" applyProtection="false">
      <alignment horizontal="center" vertical="center" textRotation="0" wrapText="true" indent="0" shrinkToFit="false"/>
      <protection locked="true" hidden="false"/>
    </xf>
    <xf numFmtId="166" fontId="8" fillId="10" borderId="13" xfId="0" applyFont="true" applyBorder="true" applyAlignment="true" applyProtection="false">
      <alignment horizontal="center" vertical="center" textRotation="0" wrapText="false" indent="0" shrinkToFit="false"/>
      <protection locked="true" hidden="false"/>
    </xf>
    <xf numFmtId="166" fontId="8" fillId="11" borderId="14" xfId="0" applyFont="true" applyBorder="true" applyAlignment="true" applyProtection="false">
      <alignment horizontal="center" vertical="center" textRotation="0" wrapText="false" indent="0" shrinkToFit="false"/>
      <protection locked="true" hidden="false"/>
    </xf>
    <xf numFmtId="166" fontId="8" fillId="12" borderId="15" xfId="0" applyFont="true" applyBorder="true" applyAlignment="true" applyProtection="false">
      <alignment horizontal="center" vertical="center" textRotation="0" wrapText="false" indent="0" shrinkToFit="false"/>
      <protection locked="true" hidden="false"/>
    </xf>
    <xf numFmtId="166" fontId="8" fillId="13" borderId="16" xfId="0" applyFont="true" applyBorder="true" applyAlignment="true" applyProtection="false">
      <alignment horizontal="center" vertical="center" textRotation="0" wrapText="false" indent="0" shrinkToFit="false"/>
      <protection locked="true" hidden="false"/>
    </xf>
    <xf numFmtId="166" fontId="8" fillId="14" borderId="17" xfId="0" applyFont="true" applyBorder="true" applyAlignment="true" applyProtection="false">
      <alignment horizontal="center" vertical="center" textRotation="0" wrapText="false" indent="0" shrinkToFit="false"/>
      <protection locked="true" hidden="false"/>
    </xf>
    <xf numFmtId="164" fontId="9" fillId="10" borderId="18" xfId="0" applyFont="true" applyBorder="true" applyAlignment="true" applyProtection="false">
      <alignment horizontal="center" vertical="center" textRotation="0" wrapText="true" indent="0" shrinkToFit="false"/>
      <protection locked="true" hidden="false"/>
    </xf>
    <xf numFmtId="164" fontId="9" fillId="11" borderId="19" xfId="0" applyFont="true" applyBorder="true" applyAlignment="true" applyProtection="false">
      <alignment horizontal="center" vertical="center" textRotation="0" wrapText="true" indent="0" shrinkToFit="false"/>
      <protection locked="true" hidden="false"/>
    </xf>
    <xf numFmtId="164" fontId="9" fillId="12" borderId="20" xfId="0" applyFont="true" applyBorder="true" applyAlignment="true" applyProtection="false">
      <alignment horizontal="center" vertical="center" textRotation="0" wrapText="true" indent="0" shrinkToFit="false"/>
      <protection locked="true" hidden="false"/>
    </xf>
    <xf numFmtId="164" fontId="9" fillId="13" borderId="21" xfId="0" applyFont="true" applyBorder="true" applyAlignment="true" applyProtection="false">
      <alignment horizontal="center" vertical="center" textRotation="0" wrapText="true" indent="0" shrinkToFit="false"/>
      <protection locked="true" hidden="false"/>
    </xf>
    <xf numFmtId="164" fontId="9" fillId="14" borderId="2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9" borderId="23" xfId="0" applyFont="true" applyBorder="true" applyAlignment="true" applyProtection="false">
      <alignment horizontal="center" vertical="center" textRotation="0" wrapText="true" indent="0" shrinkToFit="false"/>
      <protection locked="true" hidden="false"/>
    </xf>
    <xf numFmtId="164" fontId="11" fillId="0" borderId="23" xfId="0" applyFont="true" applyBorder="true" applyAlignment="true" applyProtection="false">
      <alignment horizontal="left" vertical="center" textRotation="0" wrapText="true" indent="0" shrinkToFit="false"/>
      <protection locked="true" hidden="false"/>
    </xf>
    <xf numFmtId="168" fontId="11" fillId="0" borderId="23" xfId="0" applyFont="true" applyBorder="true" applyAlignment="true" applyProtection="false">
      <alignment horizontal="center" vertical="center" textRotation="0" wrapText="true" indent="0" shrinkToFit="false"/>
      <protection locked="true" hidden="false"/>
    </xf>
    <xf numFmtId="167" fontId="11" fillId="0" borderId="23" xfId="0" applyFont="true" applyBorder="true" applyAlignment="true" applyProtection="false">
      <alignment horizontal="center" vertical="center" textRotation="0" wrapText="true" indent="0" shrinkToFit="false"/>
      <protection locked="true" hidden="false"/>
    </xf>
    <xf numFmtId="164" fontId="11" fillId="0" borderId="23" xfId="0" applyFont="true" applyBorder="true" applyAlignment="true" applyProtection="false">
      <alignment horizontal="center" vertical="center" textRotation="0" wrapText="true" indent="0" shrinkToFit="false"/>
      <protection locked="true" hidden="false"/>
    </xf>
    <xf numFmtId="164" fontId="11" fillId="0" borderId="23" xfId="0" applyFont="true" applyBorder="true" applyAlignment="true" applyProtection="false">
      <alignment horizontal="left" vertical="center" textRotation="0" wrapText="false" indent="0" shrinkToFit="false"/>
      <protection locked="true" hidden="false"/>
    </xf>
    <xf numFmtId="168" fontId="11" fillId="0" borderId="23" xfId="0" applyFont="true" applyBorder="true" applyAlignment="true" applyProtection="false">
      <alignment horizontal="center" vertical="center" textRotation="0" wrapText="false" indent="0" shrinkToFit="false"/>
      <protection locked="true" hidden="false"/>
    </xf>
    <xf numFmtId="167" fontId="11" fillId="0" borderId="23" xfId="0" applyFont="true" applyBorder="true" applyAlignment="true" applyProtection="false">
      <alignment horizontal="center" vertical="center" textRotation="0" wrapText="false" indent="0" shrinkToFit="false"/>
      <protection locked="true" hidden="false"/>
    </xf>
    <xf numFmtId="164" fontId="11" fillId="0" borderId="23" xfId="0" applyFont="true" applyBorder="true" applyAlignment="false" applyProtection="false">
      <alignment horizontal="general" vertical="bottom" textRotation="0" wrapText="false" indent="0" shrinkToFit="false"/>
      <protection locked="true" hidden="false"/>
    </xf>
    <xf numFmtId="164" fontId="14" fillId="0" borderId="0" xfId="22" applyFont="true" applyBorder="false" applyAlignment="false" applyProtection="false">
      <alignment horizontal="general" vertical="bottom" textRotation="0" wrapText="false" indent="0" shrinkToFit="false"/>
      <protection locked="true" hidden="false"/>
    </xf>
    <xf numFmtId="164" fontId="15" fillId="15" borderId="0" xfId="0" applyFont="true" applyBorder="false" applyAlignment="false" applyProtection="false">
      <alignment horizontal="general" vertical="bottom" textRotation="0" wrapText="false" indent="0" shrinkToFit="false"/>
      <protection locked="true" hidden="false"/>
    </xf>
    <xf numFmtId="164" fontId="16" fillId="15"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24" xfId="0" applyFont="true" applyBorder="true" applyAlignment="true" applyProtection="false">
      <alignment horizontal="general" vertical="center" textRotation="0" wrapText="false" indent="0" shrinkToFit="false"/>
      <protection locked="true" hidden="false"/>
    </xf>
    <xf numFmtId="164" fontId="19" fillId="0" borderId="25" xfId="0" applyFont="true" applyBorder="true" applyAlignment="true" applyProtection="false">
      <alignment horizontal="general" vertical="center" textRotation="0" wrapText="false" indent="0" shrinkToFit="false"/>
      <protection locked="true" hidden="false"/>
    </xf>
    <xf numFmtId="164" fontId="19" fillId="0" borderId="26" xfId="0" applyFont="true" applyBorder="true" applyAlignment="true" applyProtection="false">
      <alignment horizontal="general" vertical="center" textRotation="0" wrapText="false" indent="0" shrinkToFit="false"/>
      <protection locked="true" hidden="false"/>
    </xf>
    <xf numFmtId="169" fontId="20" fillId="0" borderId="0" xfId="22" applyFont="true" applyBorder="false" applyAlignment="true" applyProtection="true">
      <alignment horizontal="left" vertical="center" textRotation="0" wrapText="false" indent="0" shrinkToFit="false"/>
      <protection locked="false" hidden="false"/>
    </xf>
    <xf numFmtId="164" fontId="21" fillId="0" borderId="0" xfId="22" applyFont="true" applyBorder="false" applyAlignment="true" applyProtection="false">
      <alignment horizontal="general" vertical="center" textRotation="0" wrapText="false" indent="0" shrinkToFit="false"/>
      <protection locked="true" hidden="false"/>
    </xf>
    <xf numFmtId="170" fontId="21" fillId="0" borderId="0" xfId="22" applyFont="true" applyBorder="false" applyAlignment="true" applyProtection="false">
      <alignment horizontal="left" vertical="center" textRotation="0" wrapText="false" indent="0" shrinkToFit="true"/>
      <protection locked="true" hidden="false"/>
    </xf>
    <xf numFmtId="164" fontId="21" fillId="0" borderId="0" xfId="22" applyFont="true" applyBorder="false" applyAlignment="true" applyProtection="false">
      <alignment horizontal="left" vertical="center" textRotation="0" wrapText="false" indent="0" shrinkToFit="false"/>
      <protection locked="true" hidden="false"/>
    </xf>
    <xf numFmtId="171" fontId="20" fillId="0" borderId="27" xfId="20" applyFont="true" applyBorder="true" applyAlignment="true" applyProtection="true">
      <alignment horizontal="left" vertical="center" textRotation="0" wrapText="true" indent="0" shrinkToFit="false"/>
      <protection locked="false" hidden="false"/>
    </xf>
    <xf numFmtId="164" fontId="9" fillId="9" borderId="23" xfId="22" applyFont="true" applyBorder="true" applyAlignment="true" applyProtection="true">
      <alignment horizontal="center" vertical="center" textRotation="0" wrapText="false" indent="0" shrinkToFit="false"/>
      <protection locked="false" hidden="false"/>
    </xf>
    <xf numFmtId="171" fontId="22" fillId="9" borderId="28" xfId="20" applyFont="true" applyBorder="true" applyAlignment="true" applyProtection="false">
      <alignment horizontal="center" vertical="top" textRotation="0" wrapText="false" indent="0" shrinkToFit="false"/>
      <protection locked="true" hidden="false"/>
    </xf>
    <xf numFmtId="164" fontId="22" fillId="9" borderId="28" xfId="22" applyFont="true" applyBorder="true" applyAlignment="true" applyProtection="false">
      <alignment horizontal="center" vertical="top" textRotation="0" wrapText="false" indent="0" shrinkToFit="false"/>
      <protection locked="true" hidden="false"/>
    </xf>
    <xf numFmtId="170" fontId="22" fillId="9" borderId="28" xfId="22" applyFont="true" applyBorder="true" applyAlignment="true" applyProtection="false">
      <alignment horizontal="center" vertical="top" textRotation="0" wrapText="false" indent="0" shrinkToFit="true"/>
      <protection locked="true" hidden="false"/>
    </xf>
    <xf numFmtId="170" fontId="22" fillId="9" borderId="29" xfId="22" applyFont="true" applyBorder="true" applyAlignment="true" applyProtection="false">
      <alignment horizontal="left" vertical="top" textRotation="0" wrapText="false" indent="0" shrinkToFit="true"/>
      <protection locked="true" hidden="false"/>
    </xf>
    <xf numFmtId="170" fontId="22" fillId="9" borderId="24" xfId="22" applyFont="true" applyBorder="true" applyAlignment="true" applyProtection="false">
      <alignment horizontal="center" vertical="top" textRotation="0" wrapText="false" indent="0" shrinkToFit="true"/>
      <protection locked="true" hidden="false"/>
    </xf>
    <xf numFmtId="170" fontId="22" fillId="9" borderId="26" xfId="22" applyFont="true" applyBorder="true" applyAlignment="true" applyProtection="false">
      <alignment horizontal="center" vertical="top" textRotation="0" wrapText="false" indent="0" shrinkToFit="true"/>
      <protection locked="true" hidden="false"/>
    </xf>
    <xf numFmtId="164" fontId="21" fillId="0" borderId="0" xfId="22" applyFont="true" applyBorder="false" applyAlignment="false" applyProtection="false">
      <alignment horizontal="general" vertical="bottom" textRotation="0" wrapText="false" indent="0" shrinkToFit="false"/>
      <protection locked="true" hidden="false"/>
    </xf>
    <xf numFmtId="164" fontId="21" fillId="0" borderId="30" xfId="22" applyFont="true" applyBorder="true" applyAlignment="false" applyProtection="false">
      <alignment horizontal="general" vertical="bottom" textRotation="0" wrapText="false" indent="0" shrinkToFit="false"/>
      <protection locked="true" hidden="false"/>
    </xf>
    <xf numFmtId="164" fontId="21" fillId="0" borderId="0" xfId="22" applyFont="true" applyBorder="false" applyAlignment="true" applyProtection="false">
      <alignment horizontal="left" vertical="top" textRotation="0" wrapText="false" indent="0" shrinkToFit="false"/>
      <protection locked="true" hidden="false"/>
    </xf>
    <xf numFmtId="171" fontId="21" fillId="16" borderId="31" xfId="20" applyFont="true" applyBorder="true" applyAlignment="true" applyProtection="true">
      <alignment horizontal="left" vertical="top" textRotation="0" wrapText="true" indent="0" shrinkToFit="false"/>
      <protection locked="false" hidden="false"/>
    </xf>
    <xf numFmtId="171" fontId="23" fillId="16" borderId="23" xfId="20" applyFont="true" applyBorder="true" applyAlignment="true" applyProtection="true">
      <alignment horizontal="center" vertical="center" textRotation="0" wrapText="false" indent="0" shrinkToFit="false"/>
      <protection locked="false" hidden="false"/>
    </xf>
    <xf numFmtId="171" fontId="21" fillId="16" borderId="32" xfId="20" applyFont="true" applyBorder="true" applyAlignment="true" applyProtection="true">
      <alignment horizontal="center" vertical="center" textRotation="0" wrapText="false" indent="0" shrinkToFit="false"/>
      <protection locked="false" hidden="false"/>
    </xf>
    <xf numFmtId="164" fontId="21" fillId="16" borderId="33" xfId="21" applyFont="true" applyBorder="true" applyAlignment="true" applyProtection="true">
      <alignment horizontal="center" vertical="center" textRotation="0" wrapText="false" indent="0" shrinkToFit="false"/>
      <protection locked="false" hidden="false"/>
    </xf>
    <xf numFmtId="171" fontId="21" fillId="0" borderId="34" xfId="20" applyFont="true" applyBorder="true" applyAlignment="true" applyProtection="true">
      <alignment horizontal="left" vertical="center" textRotation="0" wrapText="true" indent="0" shrinkToFit="false"/>
      <protection locked="false" hidden="false"/>
    </xf>
    <xf numFmtId="164" fontId="24" fillId="16" borderId="35" xfId="21" applyFont="true" applyBorder="true" applyAlignment="true" applyProtection="true">
      <alignment horizontal="center" vertical="center" textRotation="0" wrapText="false" indent="0" shrinkToFit="false"/>
      <protection locked="false" hidden="false"/>
    </xf>
    <xf numFmtId="164" fontId="15" fillId="0" borderId="36" xfId="22" applyFont="true" applyBorder="true" applyAlignment="true" applyProtection="false">
      <alignment horizontal="left" vertical="center" textRotation="0" wrapText="false" indent="0" shrinkToFit="false"/>
      <protection locked="true" hidden="false"/>
    </xf>
    <xf numFmtId="171" fontId="21" fillId="16" borderId="37" xfId="20" applyFont="true" applyBorder="true" applyAlignment="true" applyProtection="true">
      <alignment horizontal="left" vertical="top" textRotation="0" wrapText="true" indent="0" shrinkToFit="false"/>
      <protection locked="false" hidden="false"/>
    </xf>
    <xf numFmtId="171" fontId="21" fillId="16" borderId="38" xfId="20" applyFont="true" applyBorder="true" applyAlignment="true" applyProtection="true">
      <alignment horizontal="center" vertical="center" textRotation="0" wrapText="false" indent="0" shrinkToFit="false"/>
      <protection locked="false" hidden="false"/>
    </xf>
    <xf numFmtId="164" fontId="21" fillId="16" borderId="39" xfId="21" applyFont="true" applyBorder="true" applyAlignment="true" applyProtection="true">
      <alignment horizontal="center" vertical="center" textRotation="0" wrapText="false" indent="0" shrinkToFit="false"/>
      <protection locked="false" hidden="false"/>
    </xf>
    <xf numFmtId="171" fontId="21" fillId="0" borderId="40" xfId="20" applyFont="true" applyBorder="true" applyAlignment="true" applyProtection="true">
      <alignment horizontal="left" vertical="center" textRotation="0" wrapText="true" indent="0" shrinkToFit="false"/>
      <protection locked="false" hidden="false"/>
    </xf>
    <xf numFmtId="164" fontId="24" fillId="16" borderId="41" xfId="21" applyFont="true" applyBorder="true" applyAlignment="true" applyProtection="true">
      <alignment horizontal="center" vertical="center" textRotation="0" wrapText="false" indent="0" shrinkToFit="false"/>
      <protection locked="false" hidden="false"/>
    </xf>
    <xf numFmtId="164" fontId="15" fillId="0" borderId="42" xfId="22" applyFont="true" applyBorder="true" applyAlignment="true" applyProtection="false">
      <alignment horizontal="left" vertical="center" textRotation="0" wrapText="false" indent="0" shrinkToFit="false"/>
      <protection locked="true" hidden="false"/>
    </xf>
    <xf numFmtId="164" fontId="21" fillId="0" borderId="43" xfId="22" applyFont="true" applyBorder="true" applyAlignment="false" applyProtection="false">
      <alignment horizontal="general" vertical="bottom" textRotation="0" wrapText="false" indent="0" shrinkToFit="false"/>
      <protection locked="true" hidden="false"/>
    </xf>
    <xf numFmtId="164" fontId="21" fillId="0" borderId="44" xfId="22" applyFont="true" applyBorder="true" applyAlignment="true" applyProtection="false">
      <alignment horizontal="left" vertical="top" textRotation="0" wrapText="false" indent="0" shrinkToFit="false"/>
      <protection locked="true" hidden="false"/>
    </xf>
    <xf numFmtId="171" fontId="21" fillId="16" borderId="45" xfId="20" applyFont="true" applyBorder="true" applyAlignment="true" applyProtection="true">
      <alignment horizontal="left" vertical="top" textRotation="0" wrapText="true" indent="0" shrinkToFit="false"/>
      <protection locked="false" hidden="false"/>
    </xf>
    <xf numFmtId="171" fontId="21" fillId="16" borderId="46" xfId="20" applyFont="true" applyBorder="true" applyAlignment="true" applyProtection="true">
      <alignment horizontal="center" vertical="center" textRotation="0" wrapText="false" indent="0" shrinkToFit="false"/>
      <protection locked="false" hidden="false"/>
    </xf>
    <xf numFmtId="164" fontId="21" fillId="16" borderId="47" xfId="21" applyFont="true" applyBorder="true" applyAlignment="true" applyProtection="true">
      <alignment horizontal="center" vertical="center" textRotation="0" wrapText="false" indent="0" shrinkToFit="false"/>
      <protection locked="false" hidden="false"/>
    </xf>
    <xf numFmtId="171" fontId="21" fillId="0" borderId="48" xfId="20" applyFont="true" applyBorder="true" applyAlignment="true" applyProtection="true">
      <alignment horizontal="left" vertical="center" textRotation="0" wrapText="true" indent="0" shrinkToFit="false"/>
      <protection locked="false" hidden="false"/>
    </xf>
    <xf numFmtId="164" fontId="21" fillId="0" borderId="0" xfId="22" applyFont="true" applyBorder="false" applyAlignment="true" applyProtection="false">
      <alignment horizontal="center" vertical="bottom" textRotation="0" wrapText="false" indent="0" shrinkToFit="false"/>
      <protection locked="true" hidden="false"/>
    </xf>
    <xf numFmtId="164" fontId="21" fillId="0" borderId="0" xfId="22" applyFont="true" applyBorder="false" applyAlignment="true" applyProtection="false">
      <alignment horizontal="general" vertical="bottom" textRotation="0" wrapText="true" indent="0" shrinkToFit="false"/>
      <protection locked="true" hidden="false"/>
    </xf>
    <xf numFmtId="171" fontId="20" fillId="0" borderId="49" xfId="20" applyFont="true" applyBorder="true" applyAlignment="true" applyProtection="true">
      <alignment horizontal="left" vertical="center" textRotation="0" wrapText="true" indent="0" shrinkToFit="false"/>
      <protection locked="false" hidden="false"/>
    </xf>
    <xf numFmtId="171" fontId="22" fillId="9" borderId="50" xfId="20" applyFont="true" applyBorder="true" applyAlignment="true" applyProtection="false">
      <alignment horizontal="center" vertical="top" textRotation="0" wrapText="false" indent="0" shrinkToFit="false"/>
      <protection locked="true" hidden="false"/>
    </xf>
    <xf numFmtId="164" fontId="22" fillId="9" borderId="50" xfId="22" applyFont="true" applyBorder="true" applyAlignment="true" applyProtection="false">
      <alignment horizontal="center" vertical="top" textRotation="0" wrapText="false" indent="0" shrinkToFit="false"/>
      <protection locked="true" hidden="false"/>
    </xf>
    <xf numFmtId="170" fontId="22" fillId="9" borderId="50" xfId="22" applyFont="true" applyBorder="true" applyAlignment="true" applyProtection="false">
      <alignment horizontal="center" vertical="top" textRotation="0" wrapText="false" indent="0" shrinkToFit="true"/>
      <protection locked="true" hidden="false"/>
    </xf>
    <xf numFmtId="170" fontId="22" fillId="9" borderId="51" xfId="22" applyFont="true" applyBorder="true" applyAlignment="true" applyProtection="false">
      <alignment horizontal="center" vertical="top" textRotation="0" wrapText="false" indent="0" shrinkToFit="true"/>
      <protection locked="true" hidden="false"/>
    </xf>
    <xf numFmtId="171" fontId="21" fillId="16" borderId="39" xfId="20" applyFont="true" applyBorder="true" applyAlignment="true" applyProtection="true">
      <alignment horizontal="left" vertical="top" textRotation="0" wrapText="true" indent="0" shrinkToFit="false"/>
      <protection locked="false" hidden="false"/>
    </xf>
    <xf numFmtId="164" fontId="21" fillId="16" borderId="52" xfId="21" applyFont="true" applyBorder="true" applyAlignment="true" applyProtection="true">
      <alignment horizontal="center" vertical="center" textRotation="0" wrapText="false" indent="0" shrinkToFit="false"/>
      <protection locked="false" hidden="false"/>
    </xf>
    <xf numFmtId="171" fontId="21" fillId="16" borderId="47" xfId="20" applyFont="true" applyBorder="true" applyAlignment="true" applyProtection="true">
      <alignment horizontal="left" vertical="top" textRotation="0" wrapText="true" indent="0" shrinkToFit="false"/>
      <protection locked="false" hidden="false"/>
    </xf>
    <xf numFmtId="164" fontId="21" fillId="16" borderId="53" xfId="21"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25" fillId="0" borderId="0" xfId="22" applyFont="true" applyBorder="false" applyAlignment="true" applyProtection="false">
      <alignment horizontal="center" vertical="bottom" textRotation="0" wrapText="false" indent="0" shrinkToFit="false"/>
      <protection locked="true" hidden="false"/>
    </xf>
    <xf numFmtId="171" fontId="20" fillId="0" borderId="49" xfId="20" applyFont="true" applyBorder="true" applyAlignment="true" applyProtection="true">
      <alignment horizontal="left" vertical="top" textRotation="0" wrapText="true" indent="0" shrinkToFit="false"/>
      <protection locked="false" hidden="false"/>
    </xf>
    <xf numFmtId="171" fontId="21" fillId="16" borderId="39" xfId="20" applyFont="true" applyBorder="true" applyAlignment="true" applyProtection="true">
      <alignment horizontal="left" vertical="center" textRotation="0" wrapText="true" indent="0" shrinkToFit="false"/>
      <protection locked="false" hidden="false"/>
    </xf>
    <xf numFmtId="164" fontId="21" fillId="0" borderId="30" xfId="22" applyFont="true" applyBorder="true" applyAlignment="true" applyProtection="false">
      <alignment horizontal="right" vertical="bottom" textRotation="0" wrapText="false" indent="0" shrinkToFit="false"/>
      <protection locked="true" hidden="false"/>
    </xf>
    <xf numFmtId="171" fontId="21" fillId="16" borderId="54" xfId="20" applyFont="true" applyBorder="true" applyAlignment="true" applyProtection="true">
      <alignment horizontal="left" vertical="top" textRotation="0" wrapText="true" indent="0" shrinkToFit="false"/>
      <protection locked="false" hidden="false"/>
    </xf>
    <xf numFmtId="171" fontId="21" fillId="16" borderId="55" xfId="20" applyFont="true" applyBorder="true" applyAlignment="true" applyProtection="true">
      <alignment horizontal="center" vertical="center" textRotation="0" wrapText="false" indent="0" shrinkToFit="false"/>
      <protection locked="false" hidden="false"/>
    </xf>
    <xf numFmtId="164" fontId="21" fillId="16" borderId="56" xfId="21" applyFont="true" applyBorder="true" applyAlignment="true" applyProtection="true">
      <alignment horizontal="center" vertical="center" textRotation="0" wrapText="false" indent="0" shrinkToFit="false"/>
      <protection locked="false" hidden="false"/>
    </xf>
    <xf numFmtId="171" fontId="21" fillId="16" borderId="57" xfId="20" applyFont="true" applyBorder="true" applyAlignment="true" applyProtection="true">
      <alignment horizontal="left" vertical="top" textRotation="0" wrapText="true" indent="0" shrinkToFit="false"/>
      <protection locked="false" hidden="false"/>
    </xf>
    <xf numFmtId="171" fontId="21" fillId="16" borderId="58" xfId="20" applyFont="true" applyBorder="true" applyAlignment="true" applyProtection="true">
      <alignment horizontal="center" vertical="center" textRotation="0" wrapText="false" indent="0" shrinkToFit="false"/>
      <protection locked="false" hidden="false"/>
    </xf>
    <xf numFmtId="164" fontId="21" fillId="16" borderId="59" xfId="21" applyFont="true" applyBorder="true" applyAlignment="true" applyProtection="true">
      <alignment horizontal="center" vertical="center" textRotation="0" wrapText="false" indent="0" shrinkToFit="false"/>
      <protection locked="false" hidden="false"/>
    </xf>
    <xf numFmtId="170" fontId="22" fillId="9" borderId="60" xfId="22" applyFont="true" applyBorder="true" applyAlignment="true" applyProtection="false">
      <alignment horizontal="left" vertical="top" textRotation="0" wrapText="false" indent="0" shrinkToFit="true"/>
      <protection locked="true" hidden="false"/>
    </xf>
    <xf numFmtId="164" fontId="21" fillId="16" borderId="61" xfId="21" applyFont="true" applyBorder="true" applyAlignment="true" applyProtection="true">
      <alignment horizontal="center" vertical="center" textRotation="0" wrapText="false" indent="0" shrinkToFit="false"/>
      <protection locked="false" hidden="false"/>
    </xf>
    <xf numFmtId="164" fontId="21" fillId="16" borderId="62" xfId="21" applyFont="true" applyBorder="true" applyAlignment="true" applyProtection="true">
      <alignment horizontal="center" vertical="center" textRotation="0" wrapText="false" indent="0" shrinkToFit="false"/>
      <protection locked="false" hidden="false"/>
    </xf>
    <xf numFmtId="171" fontId="21" fillId="16" borderId="46" xfId="20" applyFont="true" applyBorder="true" applyAlignment="true" applyProtection="true">
      <alignment horizontal="left" vertical="center" textRotation="0" wrapText="true" indent="0" shrinkToFit="false"/>
      <protection locked="false" hidden="false"/>
    </xf>
    <xf numFmtId="164" fontId="21" fillId="16" borderId="63" xfId="21" applyFont="true" applyBorder="true" applyAlignment="true" applyProtection="true">
      <alignment horizontal="center" vertical="center" textRotation="0" wrapText="false" indent="0" shrinkToFit="false"/>
      <protection locked="false" hidden="false"/>
    </xf>
    <xf numFmtId="171" fontId="9" fillId="9" borderId="23" xfId="20" applyFont="true" applyBorder="true" applyAlignment="true" applyProtection="true">
      <alignment horizontal="center" vertical="center" textRotation="0" wrapText="false" indent="0" shrinkToFit="false"/>
      <protection locked="false" hidden="false"/>
    </xf>
    <xf numFmtId="164" fontId="14" fillId="0" borderId="0" xfId="22" applyFont="true" applyBorder="false" applyAlignment="true" applyProtection="false">
      <alignment horizontal="left"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32" fillId="0" borderId="23" xfId="0" applyFont="true" applyBorder="true" applyAlignment="true" applyProtection="false">
      <alignment horizontal="center" vertical="center" textRotation="0" wrapText="false" indent="0" shrinkToFit="false"/>
      <protection locked="true" hidden="false"/>
    </xf>
    <xf numFmtId="164" fontId="11" fillId="0" borderId="23" xfId="0" applyFont="true" applyBorder="true" applyAlignment="true" applyProtection="false">
      <alignment horizontal="left" vertical="top" textRotation="0" wrapText="true" indent="0" shrinkToFit="false"/>
      <protection locked="true" hidden="false"/>
    </xf>
    <xf numFmtId="164" fontId="11" fillId="0" borderId="23" xfId="0" applyFont="true" applyBorder="true" applyAlignment="true" applyProtection="false">
      <alignment horizontal="center" vertical="center" textRotation="0" wrapText="false" indent="0" shrinkToFit="false"/>
      <protection locked="true" hidden="false"/>
    </xf>
    <xf numFmtId="170" fontId="11" fillId="0" borderId="23" xfId="0" applyFont="true" applyBorder="true" applyAlignment="true" applyProtection="false">
      <alignment horizontal="center" vertical="center" textRotation="0" wrapText="false" indent="0" shrinkToFit="false"/>
      <protection locked="true" hidden="false"/>
    </xf>
    <xf numFmtId="164" fontId="33" fillId="0" borderId="23"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right" vertical="center" textRotation="0" wrapText="false" indent="0" shrinkToFit="false"/>
      <protection locked="true" hidden="false"/>
    </xf>
    <xf numFmtId="164" fontId="35" fillId="17" borderId="23" xfId="0" applyFont="true" applyBorder="true" applyAlignment="true" applyProtection="false">
      <alignment horizontal="center" vertical="center" textRotation="0" wrapText="false" indent="0" shrinkToFit="false"/>
      <protection locked="true" hidden="false"/>
    </xf>
    <xf numFmtId="164" fontId="36" fillId="18" borderId="23" xfId="0" applyFont="true" applyBorder="true" applyAlignment="true" applyProtection="false">
      <alignment horizontal="left" vertical="center" textRotation="0" wrapText="false" indent="0" shrinkToFit="false"/>
      <protection locked="true" hidden="false"/>
    </xf>
    <xf numFmtId="164" fontId="37" fillId="0" borderId="64" xfId="0" applyFont="true" applyBorder="true" applyAlignment="true" applyProtection="false">
      <alignment horizontal="left" vertical="center" textRotation="0" wrapText="true" indent="0" shrinkToFit="false"/>
      <protection locked="true" hidden="false"/>
    </xf>
    <xf numFmtId="167" fontId="37" fillId="0" borderId="64" xfId="0" applyFont="true" applyBorder="true" applyAlignment="true" applyProtection="false">
      <alignment horizontal="left" vertical="center" textRotation="0" wrapText="true" indent="0" shrinkToFit="false"/>
      <protection locked="true" hidden="false"/>
    </xf>
    <xf numFmtId="170" fontId="37" fillId="0" borderId="64" xfId="0" applyFont="true" applyBorder="true" applyAlignment="true" applyProtection="false">
      <alignment horizontal="left" vertical="center" textRotation="0" wrapText="true" indent="0" shrinkToFit="false"/>
      <protection locked="true" hidden="false"/>
    </xf>
    <xf numFmtId="164" fontId="38" fillId="9" borderId="0" xfId="0" applyFont="true" applyBorder="true" applyAlignment="true" applyProtection="false">
      <alignment horizontal="left" vertical="center" textRotation="0" wrapText="false" indent="0" shrinkToFit="false"/>
      <protection locked="true" hidden="false"/>
    </xf>
    <xf numFmtId="164" fontId="9" fillId="19" borderId="23" xfId="0" applyFont="true" applyBorder="true" applyAlignment="true" applyProtection="false">
      <alignment horizontal="center" vertical="center" textRotation="0" wrapText="true" indent="0" shrinkToFit="false"/>
      <protection locked="true" hidden="false"/>
    </xf>
    <xf numFmtId="164" fontId="39" fillId="19" borderId="23" xfId="0" applyFont="true" applyBorder="true" applyAlignment="true" applyProtection="false">
      <alignment horizontal="center" vertical="center" textRotation="0" wrapText="true" indent="0" shrinkToFit="false"/>
      <protection locked="true" hidden="false"/>
    </xf>
    <xf numFmtId="164" fontId="40" fillId="0" borderId="23" xfId="0" applyFont="true" applyBorder="true" applyAlignment="true" applyProtection="false">
      <alignment horizontal="center" vertical="center" textRotation="0" wrapText="false" indent="0" shrinkToFit="false"/>
      <protection locked="true" hidden="false"/>
    </xf>
    <xf numFmtId="164" fontId="40" fillId="0" borderId="23" xfId="0" applyFont="true" applyBorder="true" applyAlignment="true" applyProtection="false">
      <alignment horizontal="left" vertical="top" textRotation="0" wrapText="true" indent="0" shrinkToFit="false"/>
      <protection locked="true" hidden="false"/>
    </xf>
    <xf numFmtId="167" fontId="40" fillId="0" borderId="23" xfId="0" applyFont="true" applyBorder="true" applyAlignment="true" applyProtection="false">
      <alignment horizontal="left" vertical="top" textRotation="0" wrapText="true" indent="0" shrinkToFit="false"/>
      <protection locked="true" hidden="false"/>
    </xf>
    <xf numFmtId="170" fontId="40" fillId="0" borderId="23" xfId="0" applyFont="true" applyBorder="true" applyAlignment="true" applyProtection="false">
      <alignment horizontal="left" vertical="top" textRotation="0" wrapText="true" indent="0" shrinkToFit="false"/>
      <protection locked="true" hidden="false"/>
    </xf>
    <xf numFmtId="167" fontId="40" fillId="0" borderId="23" xfId="0" applyFont="true" applyBorder="true" applyAlignment="true" applyProtection="false">
      <alignment horizontal="center" vertical="center" textRotation="0" wrapText="false" indent="0" shrinkToFit="false"/>
      <protection locked="true" hidden="false"/>
    </xf>
    <xf numFmtId="164" fontId="9" fillId="14" borderId="23" xfId="0" applyFont="true" applyBorder="true" applyAlignment="true" applyProtection="false">
      <alignment horizontal="center" vertical="center" textRotation="0" wrapText="true" indent="0" shrinkToFit="false"/>
      <protection locked="true" hidden="false"/>
    </xf>
    <xf numFmtId="164" fontId="41" fillId="18" borderId="23" xfId="0" applyFont="true" applyBorder="true" applyAlignment="true" applyProtection="false">
      <alignment horizontal="center" vertical="center" textRotation="0" wrapText="false" indent="0" shrinkToFit="false"/>
      <protection locked="true" hidden="false"/>
    </xf>
    <xf numFmtId="164" fontId="11" fillId="18" borderId="23" xfId="0" applyFont="true" applyBorder="true" applyAlignment="true" applyProtection="false">
      <alignment horizontal="left" vertical="top" textRotation="0" wrapText="true" indent="0" shrinkToFit="false"/>
      <protection locked="true" hidden="false"/>
    </xf>
    <xf numFmtId="164" fontId="42" fillId="18" borderId="23" xfId="0" applyFont="true" applyBorder="true" applyAlignment="true" applyProtection="false">
      <alignment horizontal="left" vertical="top" textRotation="0" wrapText="true" indent="0" shrinkToFit="false"/>
      <protection locked="true" hidden="false"/>
    </xf>
    <xf numFmtId="164" fontId="33" fillId="18" borderId="23" xfId="0" applyFont="true" applyBorder="true" applyAlignment="true" applyProtection="false">
      <alignment horizontal="center" vertical="center" textRotation="0" wrapText="false" indent="0" shrinkToFit="false"/>
      <protection locked="true" hidden="false"/>
    </xf>
    <xf numFmtId="164" fontId="43" fillId="0" borderId="65" xfId="0" applyFont="true" applyBorder="true" applyAlignment="true" applyProtection="false">
      <alignment horizontal="left" vertical="top" textRotation="0" wrapText="false" indent="0" shrinkToFit="false"/>
      <protection locked="true" hidden="false"/>
    </xf>
    <xf numFmtId="164" fontId="44" fillId="0" borderId="66" xfId="0" applyFont="true" applyBorder="tru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45" fillId="0" borderId="0" xfId="0" applyFont="true" applyBorder="false" applyAlignment="true" applyProtection="false">
      <alignment horizontal="left" vertical="top" textRotation="0" wrapText="false" indent="0" shrinkToFit="false"/>
      <protection locked="true" hidden="false"/>
    </xf>
    <xf numFmtId="164" fontId="45" fillId="0" borderId="36" xfId="0" applyFont="true" applyBorder="true" applyAlignment="true" applyProtection="false">
      <alignment horizontal="left" vertical="top" textRotation="0" wrapText="false" indent="0" shrinkToFit="false"/>
      <protection locked="true" hidden="false"/>
    </xf>
    <xf numFmtId="164" fontId="0" fillId="20" borderId="67" xfId="0" applyFont="false" applyBorder="true" applyAlignment="true" applyProtection="false">
      <alignment horizontal="center" vertical="bottom" textRotation="0" wrapText="false" indent="0" shrinkToFit="false"/>
      <protection locked="true" hidden="false"/>
    </xf>
    <xf numFmtId="164" fontId="46" fillId="21" borderId="66" xfId="0" applyFont="true" applyBorder="true" applyAlignment="true" applyProtection="false">
      <alignment horizontal="center" vertical="top" textRotation="0" wrapText="false" indent="0" shrinkToFit="false"/>
      <protection locked="true" hidden="false"/>
    </xf>
    <xf numFmtId="164" fontId="46" fillId="21" borderId="0" xfId="0" applyFont="true" applyBorder="false" applyAlignment="true" applyProtection="false">
      <alignment horizontal="center" vertical="top" textRotation="0" wrapText="false" indent="0" shrinkToFit="false"/>
      <protection locked="true" hidden="false"/>
    </xf>
    <xf numFmtId="164" fontId="46" fillId="21" borderId="0" xfId="0" applyFont="true" applyBorder="false" applyAlignment="true" applyProtection="false">
      <alignment horizontal="center" vertical="top" textRotation="0" wrapText="true" indent="0" shrinkToFit="false"/>
      <protection locked="true" hidden="false"/>
    </xf>
    <xf numFmtId="164" fontId="46" fillId="21" borderId="36" xfId="0" applyFont="true" applyBorder="true" applyAlignment="true" applyProtection="false">
      <alignment horizontal="center" vertical="top" textRotation="0" wrapText="tru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48" fillId="21" borderId="0" xfId="0" applyFont="true" applyBorder="false" applyAlignment="true" applyProtection="false">
      <alignment horizontal="center" vertical="top" textRotation="0" wrapText="true" indent="0" shrinkToFit="false"/>
      <protection locked="true" hidden="false"/>
    </xf>
    <xf numFmtId="164" fontId="48" fillId="21" borderId="36" xfId="0" applyFont="true" applyBorder="true" applyAlignment="true" applyProtection="false">
      <alignment horizontal="center" vertical="top" textRotation="0" wrapText="true" indent="0" shrinkToFit="false"/>
      <protection locked="true" hidden="false"/>
    </xf>
    <xf numFmtId="164" fontId="44" fillId="18" borderId="68" xfId="0" applyFont="true" applyBorder="true" applyAlignment="true" applyProtection="false">
      <alignment horizontal="center" vertical="top" textRotation="0" wrapText="false" indent="0" shrinkToFit="false"/>
      <protection locked="true" hidden="false"/>
    </xf>
    <xf numFmtId="164" fontId="0" fillId="0" borderId="69" xfId="0" applyFont="true" applyBorder="true" applyAlignment="true" applyProtection="false">
      <alignment horizontal="left" vertical="top" textRotation="0" wrapText="true" indent="0" shrinkToFit="false"/>
      <protection locked="true" hidden="false"/>
    </xf>
    <xf numFmtId="164" fontId="48" fillId="0" borderId="69" xfId="0" applyFont="true" applyBorder="true" applyAlignment="true" applyProtection="false">
      <alignment horizontal="center" vertical="top" textRotation="0" wrapText="true" indent="0" shrinkToFit="false"/>
      <protection locked="true" hidden="false"/>
    </xf>
    <xf numFmtId="164" fontId="49" fillId="18" borderId="70" xfId="0" applyFont="true" applyBorder="true" applyAlignment="true" applyProtection="false">
      <alignment horizontal="left" vertical="top" textRotation="0" wrapText="true" indent="0" shrinkToFit="false"/>
      <protection locked="true" hidden="false"/>
    </xf>
    <xf numFmtId="164" fontId="0" fillId="18" borderId="70" xfId="0" applyFont="true" applyBorder="true" applyAlignment="true" applyProtection="false">
      <alignment horizontal="center" vertical="top" textRotation="0" wrapText="false" indent="0" shrinkToFit="false"/>
      <protection locked="true" hidden="false"/>
    </xf>
    <xf numFmtId="164" fontId="0" fillId="0" borderId="70" xfId="0" applyFont="true" applyBorder="true" applyAlignment="true" applyProtection="false">
      <alignment horizontal="center" vertical="top" textRotation="0" wrapText="false" indent="0" shrinkToFit="false"/>
      <protection locked="true" hidden="false"/>
    </xf>
    <xf numFmtId="164" fontId="0" fillId="0" borderId="70" xfId="0" applyFont="true" applyBorder="true" applyAlignment="true" applyProtection="false">
      <alignment horizontal="left" vertical="top" textRotation="0" wrapText="true" indent="0" shrinkToFit="false"/>
      <protection locked="true" hidden="false"/>
    </xf>
    <xf numFmtId="164" fontId="44" fillId="18" borderId="71" xfId="0" applyFont="true" applyBorder="true" applyAlignment="true" applyProtection="false">
      <alignment horizontal="left" vertical="top" textRotation="0" wrapText="true" indent="0" shrinkToFit="false"/>
      <protection locked="true" hidden="false"/>
    </xf>
    <xf numFmtId="164" fontId="0" fillId="18" borderId="71" xfId="0" applyFont="true" applyBorder="true" applyAlignment="true" applyProtection="false">
      <alignment horizontal="center" vertical="top" textRotation="0" wrapText="false" indent="0" shrinkToFit="false"/>
      <protection locked="true" hidden="false"/>
    </xf>
    <xf numFmtId="164" fontId="0" fillId="0" borderId="69" xfId="0" applyFont="true" applyBorder="true" applyAlignment="true" applyProtection="false">
      <alignment horizontal="center" vertical="top" textRotation="0" wrapText="false" indent="0" shrinkToFit="false"/>
      <protection locked="true" hidden="false"/>
    </xf>
    <xf numFmtId="164" fontId="0" fillId="18" borderId="70" xfId="0" applyFont="true" applyBorder="true" applyAlignment="true" applyProtection="false">
      <alignment horizontal="left" vertical="top" textRotation="0" wrapText="true" indent="0" shrinkToFit="false"/>
      <protection locked="true" hidden="false"/>
    </xf>
    <xf numFmtId="164" fontId="0" fillId="0" borderId="71" xfId="0" applyFont="true" applyBorder="true" applyAlignment="true" applyProtection="false">
      <alignment horizontal="left" vertical="top" textRotation="0" wrapText="true" indent="0" shrinkToFit="false"/>
      <protection locked="true" hidden="false"/>
    </xf>
    <xf numFmtId="164" fontId="0" fillId="0" borderId="71" xfId="0" applyFont="true" applyBorder="true" applyAlignment="true" applyProtection="false">
      <alignment horizontal="center" vertical="top" textRotation="0" wrapText="false" indent="0" shrinkToFit="false"/>
      <protection locked="true" hidden="false"/>
    </xf>
    <xf numFmtId="164" fontId="0" fillId="18" borderId="69" xfId="0" applyFont="true" applyBorder="true" applyAlignment="true" applyProtection="false">
      <alignment horizontal="left" vertical="top" textRotation="0" wrapText="true" indent="0" shrinkToFit="false"/>
      <protection locked="true" hidden="false"/>
    </xf>
    <xf numFmtId="164" fontId="0" fillId="18" borderId="69" xfId="0" applyFont="true" applyBorder="true" applyAlignment="true" applyProtection="false">
      <alignment horizontal="center" vertical="top" textRotation="0" wrapText="false" indent="0" shrinkToFit="false"/>
      <protection locked="true" hidden="false"/>
    </xf>
    <xf numFmtId="164" fontId="0" fillId="18" borderId="70" xfId="0" applyFont="true" applyBorder="true" applyAlignment="true" applyProtection="false">
      <alignment horizontal="general" vertical="top" textRotation="0" wrapText="true" indent="0" shrinkToFit="false"/>
      <protection locked="true" hidden="false"/>
    </xf>
    <xf numFmtId="164" fontId="0" fillId="0" borderId="70" xfId="0" applyFont="true" applyBorder="true" applyAlignment="true" applyProtection="false">
      <alignment horizontal="general" vertical="top" textRotation="0" wrapText="true" indent="0" shrinkToFit="false"/>
      <protection locked="true" hidden="false"/>
    </xf>
    <xf numFmtId="164" fontId="44"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44"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0" fillId="9" borderId="23" xfId="0" applyFont="true" applyBorder="true" applyAlignment="true" applyProtection="false">
      <alignment horizontal="center" vertical="center" textRotation="0" wrapText="tru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Comma 51" xfId="20"/>
    <cellStyle name="Good 2" xfId="21"/>
    <cellStyle name="Normal 38" xfId="22"/>
  </cellStyles>
  <dxfs count="48">
    <dxf>
      <font>
        <name val="Arial"/>
        <charset val="1"/>
        <family val="0"/>
        <b val="1"/>
        <color rgb="FF9C0006"/>
        <sz val="9"/>
      </font>
    </dxf>
    <dxf>
      <font>
        <name val="Arial"/>
        <charset val="1"/>
        <family val="0"/>
        <b val="1"/>
        <color rgb="FFFFFFFF"/>
        <sz val="9"/>
      </font>
      <fill>
        <patternFill>
          <bgColor rgb="FF70AD47"/>
        </patternFill>
      </fill>
    </dxf>
    <dxf>
      <font>
        <name val="Arial"/>
        <charset val="1"/>
        <family val="0"/>
        <b val="1"/>
        <color rgb="FFFFFFFF"/>
        <sz val="9"/>
      </font>
      <fill>
        <patternFill>
          <bgColor rgb="FFFFC000"/>
        </patternFill>
      </fill>
    </dxf>
    <dxf>
      <font>
        <name val="Arial"/>
        <charset val="1"/>
        <family val="0"/>
        <b val="1"/>
        <color rgb="FFFFFFFF"/>
        <sz val="9"/>
      </font>
      <fill>
        <patternFill>
          <bgColor rgb="FFC00000"/>
        </patternFill>
      </fill>
    </dxf>
    <dxf>
      <font>
        <name val="Arial"/>
        <charset val="1"/>
        <family val="0"/>
        <b val="1"/>
        <color rgb="FF9C0006"/>
        <sz val="9"/>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262626"/>
      </font>
      <fill>
        <patternFill>
          <bgColor theme="1" tint="0.1499"/>
        </patternFill>
      </fill>
    </dxf>
    <dxf>
      <font>
        <color rgb="FF595959"/>
      </font>
      <fill>
        <patternFill>
          <bgColor theme="1" tint="0.3499"/>
        </patternFill>
      </fill>
    </dxf>
    <dxf>
      <font>
        <color rgb="FFA6A6A6"/>
      </font>
      <fill>
        <patternFill>
          <bgColor theme="0" tint="-0.35"/>
        </patternFill>
      </fill>
    </dxf>
    <dxf>
      <fill>
        <patternFill patternType="solid">
          <fgColor rgb="FF2D4479"/>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2F2F2"/>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1F4E78"/>
          <bgColor rgb="FF000000"/>
        </patternFill>
      </fill>
    </dxf>
    <dxf>
      <fill>
        <patternFill patternType="solid">
          <fgColor rgb="FF7F7F7F"/>
          <bgColor rgb="FF000000"/>
        </patternFill>
      </fill>
    </dxf>
    <dxf>
      <fill>
        <patternFill patternType="solid">
          <fgColor rgb="FF9C0006"/>
          <bgColor rgb="FF000000"/>
        </patternFill>
      </fill>
    </dxf>
    <dxf>
      <fill>
        <patternFill patternType="solid">
          <fgColor rgb="FF9C6500"/>
          <bgColor rgb="FF000000"/>
        </patternFill>
      </fill>
    </dxf>
    <dxf>
      <fill>
        <patternFill patternType="solid">
          <fgColor rgb="FF70AD47"/>
          <bgColor rgb="FF000000"/>
        </patternFill>
      </fill>
    </dxf>
    <dxf>
      <fill>
        <patternFill patternType="solid">
          <fgColor rgb="FFC00000"/>
          <bgColor rgb="FF000000"/>
        </patternFill>
      </fill>
    </dxf>
    <dxf>
      <fill>
        <patternFill patternType="solid">
          <fgColor rgb="FFFFC000"/>
          <bgColor rgb="FF000000"/>
        </patternFill>
      </fill>
    </dxf>
    <dxf>
      <fill>
        <patternFill patternType="solid">
          <fgColor rgb="FF2E75B6"/>
          <bgColor rgb="FF000000"/>
        </patternFill>
      </fill>
    </dxf>
    <dxf>
      <font>
        <name val="Arial"/>
        <charset val="1"/>
        <family val="0"/>
        <color rgb="FF006100"/>
        <sz val="9"/>
      </font>
      <fill>
        <patternFill>
          <bgColor rgb="FFC6EFCE"/>
        </patternFill>
      </fill>
    </dxf>
    <dxf>
      <font>
        <name val="Arial"/>
        <charset val="1"/>
        <family val="0"/>
        <color rgb="FF1F4E78"/>
        <sz val="9"/>
      </font>
      <fill>
        <patternFill>
          <bgColor rgb="FFDDEBF7"/>
        </patternFill>
      </fill>
    </dxf>
    <dxf>
      <font>
        <name val="Arial"/>
        <charset val="1"/>
        <family val="0"/>
        <b val="1"/>
        <color rgb="FF9C6500"/>
        <sz val="9"/>
      </font>
      <fill>
        <patternFill>
          <bgColor rgb="FFFFEB9C"/>
        </patternFill>
      </fill>
    </dxf>
    <dxf>
      <font>
        <name val="Arial"/>
        <charset val="1"/>
        <family val="0"/>
        <color rgb="FF7F7F7F"/>
        <sz val="9"/>
      </font>
      <fill>
        <patternFill>
          <bgColor rgb="FFF2F2F2"/>
        </patternFill>
      </fill>
    </dxf>
    <dxf>
      <fill>
        <patternFill>
          <bgColor rgb="FFDDEBF7"/>
        </patternFill>
      </fill>
    </dxf>
    <dxf>
      <fill>
        <patternFill>
          <bgColor rgb="FFFCE4D6"/>
        </patternFill>
      </fill>
    </dxf>
    <dxf>
      <font>
        <name val="Arial"/>
        <charset val="1"/>
        <family val="0"/>
        <b val="1"/>
        <color rgb="FF9C6500"/>
        <sz val="10"/>
      </font>
      <fill>
        <patternFill>
          <bgColor rgb="FFFFEB9C"/>
        </patternFill>
      </fill>
    </dxf>
    <dxf>
      <font>
        <name val="Arial"/>
        <charset val="1"/>
        <family val="0"/>
        <b val="1"/>
        <color rgb="FF9C0006"/>
        <sz val="10"/>
      </font>
      <fill>
        <patternFill>
          <bgColor rgb="FFFFC7CE"/>
        </patternFill>
      </fill>
    </dxf>
    <dxf>
      <font>
        <name val="Arial"/>
        <charset val="1"/>
        <family val="0"/>
        <b val="1"/>
        <color rgb="FF006100"/>
        <sz val="10"/>
      </font>
      <fill>
        <patternFill>
          <bgColor rgb="FFC6EFCE"/>
        </patternFill>
      </fill>
    </dxf>
    <dxf>
      <fill>
        <patternFill patternType="solid">
          <fgColor rgb="FF595959"/>
          <bgColor rgb="FF000000"/>
        </patternFill>
      </fill>
    </dxf>
    <dxf>
      <font>
        <name val="Arial"/>
        <charset val="1"/>
        <family val="0"/>
        <color rgb="FF006100"/>
        <sz val="8"/>
      </font>
      <fill>
        <patternFill>
          <bgColor rgb="FFC6EFCE"/>
        </patternFill>
      </fill>
    </dxf>
    <dxf>
      <font>
        <name val="Arial"/>
        <charset val="1"/>
        <family val="0"/>
        <b val="1"/>
        <color rgb="FF9C0006"/>
        <sz val="8"/>
      </font>
      <fill>
        <patternFill>
          <bgColor rgb="FFFFC7CE"/>
        </patternFill>
      </fill>
    </dxf>
    <dxf>
      <font>
        <name val="Arial"/>
        <charset val="1"/>
        <family val="0"/>
        <color rgb="FF9C6500"/>
        <sz val="8"/>
      </font>
      <fill>
        <patternFill>
          <bgColor rgb="FFFFEB9C"/>
        </patternFill>
      </fill>
    </dxf>
    <dxf>
      <fill>
        <patternFill patternType="solid">
          <fgColor rgb="FF1F6F54"/>
          <bgColor rgb="FF000000"/>
        </patternFill>
      </fill>
    </dxf>
    <dxf>
      <fill>
        <patternFill patternType="solid">
          <fgColor rgb="FF3F3F3F"/>
          <bgColor rgb="FF000000"/>
        </patternFill>
      </fill>
    </dxf>
    <dxf>
      <fill>
        <patternFill patternType="solid">
          <fgColor rgb="FF808080"/>
          <bgColor rgb="FF000000"/>
        </patternFill>
      </fill>
    </dxf>
    <dxf>
      <font>
        <name val="Arial"/>
        <charset val="1"/>
        <family val="0"/>
        <color rgb="FF974706"/>
        <sz val="9"/>
      </font>
      <fill>
        <patternFill>
          <bgColor rgb="FFFCE4D6"/>
        </patternFill>
      </fill>
    </dxf>
    <dxf>
      <font>
        <name val="Arial"/>
        <charset val="1"/>
        <family val="0"/>
        <color rgb="FF9C6500"/>
        <sz val="9"/>
      </font>
      <fill>
        <patternFill>
          <bgColor rgb="FFFFEB9C"/>
        </patternFill>
      </fill>
    </dxf>
    <dxf>
      <font>
        <name val="Arial"/>
        <charset val="1"/>
        <family val="0"/>
        <i val="1"/>
        <color rgb="FF808080"/>
        <sz val="9"/>
      </font>
    </dxf>
  </dxfs>
  <colors>
    <indexedColors>
      <rgbColor rgb="FF000000"/>
      <rgbColor rgb="FFFFFFFF"/>
      <rgbColor rgb="FFC00000"/>
      <rgbColor rgb="FF00FF00"/>
      <rgbColor rgb="FF0000FF"/>
      <rgbColor rgb="FFF2F2F2"/>
      <rgbColor rgb="FFFF00FF"/>
      <rgbColor rgb="FF00FFFF"/>
      <rgbColor rgb="FF9C0006"/>
      <rgbColor rgb="FF006100"/>
      <rgbColor rgb="FF000080"/>
      <rgbColor rgb="FF7F6000"/>
      <rgbColor rgb="FF800080"/>
      <rgbColor rgb="FF1F6F54"/>
      <rgbColor rgb="FFBFBFBF"/>
      <rgbColor rgb="FF808080"/>
      <rgbColor rgb="FFA6A6A6"/>
      <rgbColor rgb="FF9C6500"/>
      <rgbColor rgb="FFFFF2CC"/>
      <rgbColor rgb="FFDDEBF7"/>
      <rgbColor rgb="FF660066"/>
      <rgbColor rgb="FFFF8080"/>
      <rgbColor rgb="FF1F4E78"/>
      <rgbColor rgb="FFD1D1D1"/>
      <rgbColor rgb="FF000080"/>
      <rgbColor rgb="FFFF00FF"/>
      <rgbColor rgb="FFFFFF00"/>
      <rgbColor rgb="FF00FFFF"/>
      <rgbColor rgb="FF800080"/>
      <rgbColor rgb="FF800000"/>
      <rgbColor rgb="FF156082"/>
      <rgbColor rgb="FF0000FF"/>
      <rgbColor rgb="FF00B0F0"/>
      <rgbColor rgb="FFC1E5F5"/>
      <rgbColor rgb="FFC6EFCE"/>
      <rgbColor rgb="FFFFEB9C"/>
      <rgbColor rgb="FF9DC3E6"/>
      <rgbColor rgb="FFFCE4D6"/>
      <rgbColor rgb="FFD9D9D9"/>
      <rgbColor rgb="FFFFC7CE"/>
      <rgbColor rgb="FF2E75B6"/>
      <rgbColor rgb="FFA9D08E"/>
      <rgbColor rgb="FF70AD47"/>
      <rgbColor rgb="FFFFC000"/>
      <rgbColor rgb="FFBF9000"/>
      <rgbColor rgb="FFFF6600"/>
      <rgbColor rgb="FF595959"/>
      <rgbColor rgb="FF8B8B8B"/>
      <rgbColor rgb="FF1F3864"/>
      <rgbColor rgb="FF548235"/>
      <rgbColor rgb="FF404040"/>
      <rgbColor rgb="FF262626"/>
      <rgbColor rgb="FF974706"/>
      <rgbColor rgb="FF7F7F7F"/>
      <rgbColor rgb="FF2D447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Aptos Narrow"/>
              </a:defRPr>
            </a:pPr>
            <a:r>
              <a:rPr b="1" sz="1800" spc="-1" strike="noStrike">
                <a:solidFill>
                  <a:srgbClr val="000000"/>
                </a:solidFill>
                <a:latin typeface="Aptos Narrow"/>
              </a:rPr>
              <a:t>Project Status</a:t>
            </a:r>
          </a:p>
        </c:rich>
      </c:tx>
      <c:overlay val="0"/>
      <c:spPr>
        <a:noFill/>
        <a:ln w="0">
          <a:noFill/>
        </a:ln>
      </c:spPr>
    </c:title>
    <c:autoTitleDeleted val="0"/>
    <c:plotArea>
      <c:doughnutChart>
        <c:varyColors val="1"/>
        <c:ser>
          <c:idx val="0"/>
          <c:order val="0"/>
          <c:spPr>
            <a:solidFill>
              <a:srgbClr val="156082"/>
            </a:solidFill>
            <a:ln w="0">
              <a:noFill/>
            </a:ln>
          </c:spPr>
          <c:explosion val="0"/>
          <c:dPt>
            <c:idx val="0"/>
            <c:spPr>
              <a:solidFill>
                <a:srgbClr val="70ad47"/>
              </a:solidFill>
              <a:ln w="0">
                <a:noFill/>
              </a:ln>
            </c:spPr>
          </c:dPt>
          <c:dPt>
            <c:idx val="1"/>
            <c:spPr>
              <a:solidFill>
                <a:srgbClr val="ffc000"/>
              </a:solidFill>
              <a:ln w="0">
                <a:noFill/>
              </a:ln>
            </c:spPr>
          </c:dPt>
          <c:dPt>
            <c:idx val="2"/>
            <c:spPr>
              <a:solidFill>
                <a:srgbClr val="c00000"/>
              </a:solidFill>
              <a:ln w="0">
                <a:noFill/>
              </a:ln>
            </c:spPr>
          </c:dPt>
          <c:dPt>
            <c:idx val="3"/>
            <c:spPr>
              <a:solidFill>
                <a:srgbClr val="548235"/>
              </a:solidFill>
              <a:ln w="0">
                <a:noFill/>
              </a:ln>
            </c:spPr>
          </c:dPt>
          <c:dPt>
            <c:idx val="4"/>
            <c:spPr>
              <a:solidFill>
                <a:srgbClr val="a6a6a6"/>
              </a:solidFill>
              <a:ln w="0">
                <a:noFill/>
              </a:ln>
            </c:spPr>
          </c:dPt>
          <c:dPt>
            <c:idx val="5"/>
            <c:spPr>
              <a:solidFill>
                <a:srgbClr val="d9d9d9"/>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Dashboard!$A$26:$A$31</c:f>
              <c:strCache>
                <c:ptCount val="6"/>
                <c:pt idx="0">
                  <c:v>In Progress</c:v>
                </c:pt>
                <c:pt idx="1">
                  <c:v>At Risk</c:v>
                </c:pt>
                <c:pt idx="2">
                  <c:v>Blocked</c:v>
                </c:pt>
                <c:pt idx="3">
                  <c:v>Complete</c:v>
                </c:pt>
                <c:pt idx="4">
                  <c:v>Not Started</c:v>
                </c:pt>
                <c:pt idx="5">
                  <c:v>No Tasks Yet</c:v>
                </c:pt>
              </c:strCache>
            </c:strRef>
          </c:cat>
          <c:val>
            <c:numRef>
              <c:f>Dashboard!$B$26:$B$31</c:f>
              <c:numCache>
                <c:formatCode>General</c:formatCode>
                <c:ptCount val="6"/>
                <c:pt idx="0">
                  <c:v>9</c:v>
                </c:pt>
                <c:pt idx="1">
                  <c:v>1</c:v>
                </c:pt>
                <c:pt idx="2">
                  <c:v>1</c:v>
                </c:pt>
                <c:pt idx="3">
                  <c:v>1</c:v>
                </c:pt>
                <c:pt idx="4">
                  <c:v>2</c:v>
                </c:pt>
                <c:pt idx="5">
                  <c:v>29</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Aptos Narrow"/>
              </a:defRPr>
            </a:pPr>
            <a:r>
              <a:rPr b="1" sz="1800" spc="-1" strike="noStrike">
                <a:solidFill>
                  <a:srgbClr val="000000"/>
                </a:solidFill>
                <a:latin typeface="Aptos Narrow"/>
              </a:rPr>
              <a:t>Workload: Open vs Complete</a:t>
            </a:r>
          </a:p>
        </c:rich>
      </c:tx>
      <c:overlay val="0"/>
      <c:spPr>
        <a:noFill/>
        <a:ln w="0">
          <a:noFill/>
        </a:ln>
      </c:spPr>
    </c:title>
    <c:autoTitleDeleted val="0"/>
    <c:plotArea>
      <c:barChart>
        <c:barDir val="col"/>
        <c:grouping val="clustered"/>
        <c:varyColors val="0"/>
        <c:ser>
          <c:idx val="0"/>
          <c:order val="0"/>
          <c:tx>
            <c:strRef>
              <c:f>Dashboard!K12</c:f>
              <c:strCache>
                <c:ptCount val="1"/>
                <c:pt idx="0">
                  <c:v>Open</c:v>
                </c:pt>
              </c:strCache>
            </c:strRef>
          </c:tx>
          <c:spPr>
            <a:solidFill>
              <a:srgbClr val="2e75b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Dashboard!$I$13:$I$22</c:f>
              <c:strCache>
                <c:ptCount val="10"/>
                <c:pt idx="0">
                  <c:v>Quick Chadwick</c:v>
                </c:pt>
                <c:pt idx="1">
                  <c:v>MaryFran Anderson</c:v>
                </c:pt>
                <c:pt idx="2">
                  <c:v>Shane Mattingly</c:v>
                </c:pt>
                <c:pt idx="3">
                  <c:v>Leslie Toole</c:v>
                </c:pt>
                <c:pt idx="4">
                  <c:v>Leah Hanlon</c:v>
                </c:pt>
                <c:pt idx="5">
                  <c:v>Jamie Lavigne</c:v>
                </c:pt>
                <c:pt idx="6">
                  <c:v>Steve Griffith</c:v>
                </c:pt>
                <c:pt idx="7">
                  <c:v>Matt Motyka</c:v>
                </c:pt>
                <c:pt idx="8">
                  <c:v>Alvaro Leal</c:v>
                </c:pt>
                <c:pt idx="9">
                  <c:v>Cassidy Ford</c:v>
                </c:pt>
              </c:strCache>
            </c:strRef>
          </c:cat>
          <c:val>
            <c:numRef>
              <c:f>Dashboard!$K$13:$K$22</c:f>
              <c:numCache>
                <c:formatCode>General</c:formatCode>
                <c:ptCount val="10"/>
                <c:pt idx="0">
                  <c:v>8</c:v>
                </c:pt>
                <c:pt idx="1">
                  <c:v>6</c:v>
                </c:pt>
                <c:pt idx="2">
                  <c:v>7</c:v>
                </c:pt>
                <c:pt idx="3">
                  <c:v>1</c:v>
                </c:pt>
                <c:pt idx="4">
                  <c:v>1</c:v>
                </c:pt>
                <c:pt idx="5">
                  <c:v>2</c:v>
                </c:pt>
                <c:pt idx="6">
                  <c:v>2</c:v>
                </c:pt>
                <c:pt idx="7">
                  <c:v>2</c:v>
                </c:pt>
                <c:pt idx="8">
                  <c:v>2</c:v>
                </c:pt>
                <c:pt idx="9">
                  <c:v>1</c:v>
                </c:pt>
              </c:numCache>
            </c:numRef>
          </c:val>
        </c:ser>
        <c:ser>
          <c:idx val="1"/>
          <c:order val="1"/>
          <c:tx>
            <c:strRef>
              <c:f>Dashboard!L12</c:f>
              <c:strCache>
                <c:ptCount val="1"/>
                <c:pt idx="0">
                  <c:v>Complete</c:v>
                </c:pt>
              </c:strCache>
            </c:strRef>
          </c:tx>
          <c:spPr>
            <a:solidFill>
              <a:srgbClr val="70ad4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Dashboard!$I$13:$I$22</c:f>
              <c:strCache>
                <c:ptCount val="10"/>
                <c:pt idx="0">
                  <c:v>Quick Chadwick</c:v>
                </c:pt>
                <c:pt idx="1">
                  <c:v>MaryFran Anderson</c:v>
                </c:pt>
                <c:pt idx="2">
                  <c:v>Shane Mattingly</c:v>
                </c:pt>
                <c:pt idx="3">
                  <c:v>Leslie Toole</c:v>
                </c:pt>
                <c:pt idx="4">
                  <c:v>Leah Hanlon</c:v>
                </c:pt>
                <c:pt idx="5">
                  <c:v>Jamie Lavigne</c:v>
                </c:pt>
                <c:pt idx="6">
                  <c:v>Steve Griffith</c:v>
                </c:pt>
                <c:pt idx="7">
                  <c:v>Matt Motyka</c:v>
                </c:pt>
                <c:pt idx="8">
                  <c:v>Alvaro Leal</c:v>
                </c:pt>
                <c:pt idx="9">
                  <c:v>Cassidy Ford</c:v>
                </c:pt>
              </c:strCache>
            </c:strRef>
          </c:cat>
          <c:val>
            <c:numRef>
              <c:f>Dashboard!$L$13:$L$22</c:f>
              <c:numCache>
                <c:formatCode>General</c:formatCode>
                <c:ptCount val="10"/>
                <c:pt idx="0">
                  <c:v>2</c:v>
                </c:pt>
                <c:pt idx="1">
                  <c:v>0</c:v>
                </c:pt>
                <c:pt idx="2">
                  <c:v>0</c:v>
                </c:pt>
                <c:pt idx="3">
                  <c:v>0</c:v>
                </c:pt>
                <c:pt idx="4">
                  <c:v>0</c:v>
                </c:pt>
                <c:pt idx="5">
                  <c:v>0</c:v>
                </c:pt>
                <c:pt idx="6">
                  <c:v>0</c:v>
                </c:pt>
                <c:pt idx="7">
                  <c:v>0</c:v>
                </c:pt>
                <c:pt idx="8">
                  <c:v>1</c:v>
                </c:pt>
                <c:pt idx="9">
                  <c:v>0</c:v>
                </c:pt>
              </c:numCache>
            </c:numRef>
          </c:val>
        </c:ser>
        <c:gapWidth val="150"/>
        <c:overlap val="0"/>
        <c:axId val="57839487"/>
        <c:axId val="23567010"/>
      </c:barChart>
      <c:catAx>
        <c:axId val="57839487"/>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Aptos Narrow"/>
              </a:defRPr>
            </a:pPr>
          </a:p>
        </c:txPr>
        <c:crossAx val="23567010"/>
        <c:crosses val="autoZero"/>
        <c:auto val="1"/>
        <c:lblAlgn val="ctr"/>
        <c:lblOffset val="100"/>
        <c:noMultiLvlLbl val="0"/>
      </c:catAx>
      <c:valAx>
        <c:axId val="23567010"/>
        <c:scaling>
          <c:orientation val="minMax"/>
        </c:scaling>
        <c:delete val="0"/>
        <c:axPos val="l"/>
        <c:majorGridlines>
          <c:spPr>
            <a:ln w="12600">
              <a:solidFill>
                <a:srgbClr val="8b8b8b"/>
              </a:solidFill>
              <a:round/>
            </a:ln>
          </c:spPr>
        </c:majorGridlines>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Aptos Narrow"/>
              </a:defRPr>
            </a:pPr>
          </a:p>
        </c:txPr>
        <c:crossAx val="5783948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24</xdr:row>
      <xdr:rowOff>0</xdr:rowOff>
    </xdr:from>
    <xdr:to>
      <xdr:col>8</xdr:col>
      <xdr:colOff>43560</xdr:colOff>
      <xdr:row>37</xdr:row>
      <xdr:rowOff>42840</xdr:rowOff>
    </xdr:to>
    <xdr:graphicFrame>
      <xdr:nvGraphicFramePr>
        <xdr:cNvPr id="0" name="Chart 1"/>
        <xdr:cNvGraphicFramePr/>
      </xdr:nvGraphicFramePr>
      <xdr:xfrm>
        <a:off x="3645000" y="5724360"/>
        <a:ext cx="359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24</xdr:row>
      <xdr:rowOff>0</xdr:rowOff>
    </xdr:from>
    <xdr:to>
      <xdr:col>13</xdr:col>
      <xdr:colOff>416880</xdr:colOff>
      <xdr:row>37</xdr:row>
      <xdr:rowOff>42840</xdr:rowOff>
    </xdr:to>
    <xdr:graphicFrame>
      <xdr:nvGraphicFramePr>
        <xdr:cNvPr id="1" name="Chart 2"/>
        <xdr:cNvGraphicFramePr/>
      </xdr:nvGraphicFramePr>
      <xdr:xfrm>
        <a:off x="7201080" y="5724360"/>
        <a:ext cx="50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_AL" displayName="tbl_AL" ref="A4:Q44" headerRowCount="1" totalsRowCount="0" totalsRowShown="0">
  <autoFilter ref="A4:Q44"/>
  <tableColumns count="17">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Hyperlink to Project Sheet"/>
  </tableColumns>
</table>
</file>

<file path=xl/tables/table2.xml><?xml version="1.0" encoding="utf-8"?>
<table xmlns="http://schemas.openxmlformats.org/spreadsheetml/2006/main" id="2" name="tbl_AllTasks" displayName="tbl_AllTasks" ref="A4:W404" headerRowCount="1" totalsRowCount="0" totalsRowShown="0">
  <autoFilter ref="A4:W404"/>
  <tableColumns count="23">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Source Tab"/>
    <tableColumn id="18" name="Overdue"/>
    <tableColumn id="19" name="Due7d"/>
    <tableColumn id="20" name="DaysToDue"/>
    <tableColumn id="21" name="EffPct"/>
    <tableColumn id="22" name="HasRoad"/>
    <tableColumn id="23" name="Active"/>
  </tableColumns>
</table>
</file>

<file path=xl/tables/table3.xml><?xml version="1.0" encoding="utf-8"?>
<table xmlns="http://schemas.openxmlformats.org/spreadsheetml/2006/main" id="3" name="tbl_CF" displayName="tbl_CF" ref="A4:Q44" headerRowCount="1" totalsRowCount="0" totalsRowShown="0">
  <autoFilter ref="A4:Q44"/>
  <tableColumns count="17">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Hyperlink to Project Sheet"/>
  </tableColumns>
</table>
</file>

<file path=xl/tables/table4.xml><?xml version="1.0" encoding="utf-8"?>
<table xmlns="http://schemas.openxmlformats.org/spreadsheetml/2006/main" id="4" name="tbl_JL" displayName="tbl_JL" ref="A4:Q44" headerRowCount="1" totalsRowCount="0" totalsRowShown="0">
  <autoFilter ref="A4:Q44"/>
  <tableColumns count="17">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Hyperlink to Project Sheet"/>
  </tableColumns>
</table>
</file>

<file path=xl/tables/table5.xml><?xml version="1.0" encoding="utf-8"?>
<table xmlns="http://schemas.openxmlformats.org/spreadsheetml/2006/main" id="5" name="tbl_LH" displayName="tbl_LH" ref="A4:Q44" headerRowCount="1" totalsRowCount="0" totalsRowShown="0">
  <autoFilter ref="A4:Q44"/>
  <tableColumns count="17">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Hyperlink to Project Sheet"/>
  </tableColumns>
</table>
</file>

<file path=xl/tables/table6.xml><?xml version="1.0" encoding="utf-8"?>
<table xmlns="http://schemas.openxmlformats.org/spreadsheetml/2006/main" id="6" name="tbl_LT" displayName="tbl_LT" ref="A4:Q44" headerRowCount="1" totalsRowCount="0" totalsRowShown="0">
  <autoFilter ref="A4:Q44"/>
  <tableColumns count="17">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Hyperlink to Project Sheet"/>
  </tableColumns>
</table>
</file>

<file path=xl/tables/table7.xml><?xml version="1.0" encoding="utf-8"?>
<table xmlns="http://schemas.openxmlformats.org/spreadsheetml/2006/main" id="7" name="tbl_MFA" displayName="tbl_MFA" ref="A4:Q44" headerRowCount="1" totalsRowCount="0" totalsRowShown="0">
  <autoFilter ref="A4:Q44"/>
  <tableColumns count="17">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Hyperlink to Project Sheet"/>
  </tableColumns>
</table>
</file>

<file path=xl/tables/table8.xml><?xml version="1.0" encoding="utf-8"?>
<table xmlns="http://schemas.openxmlformats.org/spreadsheetml/2006/main" id="8" name="tbl_MM" displayName="tbl_MM" ref="A4:Q44" headerRowCount="1" totalsRowCount="0" totalsRowShown="0">
  <autoFilter ref="A4:Q44"/>
  <tableColumns count="17">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Hyperlink to Project Sheet"/>
  </tableColumns>
</table>
</file>

<file path=xl/tables/table9.xml><?xml version="1.0" encoding="utf-8"?>
<table xmlns="http://schemas.openxmlformats.org/spreadsheetml/2006/main" id="9" name="tbl_Projects" displayName="tbl_Projects" ref="A4:P47" headerRowCount="1" totalsRowCount="0" totalsRowShown="0">
  <autoFilter ref="A4:P47"/>
  <tableColumns count="16">
    <tableColumn id="1" name="Project ID"/>
    <tableColumn id="2" name="Focus Area"/>
    <tableColumn id="3" name="Project / Tactic Name"/>
    <tableColumn id="4" name="Exec Owner"/>
    <tableColumn id="5" name="Lead Owner"/>
    <tableColumn id="6" name="Strategic Goal (why)"/>
    <tableColumn id="7" name="Timing"/>
    <tableColumn id="8" name="Tasks"/>
    <tableColumn id="9" name="Current Status"/>
    <tableColumn id="10" name="% Complete"/>
    <tableColumn id="11" name="Overdue"/>
    <tableColumn id="12" name="Blocked"/>
    <tableColumn id="13" name="Key Risks"/>
    <tableColumn id="14" name="Next Milestone"/>
    <tableColumn id="15" name="Health"/>
    <tableColumn id="16" name="Review"/>
  </tableColumns>
</table>
</file>

<file path=xl/tables/table10.xml><?xml version="1.0" encoding="utf-8"?>
<table xmlns="http://schemas.openxmlformats.org/spreadsheetml/2006/main" id="10" name="tbl_QC" displayName="tbl_QC" ref="A4:Q44" headerRowCount="1" totalsRowCount="0" totalsRowShown="0">
  <autoFilter ref="A4:Q44"/>
  <tableColumns count="17">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Hyperlink to Project Sheet"/>
  </tableColumns>
</table>
</file>

<file path=xl/tables/table11.xml><?xml version="1.0" encoding="utf-8"?>
<table xmlns="http://schemas.openxmlformats.org/spreadsheetml/2006/main" id="11" name="tbl_SG" displayName="tbl_SG" ref="A4:Q44" headerRowCount="1" totalsRowCount="0" totalsRowShown="0">
  <autoFilter ref="A4:Q44"/>
  <tableColumns count="17">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Hyperlink to Project Sheet"/>
  </tableColumns>
</table>
</file>

<file path=xl/tables/table12.xml><?xml version="1.0" encoding="utf-8"?>
<table xmlns="http://schemas.openxmlformats.org/spreadsheetml/2006/main" id="12" name="tbl_SM" displayName="tbl_SM" ref="A4:Q44" headerRowCount="1" totalsRowCount="0" totalsRowShown="0">
  <autoFilter ref="A4:Q44"/>
  <tableColumns count="17">
    <tableColumn id="1" name="Task ID"/>
    <tableColumn id="2" name="Project ID"/>
    <tableColumn id="3" name="Focus Area"/>
    <tableColumn id="4" name="Tactic / Project Name"/>
    <tableColumn id="5" name="Assigned To"/>
    <tableColumn id="6" name="Role"/>
    <tableColumn id="7" name="Task Description"/>
    <tableColumn id="8" name="Priority"/>
    <tableColumn id="9" name="Status"/>
    <tableColumn id="10" name="Percent Complete"/>
    <tableColumn id="11" name="Start Date"/>
    <tableColumn id="12" name="Due Date"/>
    <tableColumn id="13" name="Dependency"/>
    <tableColumn id="14" name="Roadblock"/>
    <tableColumn id="15" name="Last Update"/>
    <tableColumn id="16" name="Next Step"/>
    <tableColumn id="17" name="Hyperlink to Project Shee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9.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10.xml"/>
</Relationships>
</file>

<file path=xl/worksheets/_rels/sheet7.xml.rels><?xml version="1.0" encoding="UTF-8"?>
<Relationships xmlns="http://schemas.openxmlformats.org/package/2006/relationships"><Relationship Id="rId1" Type="http://schemas.openxmlformats.org/officeDocument/2006/relationships/table" Target="../tables/table7.xml"/>
</Relationships>
</file>

<file path=xl/worksheets/_rels/sheet8.xml.rels><?xml version="1.0" encoding="UTF-8"?>
<Relationships xmlns="http://schemas.openxmlformats.org/package/2006/relationships"><Relationship Id="rId1" Type="http://schemas.openxmlformats.org/officeDocument/2006/relationships/table" Target="../tables/table12.xml"/>
</Relationships>
</file>

<file path=xl/worksheets/_rels/sheet9.xml.rels><?xml version="1.0" encoding="UTF-8"?>
<Relationships xmlns="http://schemas.openxmlformats.org/package/2006/relationships"><Relationship Id="rId1" Type="http://schemas.openxmlformats.org/officeDocument/2006/relationships/table" Target="../tables/table6.xml"/>
</Relationships>
</file>

<file path=xl/worksheets/_rels/sheet10.xml.rels><?xml version="1.0" encoding="UTF-8"?>
<Relationships xmlns="http://schemas.openxmlformats.org/package/2006/relationships"><Relationship Id="rId1" Type="http://schemas.openxmlformats.org/officeDocument/2006/relationships/table" Target="../tables/table5.xml"/>
</Relationships>
</file>

<file path=xl/worksheets/_rels/sheet11.xml.rels><?xml version="1.0" encoding="UTF-8"?>
<Relationships xmlns="http://schemas.openxmlformats.org/package/2006/relationships"><Relationship Id="rId1" Type="http://schemas.openxmlformats.org/officeDocument/2006/relationships/table" Target="../tables/table4.xml"/>
</Relationships>
</file>

<file path=xl/worksheets/_rels/sheet12.xml.rels><?xml version="1.0" encoding="UTF-8"?>
<Relationships xmlns="http://schemas.openxmlformats.org/package/2006/relationships"><Relationship Id="rId1" Type="http://schemas.openxmlformats.org/officeDocument/2006/relationships/table" Target="../tables/table11.xml"/>
</Relationships>
</file>

<file path=xl/worksheets/_rels/sheet13.xml.rels><?xml version="1.0" encoding="UTF-8"?>
<Relationships xmlns="http://schemas.openxmlformats.org/package/2006/relationships"><Relationship Id="rId1" Type="http://schemas.openxmlformats.org/officeDocument/2006/relationships/table" Target="../tables/table8.xml"/>
</Relationships>
</file>

<file path=xl/worksheets/_rels/sheet14.xml.rels><?xml version="1.0" encoding="UTF-8"?>
<Relationships xmlns="http://schemas.openxmlformats.org/package/2006/relationships"><Relationship Id="rId1" Type="http://schemas.openxmlformats.org/officeDocument/2006/relationships/table" Target="../tables/table1.xml"/>
</Relationships>
</file>

<file path=xl/worksheets/_rels/sheet15.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N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8"/>
    <col collapsed="false" customWidth="true" hidden="false" outlineLevel="0" max="3" min="3" style="0" width="9"/>
    <col collapsed="false" customWidth="true" hidden="false" outlineLevel="0" max="4" min="4" style="0" width="11"/>
    <col collapsed="false" customWidth="true" hidden="false" outlineLevel="0" max="5" min="5" style="0" width="8"/>
    <col collapsed="false" customWidth="true" hidden="false" outlineLevel="0" max="6" min="6" style="0" width="11"/>
    <col collapsed="false" customWidth="true" hidden="false" outlineLevel="0" max="7" min="7" style="0" width="8"/>
    <col collapsed="false" customWidth="true" hidden="false" outlineLevel="0" max="8" min="8" style="0" width="2"/>
    <col collapsed="false" customWidth="true" hidden="false" outlineLevel="0" max="9" min="9" style="0" width="18"/>
    <col collapsed="false" customWidth="true" hidden="false" outlineLevel="0" max="11" min="10" style="0" width="8"/>
    <col collapsed="false" customWidth="true" hidden="false" outlineLevel="0" max="13" min="12" style="0" width="9"/>
    <col collapsed="false" customWidth="true" hidden="false" outlineLevel="0" max="14" min="14" style="0" width="11"/>
  </cols>
  <sheetData>
    <row r="1" customFormat="false" ht="33.75" hidden="false" customHeight="true" outlineLevel="0" collapsed="false">
      <c r="A1" s="1" t="s">
        <v>0</v>
      </c>
      <c r="B1" s="1"/>
      <c r="C1" s="1"/>
      <c r="D1" s="1"/>
      <c r="E1" s="1"/>
      <c r="F1" s="1"/>
      <c r="G1" s="1"/>
      <c r="H1" s="1"/>
      <c r="I1" s="1"/>
      <c r="J1" s="1"/>
      <c r="K1" s="1"/>
      <c r="L1" s="1"/>
      <c r="M1" s="1"/>
      <c r="N1" s="1"/>
    </row>
    <row r="2" customFormat="false" ht="19.5" hidden="false" customHeight="true" outlineLevel="0" collapsed="false">
      <c r="A2" s="2" t="s">
        <v>1</v>
      </c>
      <c r="B2" s="2"/>
      <c r="C2" s="2"/>
      <c r="D2" s="2"/>
      <c r="E2" s="2"/>
      <c r="F2" s="2"/>
      <c r="G2" s="2"/>
      <c r="H2" s="2"/>
      <c r="I2" s="2"/>
      <c r="J2" s="2"/>
      <c r="K2" s="2"/>
      <c r="L2" s="2"/>
      <c r="M2" s="2"/>
      <c r="N2" s="2"/>
    </row>
    <row r="4" customFormat="false" ht="39.75" hidden="false" customHeight="true" outlineLevel="0" collapsed="false">
      <c r="A4" s="3" t="n">
        <f aca="false">COUNTIF(Projects!$H$5:$H$47,"&gt;0")</f>
        <v>14</v>
      </c>
      <c r="B4" s="3"/>
      <c r="C4" s="4" t="n">
        <f aca="false">COUNTIF(Projects!$I$5:$I$47,"In Progress")</f>
        <v>9</v>
      </c>
      <c r="D4" s="4"/>
      <c r="E4" s="5" t="n">
        <f aca="false">COUNTIF(Projects!$I$5:$I$47,"At Risk")</f>
        <v>1</v>
      </c>
      <c r="F4" s="5"/>
      <c r="G4" s="6" t="n">
        <f aca="false">COUNTIF(Projects!$I$5:$I$47,"Blocked")</f>
        <v>1</v>
      </c>
      <c r="H4" s="6"/>
      <c r="I4" s="7" t="n">
        <f aca="false">COUNTIF(Projects!$I$5:$I$47,"Complete")</f>
        <v>1</v>
      </c>
      <c r="J4" s="7"/>
      <c r="K4" s="8" t="n">
        <f aca="false">IFERROR(SUM('All Tasks'!$U$5:$U$404)/SUM('All Tasks'!$W$5:$W$404),0)</f>
        <v>0.381428571428571</v>
      </c>
      <c r="L4" s="8"/>
    </row>
    <row r="5" customFormat="false" ht="24" hidden="false" customHeight="true" outlineLevel="0" collapsed="false">
      <c r="A5" s="9" t="s">
        <v>2</v>
      </c>
      <c r="B5" s="9"/>
      <c r="C5" s="10" t="s">
        <v>3</v>
      </c>
      <c r="D5" s="10"/>
      <c r="E5" s="11" t="s">
        <v>4</v>
      </c>
      <c r="F5" s="11"/>
      <c r="G5" s="12" t="s">
        <v>5</v>
      </c>
      <c r="H5" s="12"/>
      <c r="I5" s="13" t="s">
        <v>6</v>
      </c>
      <c r="J5" s="13"/>
      <c r="K5" s="14" t="s">
        <v>7</v>
      </c>
      <c r="L5" s="14"/>
    </row>
    <row r="7" customFormat="false" ht="39.75" hidden="false" customHeight="true" outlineLevel="0" collapsed="false">
      <c r="A7" s="15" t="n">
        <f aca="false">SUM('All Tasks'!$W$5:$W$404)</f>
        <v>35</v>
      </c>
      <c r="B7" s="15"/>
      <c r="C7" s="6" t="n">
        <f aca="false">SUM('All Tasks'!$R$5:$R$404)</f>
        <v>1</v>
      </c>
      <c r="D7" s="6"/>
      <c r="E7" s="16" t="n">
        <f aca="false">SUM('All Tasks'!$S$5:$S$404)</f>
        <v>1</v>
      </c>
      <c r="F7" s="16"/>
      <c r="G7" s="17" t="n">
        <f aca="false">COUNTIF(Projects!$I$5:$I$47,"Not Started")</f>
        <v>2</v>
      </c>
      <c r="H7" s="17"/>
      <c r="I7" s="18" t="n">
        <f aca="false">COUNTIF(Projects!$I$5:$I$47,"No Tasks Yet")</f>
        <v>29</v>
      </c>
      <c r="J7" s="18"/>
      <c r="K7" s="19" t="n">
        <f aca="false">10</f>
        <v>10</v>
      </c>
      <c r="L7" s="19"/>
    </row>
    <row r="8" customFormat="false" ht="24" hidden="false" customHeight="true" outlineLevel="0" collapsed="false">
      <c r="A8" s="20" t="s">
        <v>8</v>
      </c>
      <c r="B8" s="20"/>
      <c r="C8" s="12" t="s">
        <v>9</v>
      </c>
      <c r="D8" s="12"/>
      <c r="E8" s="21" t="s">
        <v>10</v>
      </c>
      <c r="F8" s="21"/>
      <c r="G8" s="22" t="s">
        <v>11</v>
      </c>
      <c r="H8" s="22"/>
      <c r="I8" s="23" t="s">
        <v>12</v>
      </c>
      <c r="J8" s="23"/>
      <c r="K8" s="24" t="s">
        <v>13</v>
      </c>
      <c r="L8" s="24"/>
    </row>
    <row r="11" customFormat="false" ht="15" hidden="false" customHeight="false" outlineLevel="0" collapsed="false">
      <c r="A11" s="25" t="s">
        <v>14</v>
      </c>
      <c r="I11" s="25" t="s">
        <v>15</v>
      </c>
    </row>
    <row r="12" customFormat="false" ht="15" hidden="false" customHeight="false" outlineLevel="0" collapsed="false">
      <c r="A12" s="26" t="s">
        <v>16</v>
      </c>
      <c r="B12" s="26" t="s">
        <v>17</v>
      </c>
      <c r="C12" s="26" t="s">
        <v>6</v>
      </c>
      <c r="D12" s="26" t="s">
        <v>18</v>
      </c>
      <c r="E12" s="26" t="s">
        <v>19</v>
      </c>
      <c r="F12" s="26" t="s">
        <v>20</v>
      </c>
      <c r="G12" s="26" t="s">
        <v>21</v>
      </c>
      <c r="I12" s="26" t="s">
        <v>22</v>
      </c>
      <c r="J12" s="26" t="s">
        <v>17</v>
      </c>
      <c r="K12" s="26" t="s">
        <v>23</v>
      </c>
      <c r="L12" s="26" t="s">
        <v>6</v>
      </c>
      <c r="M12" s="26" t="s">
        <v>19</v>
      </c>
      <c r="N12" s="26" t="s">
        <v>20</v>
      </c>
    </row>
    <row r="13" customFormat="false" ht="15" hidden="false" customHeight="false" outlineLevel="0" collapsed="false">
      <c r="A13" s="27" t="s">
        <v>24</v>
      </c>
      <c r="B13" s="28" t="n">
        <f aca="false">SUMIFS('All Tasks'!$W$5:$W$404,'All Tasks'!$C$5:$C$404,$A13)</f>
        <v>11</v>
      </c>
      <c r="C13" s="28" t="n">
        <f aca="false">COUNTIFS('All Tasks'!$C$5:$C$404,$A13,'All Tasks'!$I$5:$I$404,"Complete")</f>
        <v>0</v>
      </c>
      <c r="D13" s="28" t="n">
        <f aca="false">COUNTIFS('All Tasks'!$C$5:$C$404,$A13,'All Tasks'!$I$5:$I$404,"In Progress")</f>
        <v>11</v>
      </c>
      <c r="E13" s="28" t="n">
        <f aca="false">SUMIFS('All Tasks'!$R$5:$R$404,'All Tasks'!$C$5:$C$404,$A13)</f>
        <v>1</v>
      </c>
      <c r="F13" s="29" t="n">
        <f aca="false">IFERROR(SUMIFS('All Tasks'!$U$5:$U$404,'All Tasks'!$C$5:$C$404,$A13)/SUMIFS('All Tasks'!$W$5:$W$404,'All Tasks'!$C$5:$C$404,$A13),"")</f>
        <v>0.5</v>
      </c>
      <c r="G13" s="30" t="str">
        <f aca="false">IF(COUNTIFS(Projects!$B$5:$B$47,$A13,Projects!$O$5:$O$47,"R")&gt;0,"R",IF(COUNTIFS(Projects!$B$5:$B$47,$A13,Projects!$O$5:$O$47,"Y")&gt;0,"Y",IF($B13=0,"-","G")))</f>
        <v>R</v>
      </c>
      <c r="I13" s="31" t="s">
        <v>25</v>
      </c>
      <c r="J13" s="32" t="n">
        <f aca="false">SUMIFS('All Tasks'!$W$5:$W$404,'All Tasks'!$Q$5:$Q$404,$I13)</f>
        <v>10</v>
      </c>
      <c r="K13" s="32" t="n">
        <f aca="false">$J13-$L13</f>
        <v>8</v>
      </c>
      <c r="L13" s="32" t="n">
        <f aca="false">COUNTIFS('All Tasks'!$Q$5:$Q$404,$I13,'All Tasks'!$I$5:$I$404,"Complete")</f>
        <v>2</v>
      </c>
      <c r="M13" s="32" t="n">
        <f aca="false">SUMIFS('All Tasks'!$R$5:$R$404,'All Tasks'!$Q$5:$Q$404,$I13)</f>
        <v>0</v>
      </c>
      <c r="N13" s="33" t="n">
        <f aca="false">IFERROR(SUMIFS('All Tasks'!$U$5:$U$404,'All Tasks'!$Q$5:$Q$404,$I13)/$J13,"")</f>
        <v>0.415</v>
      </c>
    </row>
    <row r="14" customFormat="false" ht="15" hidden="false" customHeight="false" outlineLevel="0" collapsed="false">
      <c r="A14" s="27" t="s">
        <v>26</v>
      </c>
      <c r="B14" s="28" t="n">
        <f aca="false">SUMIFS('All Tasks'!$W$5:$W$404,'All Tasks'!$C$5:$C$404,$A14)</f>
        <v>3</v>
      </c>
      <c r="C14" s="28" t="n">
        <f aca="false">COUNTIFS('All Tasks'!$C$5:$C$404,$A14,'All Tasks'!$I$5:$I$404,"Complete")</f>
        <v>1</v>
      </c>
      <c r="D14" s="28" t="n">
        <f aca="false">COUNTIFS('All Tasks'!$C$5:$C$404,$A14,'All Tasks'!$I$5:$I$404,"In Progress")</f>
        <v>2</v>
      </c>
      <c r="E14" s="28" t="n">
        <f aca="false">SUMIFS('All Tasks'!$R$5:$R$404,'All Tasks'!$C$5:$C$404,$A14)</f>
        <v>0</v>
      </c>
      <c r="F14" s="29" t="n">
        <f aca="false">IFERROR(SUMIFS('All Tasks'!$U$5:$U$404,'All Tasks'!$C$5:$C$404,$A14)/SUMIFS('All Tasks'!$W$5:$W$404,'All Tasks'!$C$5:$C$404,$A14),"")</f>
        <v>0.533333333333333</v>
      </c>
      <c r="G14" s="30" t="str">
        <f aca="false">IF(COUNTIFS(Projects!$B$5:$B$47,$A14,Projects!$O$5:$O$47,"R")&gt;0,"R",IF(COUNTIFS(Projects!$B$5:$B$47,$A14,Projects!$O$5:$O$47,"Y")&gt;0,"Y",IF($B14=0,"-","G")))</f>
        <v>G</v>
      </c>
      <c r="I14" s="31" t="s">
        <v>27</v>
      </c>
      <c r="J14" s="32" t="n">
        <f aca="false">SUMIFS('All Tasks'!$W$5:$W$404,'All Tasks'!$Q$5:$Q$404,$I14)</f>
        <v>6</v>
      </c>
      <c r="K14" s="32" t="n">
        <f aca="false">$J14-$L14</f>
        <v>6</v>
      </c>
      <c r="L14" s="32" t="n">
        <f aca="false">COUNTIFS('All Tasks'!$Q$5:$Q$404,$I14,'All Tasks'!$I$5:$I$404,"Complete")</f>
        <v>0</v>
      </c>
      <c r="M14" s="32" t="n">
        <f aca="false">SUMIFS('All Tasks'!$R$5:$R$404,'All Tasks'!$Q$5:$Q$404,$I14)</f>
        <v>0</v>
      </c>
      <c r="N14" s="33" t="n">
        <f aca="false">IFERROR(SUMIFS('All Tasks'!$U$5:$U$404,'All Tasks'!$Q$5:$Q$404,$I14)/$J14,"")</f>
        <v>0.25</v>
      </c>
    </row>
    <row r="15" customFormat="false" ht="15" hidden="false" customHeight="false" outlineLevel="0" collapsed="false">
      <c r="A15" s="27" t="s">
        <v>28</v>
      </c>
      <c r="B15" s="28" t="n">
        <f aca="false">SUMIFS('All Tasks'!$W$5:$W$404,'All Tasks'!$C$5:$C$404,$A15)</f>
        <v>7</v>
      </c>
      <c r="C15" s="28" t="n">
        <f aca="false">COUNTIFS('All Tasks'!$C$5:$C$404,$A15,'All Tasks'!$I$5:$I$404,"Complete")</f>
        <v>0</v>
      </c>
      <c r="D15" s="28" t="n">
        <f aca="false">COUNTIFS('All Tasks'!$C$5:$C$404,$A15,'All Tasks'!$I$5:$I$404,"In Progress")</f>
        <v>4</v>
      </c>
      <c r="E15" s="28" t="n">
        <f aca="false">SUMIFS('All Tasks'!$R$5:$R$404,'All Tasks'!$C$5:$C$404,$A15)</f>
        <v>0</v>
      </c>
      <c r="F15" s="29" t="n">
        <f aca="false">IFERROR(SUMIFS('All Tasks'!$U$5:$U$404,'All Tasks'!$C$5:$C$404,$A15)/SUMIFS('All Tasks'!$W$5:$W$404,'All Tasks'!$C$5:$C$404,$A15),"")</f>
        <v>0.2</v>
      </c>
      <c r="G15" s="30" t="str">
        <f aca="false">IF(COUNTIFS(Projects!$B$5:$B$47,$A15,Projects!$O$5:$O$47,"R")&gt;0,"R",IF(COUNTIFS(Projects!$B$5:$B$47,$A15,Projects!$O$5:$O$47,"Y")&gt;0,"Y",IF($B15=0,"-","G")))</f>
        <v>R</v>
      </c>
      <c r="I15" s="31" t="s">
        <v>29</v>
      </c>
      <c r="J15" s="32" t="n">
        <f aca="false">SUMIFS('All Tasks'!$W$5:$W$404,'All Tasks'!$Q$5:$Q$404,$I15)</f>
        <v>7</v>
      </c>
      <c r="K15" s="32" t="n">
        <f aca="false">$J15-$L15</f>
        <v>7</v>
      </c>
      <c r="L15" s="32" t="n">
        <f aca="false">COUNTIFS('All Tasks'!$Q$5:$Q$404,$I15,'All Tasks'!$I$5:$I$404,"Complete")</f>
        <v>0</v>
      </c>
      <c r="M15" s="32" t="n">
        <f aca="false">SUMIFS('All Tasks'!$R$5:$R$404,'All Tasks'!$Q$5:$Q$404,$I15)</f>
        <v>1</v>
      </c>
      <c r="N15" s="33" t="n">
        <f aca="false">IFERROR(SUMIFS('All Tasks'!$U$5:$U$404,'All Tasks'!$Q$5:$Q$404,$I15)/$J15,"")</f>
        <v>0.271428571428571</v>
      </c>
    </row>
    <row r="16" customFormat="false" ht="15" hidden="false" customHeight="false" outlineLevel="0" collapsed="false">
      <c r="A16" s="27" t="s">
        <v>30</v>
      </c>
      <c r="B16" s="28" t="n">
        <f aca="false">SUMIFS('All Tasks'!$W$5:$W$404,'All Tasks'!$C$5:$C$404,$A16)</f>
        <v>2</v>
      </c>
      <c r="C16" s="28" t="n">
        <f aca="false">COUNTIFS('All Tasks'!$C$5:$C$404,$A16,'All Tasks'!$I$5:$I$404,"Complete")</f>
        <v>0</v>
      </c>
      <c r="D16" s="28" t="n">
        <f aca="false">COUNTIFS('All Tasks'!$C$5:$C$404,$A16,'All Tasks'!$I$5:$I$404,"In Progress")</f>
        <v>2</v>
      </c>
      <c r="E16" s="28" t="n">
        <f aca="false">SUMIFS('All Tasks'!$R$5:$R$404,'All Tasks'!$C$5:$C$404,$A16)</f>
        <v>0</v>
      </c>
      <c r="F16" s="29" t="n">
        <f aca="false">IFERROR(SUMIFS('All Tasks'!$U$5:$U$404,'All Tasks'!$C$5:$C$404,$A16)/SUMIFS('All Tasks'!$W$5:$W$404,'All Tasks'!$C$5:$C$404,$A16),"")</f>
        <v>0.25</v>
      </c>
      <c r="G16" s="30" t="str">
        <f aca="false">IF(COUNTIFS(Projects!$B$5:$B$47,$A16,Projects!$O$5:$O$47,"R")&gt;0,"R",IF(COUNTIFS(Projects!$B$5:$B$47,$A16,Projects!$O$5:$O$47,"Y")&gt;0,"Y",IF($B16=0,"-","G")))</f>
        <v>G</v>
      </c>
      <c r="I16" s="31" t="s">
        <v>31</v>
      </c>
      <c r="J16" s="32" t="n">
        <f aca="false">SUMIFS('All Tasks'!$W$5:$W$404,'All Tasks'!$Q$5:$Q$404,$I16)</f>
        <v>1</v>
      </c>
      <c r="K16" s="32" t="n">
        <f aca="false">$J16-$L16</f>
        <v>1</v>
      </c>
      <c r="L16" s="32" t="n">
        <f aca="false">COUNTIFS('All Tasks'!$Q$5:$Q$404,$I16,'All Tasks'!$I$5:$I$404,"Complete")</f>
        <v>0</v>
      </c>
      <c r="M16" s="32" t="n">
        <f aca="false">SUMIFS('All Tasks'!$R$5:$R$404,'All Tasks'!$Q$5:$Q$404,$I16)</f>
        <v>0</v>
      </c>
      <c r="N16" s="33" t="n">
        <f aca="false">IFERROR(SUMIFS('All Tasks'!$U$5:$U$404,'All Tasks'!$Q$5:$Q$404,$I16)/$J16,"")</f>
        <v>0.5</v>
      </c>
    </row>
    <row r="17" customFormat="false" ht="15" hidden="false" customHeight="false" outlineLevel="0" collapsed="false">
      <c r="A17" s="27" t="s">
        <v>32</v>
      </c>
      <c r="B17" s="28" t="n">
        <f aca="false">SUMIFS('All Tasks'!$W$5:$W$404,'All Tasks'!$C$5:$C$404,$A17)</f>
        <v>1</v>
      </c>
      <c r="C17" s="28" t="n">
        <f aca="false">COUNTIFS('All Tasks'!$C$5:$C$404,$A17,'All Tasks'!$I$5:$I$404,"Complete")</f>
        <v>0</v>
      </c>
      <c r="D17" s="28" t="n">
        <f aca="false">COUNTIFS('All Tasks'!$C$5:$C$404,$A17,'All Tasks'!$I$5:$I$404,"In Progress")</f>
        <v>0</v>
      </c>
      <c r="E17" s="28" t="n">
        <f aca="false">SUMIFS('All Tasks'!$R$5:$R$404,'All Tasks'!$C$5:$C$404,$A17)</f>
        <v>0</v>
      </c>
      <c r="F17" s="29" t="n">
        <f aca="false">IFERROR(SUMIFS('All Tasks'!$U$5:$U$404,'All Tasks'!$C$5:$C$404,$A17)/SUMIFS('All Tasks'!$W$5:$W$404,'All Tasks'!$C$5:$C$404,$A17),"")</f>
        <v>0</v>
      </c>
      <c r="G17" s="30" t="str">
        <f aca="false">IF(COUNTIFS(Projects!$B$5:$B$47,$A17,Projects!$O$5:$O$47,"R")&gt;0,"R",IF(COUNTIFS(Projects!$B$5:$B$47,$A17,Projects!$O$5:$O$47,"Y")&gt;0,"Y",IF($B17=0,"-","G")))</f>
        <v>Y</v>
      </c>
      <c r="I17" s="31" t="s">
        <v>33</v>
      </c>
      <c r="J17" s="32" t="n">
        <f aca="false">SUMIFS('All Tasks'!$W$5:$W$404,'All Tasks'!$Q$5:$Q$404,$I17)</f>
        <v>1</v>
      </c>
      <c r="K17" s="32" t="n">
        <f aca="false">$J17-$L17</f>
        <v>1</v>
      </c>
      <c r="L17" s="32" t="n">
        <f aca="false">COUNTIFS('All Tasks'!$Q$5:$Q$404,$I17,'All Tasks'!$I$5:$I$404,"Complete")</f>
        <v>0</v>
      </c>
      <c r="M17" s="32" t="n">
        <f aca="false">SUMIFS('All Tasks'!$R$5:$R$404,'All Tasks'!$Q$5:$Q$404,$I17)</f>
        <v>0</v>
      </c>
      <c r="N17" s="33" t="n">
        <f aca="false">IFERROR(SUMIFS('All Tasks'!$U$5:$U$404,'All Tasks'!$Q$5:$Q$404,$I17)/$J17,"")</f>
        <v>0.5</v>
      </c>
    </row>
    <row r="18" customFormat="false" ht="15" hidden="false" customHeight="false" outlineLevel="0" collapsed="false">
      <c r="A18" s="27" t="s">
        <v>34</v>
      </c>
      <c r="B18" s="28" t="n">
        <f aca="false">SUMIFS('All Tasks'!$W$5:$W$404,'All Tasks'!$C$5:$C$404,$A18)</f>
        <v>9</v>
      </c>
      <c r="C18" s="28" t="n">
        <f aca="false">COUNTIFS('All Tasks'!$C$5:$C$404,$A18,'All Tasks'!$I$5:$I$404,"Complete")</f>
        <v>2</v>
      </c>
      <c r="D18" s="28" t="n">
        <f aca="false">COUNTIFS('All Tasks'!$C$5:$C$404,$A18,'All Tasks'!$I$5:$I$404,"In Progress")</f>
        <v>5</v>
      </c>
      <c r="E18" s="28" t="n">
        <f aca="false">SUMIFS('All Tasks'!$R$5:$R$404,'All Tasks'!$C$5:$C$404,$A18)</f>
        <v>0</v>
      </c>
      <c r="F18" s="29" t="n">
        <f aca="false">IFERROR(SUMIFS('All Tasks'!$U$5:$U$404,'All Tasks'!$C$5:$C$404,$A18)/SUMIFS('All Tasks'!$W$5:$W$404,'All Tasks'!$C$5:$C$404,$A18),"")</f>
        <v>0.427777777777778</v>
      </c>
      <c r="G18" s="30" t="str">
        <f aca="false">IF(COUNTIFS(Projects!$B$5:$B$47,$A18,Projects!$O$5:$O$47,"R")&gt;0,"R",IF(COUNTIFS(Projects!$B$5:$B$47,$A18,Projects!$O$5:$O$47,"Y")&gt;0,"Y",IF($B18=0,"-","G")))</f>
        <v>G</v>
      </c>
      <c r="I18" s="31" t="s">
        <v>35</v>
      </c>
      <c r="J18" s="32" t="n">
        <f aca="false">SUMIFS('All Tasks'!$W$5:$W$404,'All Tasks'!$Q$5:$Q$404,$I18)</f>
        <v>2</v>
      </c>
      <c r="K18" s="32" t="n">
        <f aca="false">$J18-$L18</f>
        <v>2</v>
      </c>
      <c r="L18" s="32" t="n">
        <f aca="false">COUNTIFS('All Tasks'!$Q$5:$Q$404,$I18,'All Tasks'!$I$5:$I$404,"Complete")</f>
        <v>0</v>
      </c>
      <c r="M18" s="32" t="n">
        <f aca="false">SUMIFS('All Tasks'!$R$5:$R$404,'All Tasks'!$Q$5:$Q$404,$I18)</f>
        <v>0</v>
      </c>
      <c r="N18" s="33" t="n">
        <f aca="false">IFERROR(SUMIFS('All Tasks'!$U$5:$U$404,'All Tasks'!$Q$5:$Q$404,$I18)/$J18,"")</f>
        <v>0.5</v>
      </c>
    </row>
    <row r="19" customFormat="false" ht="15" hidden="false" customHeight="false" outlineLevel="0" collapsed="false">
      <c r="A19" s="27" t="s">
        <v>36</v>
      </c>
      <c r="B19" s="28" t="n">
        <f aca="false">SUMIFS('All Tasks'!$W$5:$W$404,'All Tasks'!$C$5:$C$404,$A19)</f>
        <v>2</v>
      </c>
      <c r="C19" s="28" t="n">
        <f aca="false">COUNTIFS('All Tasks'!$C$5:$C$404,$A19,'All Tasks'!$I$5:$I$404,"Complete")</f>
        <v>0</v>
      </c>
      <c r="D19" s="28" t="n">
        <f aca="false">COUNTIFS('All Tasks'!$C$5:$C$404,$A19,'All Tasks'!$I$5:$I$404,"In Progress")</f>
        <v>2</v>
      </c>
      <c r="E19" s="28" t="n">
        <f aca="false">SUMIFS('All Tasks'!$R$5:$R$404,'All Tasks'!$C$5:$C$404,$A19)</f>
        <v>0</v>
      </c>
      <c r="F19" s="29" t="n">
        <f aca="false">IFERROR(SUMIFS('All Tasks'!$U$5:$U$404,'All Tasks'!$C$5:$C$404,$A19)/SUMIFS('All Tasks'!$W$5:$W$404,'All Tasks'!$C$5:$C$404,$A19),"")</f>
        <v>0.25</v>
      </c>
      <c r="G19" s="30" t="str">
        <f aca="false">IF(COUNTIFS(Projects!$B$5:$B$47,$A19,Projects!$O$5:$O$47,"R")&gt;0,"R",IF(COUNTIFS(Projects!$B$5:$B$47,$A19,Projects!$O$5:$O$47,"Y")&gt;0,"Y",IF($B19=0,"-","G")))</f>
        <v>G</v>
      </c>
      <c r="I19" s="31" t="s">
        <v>37</v>
      </c>
      <c r="J19" s="32" t="n">
        <f aca="false">SUMIFS('All Tasks'!$W$5:$W$404,'All Tasks'!$Q$5:$Q$404,$I19)</f>
        <v>2</v>
      </c>
      <c r="K19" s="32" t="n">
        <f aca="false">$J19-$L19</f>
        <v>2</v>
      </c>
      <c r="L19" s="32" t="n">
        <f aca="false">COUNTIFS('All Tasks'!$Q$5:$Q$404,$I19,'All Tasks'!$I$5:$I$404,"Complete")</f>
        <v>0</v>
      </c>
      <c r="M19" s="32" t="n">
        <f aca="false">SUMIFS('All Tasks'!$R$5:$R$404,'All Tasks'!$Q$5:$Q$404,$I19)</f>
        <v>0</v>
      </c>
      <c r="N19" s="33" t="n">
        <f aca="false">IFERROR(SUMIFS('All Tasks'!$U$5:$U$404,'All Tasks'!$Q$5:$Q$404,$I19)/$J19,"")</f>
        <v>0.35</v>
      </c>
    </row>
    <row r="20" customFormat="false" ht="15" hidden="false" customHeight="false" outlineLevel="0" collapsed="false">
      <c r="A20" s="27" t="s">
        <v>38</v>
      </c>
      <c r="B20" s="28" t="n">
        <f aca="false">SUMIFS('All Tasks'!$W$5:$W$404,'All Tasks'!$C$5:$C$404,$A20)</f>
        <v>0</v>
      </c>
      <c r="C20" s="28" t="n">
        <f aca="false">COUNTIFS('All Tasks'!$C$5:$C$404,$A20,'All Tasks'!$I$5:$I$404,"Complete")</f>
        <v>0</v>
      </c>
      <c r="D20" s="28" t="n">
        <f aca="false">COUNTIFS('All Tasks'!$C$5:$C$404,$A20,'All Tasks'!$I$5:$I$404,"In Progress")</f>
        <v>0</v>
      </c>
      <c r="E20" s="28" t="n">
        <f aca="false">SUMIFS('All Tasks'!$R$5:$R$404,'All Tasks'!$C$5:$C$404,$A20)</f>
        <v>0</v>
      </c>
      <c r="F20" s="29" t="str">
        <f aca="false">IFERROR(SUMIFS('All Tasks'!$U$5:$U$404,'All Tasks'!$C$5:$C$404,$A20)/SUMIFS('All Tasks'!$W$5:$W$404,'All Tasks'!$C$5:$C$404,$A20),"")</f>
        <v/>
      </c>
      <c r="G20" s="30" t="str">
        <f aca="false">IF(COUNTIFS(Projects!$B$5:$B$47,$A20,Projects!$O$5:$O$47,"R")&gt;0,"R",IF(COUNTIFS(Projects!$B$5:$B$47,$A20,Projects!$O$5:$O$47,"Y")&gt;0,"Y",IF($B20=0,"-","G")))</f>
        <v>-</v>
      </c>
      <c r="I20" s="31" t="s">
        <v>39</v>
      </c>
      <c r="J20" s="32" t="n">
        <f aca="false">SUMIFS('All Tasks'!$W$5:$W$404,'All Tasks'!$Q$5:$Q$404,$I20)</f>
        <v>2</v>
      </c>
      <c r="K20" s="32" t="n">
        <f aca="false">$J20-$L20</f>
        <v>2</v>
      </c>
      <c r="L20" s="32" t="n">
        <f aca="false">COUNTIFS('All Tasks'!$Q$5:$Q$404,$I20,'All Tasks'!$I$5:$I$404,"Complete")</f>
        <v>0</v>
      </c>
      <c r="M20" s="32" t="n">
        <f aca="false">SUMIFS('All Tasks'!$R$5:$R$404,'All Tasks'!$Q$5:$Q$404,$I20)</f>
        <v>0</v>
      </c>
      <c r="N20" s="33" t="n">
        <f aca="false">IFERROR(SUMIFS('All Tasks'!$U$5:$U$404,'All Tasks'!$Q$5:$Q$404,$I20)/$J20,"")</f>
        <v>0.4</v>
      </c>
    </row>
    <row r="21" customFormat="false" ht="15" hidden="false" customHeight="false" outlineLevel="0" collapsed="false">
      <c r="I21" s="31" t="s">
        <v>40</v>
      </c>
      <c r="J21" s="32" t="n">
        <f aca="false">SUMIFS('All Tasks'!$W$5:$W$404,'All Tasks'!$Q$5:$Q$404,$I21)</f>
        <v>3</v>
      </c>
      <c r="K21" s="32" t="n">
        <f aca="false">$J21-$L21</f>
        <v>2</v>
      </c>
      <c r="L21" s="32" t="n">
        <f aca="false">COUNTIFS('All Tasks'!$Q$5:$Q$404,$I21,'All Tasks'!$I$5:$I$404,"Complete")</f>
        <v>1</v>
      </c>
      <c r="M21" s="32" t="n">
        <f aca="false">SUMIFS('All Tasks'!$R$5:$R$404,'All Tasks'!$Q$5:$Q$404,$I21)</f>
        <v>0</v>
      </c>
      <c r="N21" s="33" t="n">
        <f aca="false">IFERROR(SUMIFS('All Tasks'!$U$5:$U$404,'All Tasks'!$Q$5:$Q$404,$I21)/$J21,"")</f>
        <v>0.6</v>
      </c>
    </row>
    <row r="22" customFormat="false" ht="15" hidden="false" customHeight="false" outlineLevel="0" collapsed="false">
      <c r="I22" s="31" t="s">
        <v>41</v>
      </c>
      <c r="J22" s="32" t="n">
        <f aca="false">SUMIFS('All Tasks'!$W$5:$W$404,'All Tasks'!$Q$5:$Q$404,$I22)</f>
        <v>1</v>
      </c>
      <c r="K22" s="32" t="n">
        <f aca="false">$J22-$L22</f>
        <v>1</v>
      </c>
      <c r="L22" s="32" t="n">
        <f aca="false">COUNTIFS('All Tasks'!$Q$5:$Q$404,$I22,'All Tasks'!$I$5:$I$404,"Complete")</f>
        <v>0</v>
      </c>
      <c r="M22" s="32" t="n">
        <f aca="false">SUMIFS('All Tasks'!$R$5:$R$404,'All Tasks'!$Q$5:$Q$404,$I22)</f>
        <v>0</v>
      </c>
      <c r="N22" s="33" t="n">
        <f aca="false">IFERROR(SUMIFS('All Tasks'!$U$5:$U$404,'All Tasks'!$Q$5:$Q$404,$I22)/$J22,"")</f>
        <v>0.5</v>
      </c>
    </row>
    <row r="25" customFormat="false" ht="15" hidden="false" customHeight="false" outlineLevel="0" collapsed="false">
      <c r="A25" s="25" t="s">
        <v>42</v>
      </c>
    </row>
    <row r="26" customFormat="false" ht="15" hidden="false" customHeight="false" outlineLevel="0" collapsed="false">
      <c r="A26" s="34" t="s">
        <v>18</v>
      </c>
      <c r="B26" s="32" t="n">
        <f aca="false">COUNTIF(Projects!$I$5:$I$47,"In Progress")</f>
        <v>9</v>
      </c>
    </row>
    <row r="27" customFormat="false" ht="15" hidden="false" customHeight="false" outlineLevel="0" collapsed="false">
      <c r="A27" s="34" t="s">
        <v>4</v>
      </c>
      <c r="B27" s="32" t="n">
        <f aca="false">COUNTIF(Projects!$I$5:$I$47,"At Risk")</f>
        <v>1</v>
      </c>
    </row>
    <row r="28" customFormat="false" ht="15" hidden="false" customHeight="false" outlineLevel="0" collapsed="false">
      <c r="A28" s="34" t="s">
        <v>5</v>
      </c>
      <c r="B28" s="32" t="n">
        <f aca="false">COUNTIF(Projects!$I$5:$I$47,"Blocked")</f>
        <v>1</v>
      </c>
    </row>
    <row r="29" customFormat="false" ht="15" hidden="false" customHeight="false" outlineLevel="0" collapsed="false">
      <c r="A29" s="34" t="s">
        <v>6</v>
      </c>
      <c r="B29" s="32" t="n">
        <f aca="false">COUNTIF(Projects!$I$5:$I$47,"Complete")</f>
        <v>1</v>
      </c>
    </row>
    <row r="30" customFormat="false" ht="15" hidden="false" customHeight="false" outlineLevel="0" collapsed="false">
      <c r="A30" s="34" t="s">
        <v>11</v>
      </c>
      <c r="B30" s="32" t="n">
        <f aca="false">COUNTIF(Projects!$I$5:$I$47,"Not Started")</f>
        <v>2</v>
      </c>
    </row>
    <row r="31" customFormat="false" ht="15" hidden="false" customHeight="false" outlineLevel="0" collapsed="false">
      <c r="A31" s="34" t="s">
        <v>12</v>
      </c>
      <c r="B31" s="32" t="n">
        <f aca="false">COUNTIF(Projects!$I$5:$I$47,"No Tasks Yet")</f>
        <v>29</v>
      </c>
    </row>
  </sheetData>
  <mergeCells count="26">
    <mergeCell ref="A1:N1"/>
    <mergeCell ref="A2:N2"/>
    <mergeCell ref="A4:B4"/>
    <mergeCell ref="C4:D4"/>
    <mergeCell ref="E4:F4"/>
    <mergeCell ref="G4:H4"/>
    <mergeCell ref="I4:J4"/>
    <mergeCell ref="K4:L4"/>
    <mergeCell ref="A5:B5"/>
    <mergeCell ref="C5:D5"/>
    <mergeCell ref="E5:F5"/>
    <mergeCell ref="G5:H5"/>
    <mergeCell ref="I5:J5"/>
    <mergeCell ref="K5:L5"/>
    <mergeCell ref="A7:B7"/>
    <mergeCell ref="C7:D7"/>
    <mergeCell ref="E7:F7"/>
    <mergeCell ref="G7:H7"/>
    <mergeCell ref="I7:J7"/>
    <mergeCell ref="K7:L7"/>
    <mergeCell ref="A8:B8"/>
    <mergeCell ref="C8:D8"/>
    <mergeCell ref="E8:F8"/>
    <mergeCell ref="G8:H8"/>
    <mergeCell ref="I8:J8"/>
    <mergeCell ref="K8:L8"/>
  </mergeCells>
  <conditionalFormatting sqref="E13:E20">
    <cfRule type="cellIs" priority="2" operator="greaterThan" aboveAverage="0" equalAverage="0" bottom="0" percent="0" rank="0" text="" dxfId="0">
      <formula>0</formula>
    </cfRule>
  </conditionalFormatting>
  <conditionalFormatting sqref="G13:G20">
    <cfRule type="cellIs" priority="3" operator="equal" aboveAverage="0" equalAverage="0" bottom="0" percent="0" rank="0" text="" dxfId="1">
      <formula>"G"</formula>
    </cfRule>
    <cfRule type="cellIs" priority="4" operator="equal" aboveAverage="0" equalAverage="0" bottom="0" percent="0" rank="0" text="" dxfId="2">
      <formula>"Y"</formula>
    </cfRule>
    <cfRule type="cellIs" priority="5" operator="equal" aboveAverage="0" equalAverage="0" bottom="0" percent="0" rank="0" text="" dxfId="3">
      <formula>"R"</formula>
    </cfRule>
  </conditionalFormatting>
  <conditionalFormatting sqref="F13:F20">
    <cfRule type="dataBar" priority="6">
      <dataBar showValue="1" minLength="10" maxLength="90">
        <cfvo type="num" val="0"/>
        <cfvo type="num" val="1"/>
        <color rgb="FF2E75B6"/>
      </dataBar>
      <extLst>
        <ext xmlns:x14="http://schemas.microsoft.com/office/spreadsheetml/2009/9/main" uri="{B025F937-C7B1-47D3-B67F-A62EFF666E3E}">
          <x14:id>{5C436E1A-C050-40B8-A721-398AA6CA3350}</x14:id>
        </ext>
      </extLst>
    </cfRule>
  </conditionalFormatting>
  <conditionalFormatting sqref="M13:M22">
    <cfRule type="cellIs" priority="7" operator="greaterThan" aboveAverage="0" equalAverage="0" bottom="0" percent="0" rank="0" text="" dxfId="4">
      <formula>0</formula>
    </cfRule>
  </conditionalFormatting>
  <conditionalFormatting sqref="N13:N22">
    <cfRule type="dataBar" priority="8">
      <dataBar showValue="1" minLength="10" maxLength="90">
        <cfvo type="num" val="0"/>
        <cfvo type="num" val="1"/>
        <color rgb="FF70AD47"/>
      </dataBar>
      <extLst>
        <ext xmlns:x14="http://schemas.microsoft.com/office/spreadsheetml/2009/9/main" uri="{B025F937-C7B1-47D3-B67F-A62EFF666E3E}">
          <x14:id>{726E5765-96CD-4764-9EFB-EBD8B4303A6B}</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5C436E1A-C050-40B8-A721-398AA6CA3350}">
            <x14:dataBar minLength="10" maxLength="90" axisPosition="none" gradient="true">
              <x14:cfvo type="num">
                <xm:f>0</xm:f>
              </x14:cfvo>
              <x14:cfvo type="num">
                <xm:f>1</xm:f>
              </x14:cfvo>
              <x14:negativeFillColor rgb="FF2E75B6"/>
              <x14:axisColor rgb="FF000000"/>
            </x14:dataBar>
          </x14:cfRule>
          <xm:sqref>F13:F20</xm:sqref>
        </x14:conditionalFormatting>
        <x14:conditionalFormatting xmlns:xm="http://schemas.microsoft.com/office/excel/2006/main">
          <x14:cfRule type="dataBar" id="{726E5765-96CD-4764-9EFB-EBD8B4303A6B}">
            <x14:dataBar minLength="10" maxLength="90" axisPosition="none" gradient="true">
              <x14:cfvo type="num">
                <xm:f>0</xm:f>
              </x14:cfvo>
              <x14:cfvo type="num">
                <xm:f>1</xm:f>
              </x14:cfvo>
              <x14:negativeFillColor rgb="FF70AD47"/>
              <x14:axisColor rgb="FF000000"/>
            </x14:dataBar>
          </x14:cfRule>
          <xm:sqref>N13:N22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1:N7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I6" activeCellId="0" sqref="I6"/>
    </sheetView>
  </sheetViews>
  <sheetFormatPr defaultColWidth="9.4296875" defaultRowHeight="16.5" zeroHeight="false" outlineLevelRow="1" outlineLevelCol="0"/>
  <cols>
    <col collapsed="false" customWidth="true" hidden="false" outlineLevel="0" max="1" min="1" style="35" width="1"/>
    <col collapsed="false" customWidth="true" hidden="false" outlineLevel="0" max="2" min="2" style="35" width="4.28"/>
    <col collapsed="false" customWidth="true" hidden="false" outlineLevel="0" max="3" min="3" style="35" width="1.14"/>
    <col collapsed="false" customWidth="true" hidden="false" outlineLevel="0" max="4" min="4" style="35" width="7.14"/>
    <col collapsed="false" customWidth="true" hidden="false" outlineLevel="0" max="5" min="5" style="35" width="91.71"/>
    <col collapsed="false" customWidth="true" hidden="false" outlineLevel="0" max="6" min="6" style="35" width="10"/>
    <col collapsed="false" customWidth="true" hidden="false" outlineLevel="0" max="7" min="7" style="35" width="27.14"/>
    <col collapsed="false" customWidth="true" hidden="false" outlineLevel="0" max="8" min="8" style="35" width="25.57"/>
    <col collapsed="false" customWidth="true" hidden="false" outlineLevel="0" max="9" min="9" style="35" width="15.43"/>
    <col collapsed="false" customWidth="true" hidden="false" outlineLevel="0" max="10" min="10" style="35" width="8.43"/>
    <col collapsed="false" customWidth="true" hidden="false" outlineLevel="0" max="11" min="11" style="35" width="54.43"/>
    <col collapsed="false" customWidth="true" hidden="false" outlineLevel="0" max="12" min="12" style="35" width="3.71"/>
    <col collapsed="false" customWidth="true" hidden="false" outlineLevel="0" max="13" min="13" style="35" width="18.29"/>
    <col collapsed="false" customWidth="true" hidden="false" outlineLevel="0" max="14" min="14" style="35" width="25.57"/>
    <col collapsed="false" customWidth="false" hidden="false" outlineLevel="0" max="16384" min="15" style="35" width="9.43"/>
  </cols>
  <sheetData>
    <row r="1" s="36" customFormat="true" ht="17.25" hidden="false" customHeight="true" outlineLevel="0" collapsed="false">
      <c r="B1" s="37" t="s">
        <v>43</v>
      </c>
      <c r="C1" s="37"/>
    </row>
    <row r="2" s="38" customFormat="true" ht="6.75" hidden="false" customHeight="true" outlineLevel="0" collapsed="false"/>
    <row r="3" s="39" customFormat="true" ht="24" hidden="false" customHeight="true" outlineLevel="0" collapsed="false">
      <c r="B3" s="40" t="s">
        <v>44</v>
      </c>
      <c r="C3" s="41"/>
      <c r="D3" s="41"/>
      <c r="E3" s="41"/>
      <c r="F3" s="41"/>
      <c r="G3" s="41"/>
      <c r="H3" s="41"/>
      <c r="I3" s="41"/>
      <c r="J3" s="41"/>
      <c r="K3" s="42"/>
    </row>
    <row r="4" customFormat="false" ht="6.75" hidden="false" customHeight="true" outlineLevel="0" collapsed="false">
      <c r="B4" s="43"/>
      <c r="C4" s="43"/>
      <c r="D4" s="43"/>
      <c r="E4" s="43"/>
      <c r="F4" s="43"/>
      <c r="G4" s="43"/>
      <c r="H4" s="44"/>
      <c r="I4" s="44"/>
      <c r="J4" s="45"/>
      <c r="K4" s="45"/>
    </row>
    <row r="5" customFormat="false" ht="39.75" hidden="false" customHeight="true" outlineLevel="0" collapsed="false">
      <c r="B5" s="46" t="n">
        <v>1</v>
      </c>
      <c r="C5" s="47" t="s">
        <v>45</v>
      </c>
      <c r="D5" s="47"/>
      <c r="E5" s="47"/>
      <c r="F5" s="48" t="s">
        <v>46</v>
      </c>
      <c r="G5" s="49" t="s">
        <v>47</v>
      </c>
      <c r="H5" s="50" t="s">
        <v>48</v>
      </c>
      <c r="I5" s="51" t="s">
        <v>49</v>
      </c>
      <c r="J5" s="51" t="s">
        <v>50</v>
      </c>
      <c r="K5" s="52" t="s">
        <v>51</v>
      </c>
      <c r="M5" s="53" t="s">
        <v>52</v>
      </c>
      <c r="N5" s="54" t="s">
        <v>53</v>
      </c>
    </row>
    <row r="6" customFormat="false" ht="54.75" hidden="false" customHeight="true" outlineLevel="1" collapsed="false">
      <c r="B6" s="55"/>
      <c r="C6" s="56"/>
      <c r="D6" s="57" t="n">
        <v>1</v>
      </c>
      <c r="E6" s="58" t="s">
        <v>54</v>
      </c>
      <c r="F6" s="59" t="str">
        <f aca="false">HYPERLINK("#Projects!A2","P1-1")</f>
        <v>P1-1</v>
      </c>
      <c r="G6" s="60" t="s">
        <v>55</v>
      </c>
      <c r="H6" s="60" t="s">
        <v>56</v>
      </c>
      <c r="I6" s="60" t="s">
        <v>57</v>
      </c>
      <c r="J6" s="61" t="s">
        <v>58</v>
      </c>
      <c r="K6" s="62" t="s">
        <v>59</v>
      </c>
      <c r="M6" s="63" t="s">
        <v>60</v>
      </c>
      <c r="N6" s="64" t="s">
        <v>61</v>
      </c>
    </row>
    <row r="7" customFormat="false" ht="41.25" hidden="false" customHeight="true" outlineLevel="1" collapsed="false">
      <c r="B7" s="55"/>
      <c r="C7" s="56"/>
      <c r="D7" s="57" t="n">
        <v>2</v>
      </c>
      <c r="E7" s="65" t="s">
        <v>62</v>
      </c>
      <c r="F7" s="59" t="str">
        <f aca="false">HYPERLINK("#Projects!A3","P1-2")</f>
        <v>P1-2</v>
      </c>
      <c r="G7" s="66" t="s">
        <v>63</v>
      </c>
      <c r="H7" s="66" t="s">
        <v>56</v>
      </c>
      <c r="I7" s="66" t="s">
        <v>57</v>
      </c>
      <c r="J7" s="67" t="s">
        <v>58</v>
      </c>
      <c r="K7" s="68" t="s">
        <v>64</v>
      </c>
      <c r="M7" s="63" t="s">
        <v>58</v>
      </c>
      <c r="N7" s="64" t="s">
        <v>65</v>
      </c>
    </row>
    <row r="8" customFormat="false" ht="54.75" hidden="false" customHeight="true" outlineLevel="1" collapsed="false">
      <c r="B8" s="55"/>
      <c r="C8" s="56"/>
      <c r="D8" s="57" t="n">
        <v>3</v>
      </c>
      <c r="E8" s="65" t="s">
        <v>66</v>
      </c>
      <c r="F8" s="59" t="str">
        <f aca="false">HYPERLINK("#Projects!A4","P1-3")</f>
        <v>P1-3</v>
      </c>
      <c r="G8" s="66" t="s">
        <v>55</v>
      </c>
      <c r="H8" s="66" t="s">
        <v>56</v>
      </c>
      <c r="I8" s="66" t="s">
        <v>57</v>
      </c>
      <c r="J8" s="67" t="s">
        <v>58</v>
      </c>
      <c r="K8" s="68" t="s">
        <v>67</v>
      </c>
      <c r="M8" s="63" t="s">
        <v>68</v>
      </c>
      <c r="N8" s="64" t="s">
        <v>69</v>
      </c>
    </row>
    <row r="9" customFormat="false" ht="55.5" hidden="false" customHeight="true" outlineLevel="1" collapsed="false">
      <c r="B9" s="55"/>
      <c r="C9" s="56"/>
      <c r="D9" s="57" t="n">
        <v>4</v>
      </c>
      <c r="E9" s="65" t="s">
        <v>70</v>
      </c>
      <c r="F9" s="59" t="str">
        <f aca="false">HYPERLINK("#Projects!A5","P1-4")</f>
        <v>P1-4</v>
      </c>
      <c r="G9" s="66" t="s">
        <v>55</v>
      </c>
      <c r="H9" s="66" t="s">
        <v>56</v>
      </c>
      <c r="I9" s="66" t="s">
        <v>71</v>
      </c>
      <c r="J9" s="67" t="s">
        <v>60</v>
      </c>
      <c r="K9" s="68" t="s">
        <v>72</v>
      </c>
      <c r="M9" s="69" t="s">
        <v>73</v>
      </c>
      <c r="N9" s="70" t="s">
        <v>74</v>
      </c>
    </row>
    <row r="10" customFormat="false" ht="54.75" hidden="false" customHeight="true" outlineLevel="1" collapsed="false">
      <c r="B10" s="55"/>
      <c r="C10" s="56"/>
      <c r="D10" s="57" t="n">
        <v>5</v>
      </c>
      <c r="E10" s="65" t="s">
        <v>75</v>
      </c>
      <c r="F10" s="59" t="str">
        <f aca="false">HYPERLINK("#Projects!A6","P1-5")</f>
        <v>P1-5</v>
      </c>
      <c r="G10" s="66" t="s">
        <v>63</v>
      </c>
      <c r="H10" s="66" t="s">
        <v>56</v>
      </c>
      <c r="I10" s="66" t="s">
        <v>57</v>
      </c>
      <c r="J10" s="67" t="s">
        <v>60</v>
      </c>
      <c r="K10" s="68" t="s">
        <v>76</v>
      </c>
    </row>
    <row r="11" customFormat="false" ht="25.5" hidden="false" customHeight="true" outlineLevel="1" collapsed="false">
      <c r="B11" s="55"/>
      <c r="C11" s="71"/>
      <c r="D11" s="72" t="n">
        <v>6</v>
      </c>
      <c r="E11" s="73" t="s">
        <v>77</v>
      </c>
      <c r="F11" s="59" t="str">
        <f aca="false">HYPERLINK("#Projects!A7","P1-6")</f>
        <v>P1-6</v>
      </c>
      <c r="G11" s="74" t="s">
        <v>55</v>
      </c>
      <c r="H11" s="74" t="s">
        <v>56</v>
      </c>
      <c r="I11" s="74" t="s">
        <v>57</v>
      </c>
      <c r="J11" s="75" t="s">
        <v>78</v>
      </c>
      <c r="K11" s="76" t="s">
        <v>79</v>
      </c>
    </row>
    <row r="12" customFormat="false" ht="14.25" hidden="false" customHeight="true" outlineLevel="0" collapsed="false">
      <c r="B12" s="55"/>
      <c r="C12" s="55"/>
      <c r="D12" s="55"/>
      <c r="E12" s="55"/>
      <c r="F12" s="55"/>
      <c r="G12" s="77"/>
      <c r="H12" s="77"/>
      <c r="I12" s="77"/>
      <c r="J12" s="55"/>
      <c r="K12" s="78"/>
    </row>
    <row r="13" customFormat="false" ht="39.75" hidden="false" customHeight="true" outlineLevel="0" collapsed="false">
      <c r="B13" s="46" t="n">
        <f aca="false">+B5+1</f>
        <v>2</v>
      </c>
      <c r="C13" s="79" t="s">
        <v>80</v>
      </c>
      <c r="D13" s="79"/>
      <c r="E13" s="79"/>
      <c r="F13" s="48" t="s">
        <v>46</v>
      </c>
      <c r="G13" s="80" t="s">
        <v>47</v>
      </c>
      <c r="H13" s="81" t="s">
        <v>48</v>
      </c>
      <c r="I13" s="82" t="s">
        <v>49</v>
      </c>
      <c r="J13" s="83" t="s">
        <v>50</v>
      </c>
      <c r="K13" s="52" t="s">
        <v>51</v>
      </c>
    </row>
    <row r="14" customFormat="false" ht="54.75" hidden="true" customHeight="true" outlineLevel="1" collapsed="false">
      <c r="B14" s="55"/>
      <c r="C14" s="56"/>
      <c r="D14" s="57" t="n">
        <v>1</v>
      </c>
      <c r="E14" s="84" t="s">
        <v>81</v>
      </c>
      <c r="F14" s="59" t="str">
        <f aca="false">HYPERLINK("#Projects!A8","P2-1")</f>
        <v>P2-1</v>
      </c>
      <c r="G14" s="66" t="s">
        <v>82</v>
      </c>
      <c r="H14" s="66" t="s">
        <v>56</v>
      </c>
      <c r="I14" s="66" t="s">
        <v>57</v>
      </c>
      <c r="J14" s="85" t="s">
        <v>78</v>
      </c>
      <c r="K14" s="62" t="s">
        <v>83</v>
      </c>
    </row>
    <row r="15" customFormat="false" ht="54.75" hidden="true" customHeight="true" outlineLevel="1" collapsed="false">
      <c r="B15" s="55"/>
      <c r="C15" s="56"/>
      <c r="D15" s="57" t="n">
        <v>2</v>
      </c>
      <c r="E15" s="84" t="s">
        <v>84</v>
      </c>
      <c r="F15" s="59" t="str">
        <f aca="false">HYPERLINK("#Projects!A9","P2-2")</f>
        <v>P2-2</v>
      </c>
      <c r="G15" s="66" t="s">
        <v>85</v>
      </c>
      <c r="H15" s="66" t="s">
        <v>56</v>
      </c>
      <c r="I15" s="66" t="s">
        <v>57</v>
      </c>
      <c r="J15" s="85" t="s">
        <v>60</v>
      </c>
      <c r="K15" s="68" t="s">
        <v>86</v>
      </c>
    </row>
    <row r="16" customFormat="false" ht="54.75" hidden="true" customHeight="true" outlineLevel="1" collapsed="false">
      <c r="B16" s="55"/>
      <c r="C16" s="56"/>
      <c r="D16" s="57" t="n">
        <v>3</v>
      </c>
      <c r="E16" s="84" t="s">
        <v>87</v>
      </c>
      <c r="F16" s="59" t="str">
        <f aca="false">HYPERLINK("#Projects!A10","P2-3")</f>
        <v>P2-3</v>
      </c>
      <c r="G16" s="66" t="s">
        <v>88</v>
      </c>
      <c r="H16" s="66" t="s">
        <v>56</v>
      </c>
      <c r="I16" s="66" t="s">
        <v>57</v>
      </c>
      <c r="J16" s="85" t="s">
        <v>58</v>
      </c>
      <c r="K16" s="68" t="s">
        <v>89</v>
      </c>
    </row>
    <row r="17" customFormat="false" ht="54.75" hidden="true" customHeight="true" outlineLevel="1" collapsed="false">
      <c r="B17" s="55"/>
      <c r="C17" s="56"/>
      <c r="D17" s="57" t="n">
        <v>4</v>
      </c>
      <c r="E17" s="84" t="s">
        <v>90</v>
      </c>
      <c r="F17" s="59" t="str">
        <f aca="false">HYPERLINK("#Projects!A11","P2-4")</f>
        <v>P2-4</v>
      </c>
      <c r="G17" s="66" t="s">
        <v>91</v>
      </c>
      <c r="H17" s="66" t="s">
        <v>56</v>
      </c>
      <c r="I17" s="66" t="s">
        <v>71</v>
      </c>
      <c r="J17" s="85" t="s">
        <v>60</v>
      </c>
      <c r="K17" s="68" t="s">
        <v>92</v>
      </c>
    </row>
    <row r="18" customFormat="false" ht="55.5" hidden="true" customHeight="true" outlineLevel="1" collapsed="false">
      <c r="B18" s="55"/>
      <c r="C18" s="71"/>
      <c r="D18" s="72" t="n">
        <v>5</v>
      </c>
      <c r="E18" s="86" t="s">
        <v>93</v>
      </c>
      <c r="F18" s="59" t="str">
        <f aca="false">HYPERLINK("#Projects!A12","P2-5")</f>
        <v>P2-5</v>
      </c>
      <c r="G18" s="74" t="s">
        <v>82</v>
      </c>
      <c r="H18" s="74" t="s">
        <v>56</v>
      </c>
      <c r="I18" s="74" t="s">
        <v>57</v>
      </c>
      <c r="J18" s="87" t="s">
        <v>60</v>
      </c>
      <c r="K18" s="76" t="s">
        <v>94</v>
      </c>
      <c r="L18" s="88"/>
    </row>
    <row r="19" customFormat="false" ht="15" hidden="false" customHeight="true" outlineLevel="0" collapsed="false">
      <c r="B19" s="55"/>
      <c r="C19" s="55"/>
      <c r="D19" s="55"/>
      <c r="E19" s="55"/>
      <c r="F19" s="55"/>
      <c r="G19" s="89"/>
      <c r="H19" s="89"/>
      <c r="I19" s="89"/>
      <c r="J19" s="55"/>
      <c r="K19" s="78"/>
    </row>
    <row r="20" customFormat="false" ht="39.75" hidden="false" customHeight="true" outlineLevel="0" collapsed="false">
      <c r="B20" s="46" t="n">
        <f aca="false">+B13+1</f>
        <v>3</v>
      </c>
      <c r="C20" s="90" t="s">
        <v>95</v>
      </c>
      <c r="D20" s="90"/>
      <c r="E20" s="90"/>
      <c r="F20" s="48" t="s">
        <v>46</v>
      </c>
      <c r="G20" s="80" t="s">
        <v>47</v>
      </c>
      <c r="H20" s="81" t="s">
        <v>48</v>
      </c>
      <c r="I20" s="82" t="s">
        <v>49</v>
      </c>
      <c r="J20" s="83" t="s">
        <v>50</v>
      </c>
      <c r="K20" s="52" t="s">
        <v>51</v>
      </c>
    </row>
    <row r="21" customFormat="false" ht="41.25" hidden="true" customHeight="true" outlineLevel="1" collapsed="false">
      <c r="B21" s="55"/>
      <c r="C21" s="56"/>
      <c r="D21" s="57" t="n">
        <v>1</v>
      </c>
      <c r="E21" s="84" t="s">
        <v>96</v>
      </c>
      <c r="F21" s="59" t="str">
        <f aca="false">HYPERLINK("#Projects!A13","P3-1")</f>
        <v>P3-1</v>
      </c>
      <c r="G21" s="66" t="s">
        <v>97</v>
      </c>
      <c r="H21" s="66" t="s">
        <v>56</v>
      </c>
      <c r="I21" s="66" t="s">
        <v>57</v>
      </c>
      <c r="J21" s="85" t="s">
        <v>78</v>
      </c>
      <c r="K21" s="62" t="s">
        <v>98</v>
      </c>
    </row>
    <row r="22" customFormat="false" ht="41.25" hidden="true" customHeight="true" outlineLevel="1" collapsed="false">
      <c r="B22" s="55"/>
      <c r="C22" s="56"/>
      <c r="D22" s="57" t="n">
        <v>2</v>
      </c>
      <c r="E22" s="91" t="s">
        <v>99</v>
      </c>
      <c r="F22" s="59" t="str">
        <f aca="false">HYPERLINK("#Projects!A14","P3-2")</f>
        <v>P3-2</v>
      </c>
      <c r="G22" s="66" t="s">
        <v>91</v>
      </c>
      <c r="H22" s="66" t="s">
        <v>56</v>
      </c>
      <c r="I22" s="66" t="s">
        <v>57</v>
      </c>
      <c r="J22" s="85" t="s">
        <v>58</v>
      </c>
      <c r="K22" s="68" t="s">
        <v>100</v>
      </c>
    </row>
    <row r="23" customFormat="false" ht="54.75" hidden="true" customHeight="true" outlineLevel="1" collapsed="false">
      <c r="B23" s="55"/>
      <c r="C23" s="92"/>
      <c r="D23" s="57" t="n">
        <v>3</v>
      </c>
      <c r="E23" s="93" t="s">
        <v>101</v>
      </c>
      <c r="F23" s="59" t="str">
        <f aca="false">HYPERLINK("#Projects!A15","P3-3")</f>
        <v>P3-3</v>
      </c>
      <c r="G23" s="94" t="s">
        <v>63</v>
      </c>
      <c r="H23" s="94" t="s">
        <v>56</v>
      </c>
      <c r="I23" s="94" t="s">
        <v>57</v>
      </c>
      <c r="J23" s="95" t="s">
        <v>60</v>
      </c>
      <c r="K23" s="68" t="s">
        <v>102</v>
      </c>
    </row>
    <row r="24" customFormat="false" ht="58.5" hidden="true" customHeight="true" outlineLevel="1" collapsed="false">
      <c r="B24" s="55"/>
      <c r="C24" s="92"/>
      <c r="D24" s="57" t="n">
        <v>4</v>
      </c>
      <c r="E24" s="84" t="s">
        <v>103</v>
      </c>
      <c r="F24" s="59" t="str">
        <f aca="false">HYPERLINK("#Projects!A16","P3-4")</f>
        <v>P3-4</v>
      </c>
      <c r="G24" s="66" t="s">
        <v>97</v>
      </c>
      <c r="H24" s="66" t="s">
        <v>56</v>
      </c>
      <c r="I24" s="66" t="s">
        <v>57</v>
      </c>
      <c r="J24" s="85" t="s">
        <v>60</v>
      </c>
      <c r="K24" s="68" t="s">
        <v>104</v>
      </c>
    </row>
    <row r="25" customFormat="false" ht="58.5" hidden="true" customHeight="true" outlineLevel="1" collapsed="false">
      <c r="B25" s="55"/>
      <c r="C25" s="92"/>
      <c r="D25" s="57" t="n">
        <v>5</v>
      </c>
      <c r="E25" s="96" t="s">
        <v>105</v>
      </c>
      <c r="F25" s="59" t="str">
        <f aca="false">HYPERLINK("#Projects!A17","P3-5")</f>
        <v>P3-5</v>
      </c>
      <c r="G25" s="97" t="s">
        <v>97</v>
      </c>
      <c r="H25" s="97" t="s">
        <v>56</v>
      </c>
      <c r="I25" s="97"/>
      <c r="J25" s="98" t="s">
        <v>60</v>
      </c>
      <c r="K25" s="68" t="s">
        <v>106</v>
      </c>
    </row>
    <row r="26" customFormat="false" ht="54.75" hidden="true" customHeight="true" outlineLevel="1" collapsed="false">
      <c r="B26" s="55"/>
      <c r="C26" s="92"/>
      <c r="D26" s="57" t="n">
        <v>6</v>
      </c>
      <c r="E26" s="96" t="s">
        <v>107</v>
      </c>
      <c r="F26" s="59" t="str">
        <f aca="false">HYPERLINK("#Projects!A18","P3-6")</f>
        <v>P3-6</v>
      </c>
      <c r="G26" s="97" t="s">
        <v>63</v>
      </c>
      <c r="H26" s="97" t="s">
        <v>56</v>
      </c>
      <c r="I26" s="97"/>
      <c r="J26" s="98" t="s">
        <v>60</v>
      </c>
      <c r="K26" s="68" t="s">
        <v>108</v>
      </c>
    </row>
    <row r="27" customFormat="false" ht="55.5" hidden="true" customHeight="true" outlineLevel="1" collapsed="false">
      <c r="B27" s="55"/>
      <c r="C27" s="71"/>
      <c r="D27" s="72" t="n">
        <v>7</v>
      </c>
      <c r="E27" s="86" t="s">
        <v>109</v>
      </c>
      <c r="F27" s="59" t="str">
        <f aca="false">HYPERLINK("#Projects!A19","P3-7")</f>
        <v>P3-7</v>
      </c>
      <c r="G27" s="74" t="s">
        <v>63</v>
      </c>
      <c r="H27" s="74" t="s">
        <v>56</v>
      </c>
      <c r="I27" s="74" t="s">
        <v>57</v>
      </c>
      <c r="J27" s="87" t="s">
        <v>60</v>
      </c>
      <c r="K27" s="76" t="s">
        <v>110</v>
      </c>
    </row>
    <row r="28" customFormat="false" ht="15" hidden="false" customHeight="true" outlineLevel="0" collapsed="false">
      <c r="B28" s="55"/>
      <c r="C28" s="55"/>
      <c r="D28" s="55"/>
      <c r="E28" s="55"/>
      <c r="F28" s="55"/>
      <c r="G28" s="89"/>
      <c r="H28" s="89"/>
      <c r="I28" s="89"/>
      <c r="J28" s="55"/>
      <c r="K28" s="78"/>
    </row>
    <row r="29" customFormat="false" ht="39.75" hidden="false" customHeight="true" outlineLevel="0" collapsed="false">
      <c r="B29" s="46" t="n">
        <f aca="false">+B20+1</f>
        <v>4</v>
      </c>
      <c r="C29" s="90" t="s">
        <v>111</v>
      </c>
      <c r="D29" s="90"/>
      <c r="E29" s="90"/>
      <c r="F29" s="48" t="s">
        <v>46</v>
      </c>
      <c r="G29" s="80" t="s">
        <v>47</v>
      </c>
      <c r="H29" s="81" t="s">
        <v>48</v>
      </c>
      <c r="I29" s="82" t="s">
        <v>49</v>
      </c>
      <c r="J29" s="83" t="s">
        <v>50</v>
      </c>
      <c r="K29" s="99" t="s">
        <v>51</v>
      </c>
    </row>
    <row r="30" customFormat="false" ht="69" hidden="true" customHeight="true" outlineLevel="1" collapsed="false">
      <c r="B30" s="55"/>
      <c r="C30" s="56"/>
      <c r="D30" s="57" t="n">
        <v>1</v>
      </c>
      <c r="E30" s="84" t="s">
        <v>112</v>
      </c>
      <c r="F30" s="59" t="str">
        <f aca="false">HYPERLINK("#Projects!A20","P4-1")</f>
        <v>P4-1</v>
      </c>
      <c r="G30" s="66" t="s">
        <v>113</v>
      </c>
      <c r="H30" s="66" t="s">
        <v>56</v>
      </c>
      <c r="I30" s="66" t="s">
        <v>57</v>
      </c>
      <c r="J30" s="100" t="s">
        <v>58</v>
      </c>
      <c r="K30" s="76" t="s">
        <v>114</v>
      </c>
    </row>
    <row r="31" customFormat="false" ht="42" hidden="true" customHeight="true" outlineLevel="1" collapsed="false">
      <c r="B31" s="55"/>
      <c r="C31" s="56"/>
      <c r="D31" s="57" t="n">
        <v>2</v>
      </c>
      <c r="E31" s="84" t="s">
        <v>115</v>
      </c>
      <c r="F31" s="59" t="str">
        <f aca="false">HYPERLINK("#Projects!A21","P4-2")</f>
        <v>P4-2</v>
      </c>
      <c r="G31" s="66" t="s">
        <v>113</v>
      </c>
      <c r="H31" s="66" t="s">
        <v>56</v>
      </c>
      <c r="I31" s="66" t="s">
        <v>57</v>
      </c>
      <c r="J31" s="100" t="s">
        <v>58</v>
      </c>
      <c r="K31" s="76" t="s">
        <v>116</v>
      </c>
    </row>
    <row r="32" customFormat="false" ht="55.5" hidden="true" customHeight="true" outlineLevel="1" collapsed="false">
      <c r="B32" s="55"/>
      <c r="C32" s="56"/>
      <c r="D32" s="57" t="n">
        <v>3</v>
      </c>
      <c r="E32" s="84" t="s">
        <v>117</v>
      </c>
      <c r="F32" s="59" t="str">
        <f aca="false">HYPERLINK("#Projects!A22","P4-3")</f>
        <v>P4-3</v>
      </c>
      <c r="G32" s="66" t="s">
        <v>118</v>
      </c>
      <c r="H32" s="66" t="s">
        <v>56</v>
      </c>
      <c r="I32" s="66" t="s">
        <v>119</v>
      </c>
      <c r="J32" s="100" t="s">
        <v>58</v>
      </c>
      <c r="K32" s="76" t="s">
        <v>120</v>
      </c>
    </row>
    <row r="33" customFormat="false" ht="55.5" hidden="true" customHeight="true" outlineLevel="1" collapsed="false">
      <c r="B33" s="55"/>
      <c r="C33" s="56"/>
      <c r="D33" s="57" t="n">
        <v>4</v>
      </c>
      <c r="E33" s="84" t="s">
        <v>121</v>
      </c>
      <c r="F33" s="59" t="str">
        <f aca="false">HYPERLINK("#Projects!A23","P4-4")</f>
        <v>P4-4</v>
      </c>
      <c r="G33" s="66" t="s">
        <v>113</v>
      </c>
      <c r="H33" s="66" t="s">
        <v>56</v>
      </c>
      <c r="I33" s="66" t="s">
        <v>57</v>
      </c>
      <c r="J33" s="100" t="s">
        <v>58</v>
      </c>
      <c r="K33" s="76" t="s">
        <v>122</v>
      </c>
    </row>
    <row r="34" customFormat="false" ht="55.5" hidden="true" customHeight="true" outlineLevel="1" collapsed="false">
      <c r="B34" s="55"/>
      <c r="C34" s="56"/>
      <c r="D34" s="57" t="n">
        <v>5</v>
      </c>
      <c r="E34" s="84" t="s">
        <v>123</v>
      </c>
      <c r="F34" s="59" t="str">
        <f aca="false">HYPERLINK("#Projects!A24","P4-5")</f>
        <v>P4-5</v>
      </c>
      <c r="G34" s="66" t="s">
        <v>124</v>
      </c>
      <c r="H34" s="66" t="s">
        <v>56</v>
      </c>
      <c r="I34" s="66" t="s">
        <v>57</v>
      </c>
      <c r="J34" s="100" t="s">
        <v>58</v>
      </c>
      <c r="K34" s="76" t="s">
        <v>125</v>
      </c>
    </row>
    <row r="35" customFormat="false" ht="55.5" hidden="true" customHeight="true" outlineLevel="1" collapsed="false">
      <c r="B35" s="55"/>
      <c r="C35" s="56"/>
      <c r="D35" s="57" t="n">
        <v>6</v>
      </c>
      <c r="E35" s="84" t="s">
        <v>126</v>
      </c>
      <c r="F35" s="59" t="str">
        <f aca="false">HYPERLINK("#Projects!A25","P4-6")</f>
        <v>P4-6</v>
      </c>
      <c r="G35" s="97" t="s">
        <v>127</v>
      </c>
      <c r="H35" s="97" t="s">
        <v>56</v>
      </c>
      <c r="I35" s="97" t="s">
        <v>71</v>
      </c>
      <c r="J35" s="101" t="s">
        <v>58</v>
      </c>
      <c r="K35" s="76" t="s">
        <v>128</v>
      </c>
    </row>
    <row r="36" customFormat="false" ht="55.5" hidden="true" customHeight="true" outlineLevel="1" collapsed="false">
      <c r="B36" s="55"/>
      <c r="C36" s="71"/>
      <c r="D36" s="72" t="n">
        <v>7</v>
      </c>
      <c r="E36" s="102" t="s">
        <v>129</v>
      </c>
      <c r="F36" s="59" t="str">
        <f aca="false">HYPERLINK("#Projects!A26","P4-7")</f>
        <v>P4-7</v>
      </c>
      <c r="G36" s="74" t="s">
        <v>130</v>
      </c>
      <c r="H36" s="74" t="s">
        <v>56</v>
      </c>
      <c r="I36" s="74" t="s">
        <v>119</v>
      </c>
      <c r="J36" s="103" t="s">
        <v>60</v>
      </c>
      <c r="K36" s="76" t="s">
        <v>131</v>
      </c>
    </row>
    <row r="37" customFormat="false" ht="15" hidden="false" customHeight="true" outlineLevel="0" collapsed="false">
      <c r="B37" s="55"/>
      <c r="C37" s="55"/>
      <c r="D37" s="55"/>
      <c r="E37" s="55"/>
      <c r="F37" s="55"/>
      <c r="G37" s="89"/>
      <c r="H37" s="89"/>
      <c r="I37" s="89"/>
      <c r="J37" s="55"/>
      <c r="K37" s="78"/>
    </row>
    <row r="38" customFormat="false" ht="39.75" hidden="false" customHeight="true" outlineLevel="0" collapsed="false">
      <c r="B38" s="46" t="n">
        <f aca="false">+B29+1</f>
        <v>5</v>
      </c>
      <c r="C38" s="90" t="s">
        <v>132</v>
      </c>
      <c r="D38" s="90"/>
      <c r="E38" s="90"/>
      <c r="F38" s="104" t="s">
        <v>46</v>
      </c>
      <c r="G38" s="80" t="s">
        <v>47</v>
      </c>
      <c r="H38" s="81" t="s">
        <v>48</v>
      </c>
      <c r="I38" s="82" t="s">
        <v>49</v>
      </c>
      <c r="J38" s="83" t="s">
        <v>50</v>
      </c>
      <c r="K38" s="99" t="s">
        <v>51</v>
      </c>
    </row>
    <row r="39" customFormat="false" ht="55.5" hidden="true" customHeight="true" outlineLevel="1" collapsed="false">
      <c r="B39" s="55"/>
      <c r="C39" s="56"/>
      <c r="D39" s="57" t="n">
        <v>1</v>
      </c>
      <c r="E39" s="91" t="s">
        <v>133</v>
      </c>
      <c r="F39" s="59" t="str">
        <f aca="false">HYPERLINK("#Projects!A27","P5-1")</f>
        <v>P5-1</v>
      </c>
      <c r="G39" s="66" t="s">
        <v>91</v>
      </c>
      <c r="H39" s="66" t="s">
        <v>56</v>
      </c>
      <c r="I39" s="66" t="s">
        <v>57</v>
      </c>
      <c r="J39" s="100" t="s">
        <v>60</v>
      </c>
      <c r="K39" s="76" t="s">
        <v>134</v>
      </c>
    </row>
    <row r="40" customFormat="false" ht="33" hidden="true" customHeight="true" outlineLevel="1" collapsed="false">
      <c r="B40" s="55"/>
      <c r="C40" s="56"/>
      <c r="D40" s="57" t="n">
        <v>2</v>
      </c>
      <c r="E40" s="91" t="s">
        <v>135</v>
      </c>
      <c r="F40" s="59" t="str">
        <f aca="false">HYPERLINK("#Projects!A28","P5-2")</f>
        <v>P5-2</v>
      </c>
      <c r="G40" s="66" t="s">
        <v>97</v>
      </c>
      <c r="H40" s="66" t="s">
        <v>56</v>
      </c>
      <c r="I40" s="66" t="s">
        <v>57</v>
      </c>
      <c r="J40" s="100" t="s">
        <v>58</v>
      </c>
      <c r="K40" s="76" t="s">
        <v>136</v>
      </c>
    </row>
    <row r="41" customFormat="false" ht="42" hidden="true" customHeight="true" outlineLevel="1" collapsed="false">
      <c r="B41" s="55"/>
      <c r="C41" s="56"/>
      <c r="D41" s="57" t="n">
        <v>3</v>
      </c>
      <c r="E41" s="91" t="s">
        <v>137</v>
      </c>
      <c r="F41" s="59" t="str">
        <f aca="false">HYPERLINK("#Projects!A29","P5-3")</f>
        <v>P5-3</v>
      </c>
      <c r="G41" s="66" t="s">
        <v>91</v>
      </c>
      <c r="H41" s="66" t="s">
        <v>56</v>
      </c>
      <c r="I41" s="66" t="s">
        <v>57</v>
      </c>
      <c r="J41" s="100" t="s">
        <v>60</v>
      </c>
      <c r="K41" s="76" t="s">
        <v>138</v>
      </c>
    </row>
    <row r="42" customFormat="false" ht="42" hidden="true" customHeight="true" outlineLevel="1" collapsed="false">
      <c r="B42" s="55"/>
      <c r="C42" s="56"/>
      <c r="D42" s="57" t="n">
        <v>4</v>
      </c>
      <c r="E42" s="91" t="s">
        <v>139</v>
      </c>
      <c r="F42" s="59" t="str">
        <f aca="false">HYPERLINK("#Projects!A30","P5-4")</f>
        <v>P5-4</v>
      </c>
      <c r="G42" s="97" t="s">
        <v>63</v>
      </c>
      <c r="H42" s="97" t="s">
        <v>56</v>
      </c>
      <c r="I42" s="97" t="s">
        <v>71</v>
      </c>
      <c r="J42" s="101" t="s">
        <v>60</v>
      </c>
      <c r="K42" s="76" t="s">
        <v>140</v>
      </c>
    </row>
    <row r="43" customFormat="false" ht="42" hidden="true" customHeight="true" outlineLevel="1" collapsed="false">
      <c r="B43" s="55"/>
      <c r="C43" s="71"/>
      <c r="D43" s="72" t="n">
        <v>5</v>
      </c>
      <c r="E43" s="102" t="s">
        <v>141</v>
      </c>
      <c r="F43" s="59" t="str">
        <f aca="false">HYPERLINK("#Projects!A31","P5-5")</f>
        <v>P5-5</v>
      </c>
      <c r="G43" s="74" t="s">
        <v>55</v>
      </c>
      <c r="H43" s="74" t="s">
        <v>142</v>
      </c>
      <c r="I43" s="74" t="s">
        <v>57</v>
      </c>
      <c r="J43" s="103" t="s">
        <v>58</v>
      </c>
      <c r="K43" s="76" t="s">
        <v>143</v>
      </c>
    </row>
    <row r="44" customFormat="false" ht="14.25" hidden="false" customHeight="true" outlineLevel="0" collapsed="false"/>
    <row r="45" customFormat="false" ht="15" hidden="false" customHeight="true" outlineLevel="0" collapsed="false">
      <c r="C45" s="90" t="s">
        <v>144</v>
      </c>
      <c r="D45" s="90"/>
      <c r="E45" s="90"/>
      <c r="F45" s="104" t="s">
        <v>46</v>
      </c>
      <c r="G45" s="80" t="s">
        <v>47</v>
      </c>
      <c r="H45" s="81" t="s">
        <v>48</v>
      </c>
      <c r="I45" s="82" t="s">
        <v>49</v>
      </c>
      <c r="J45" s="83" t="s">
        <v>50</v>
      </c>
      <c r="K45" s="99" t="s">
        <v>51</v>
      </c>
    </row>
    <row r="46" customFormat="false" ht="42" hidden="false" customHeight="true" outlineLevel="1" collapsed="false">
      <c r="B46" s="105" t="n">
        <v>6</v>
      </c>
      <c r="C46" s="56"/>
      <c r="D46" s="57" t="n">
        <v>1</v>
      </c>
      <c r="E46" s="91" t="s">
        <v>145</v>
      </c>
      <c r="F46" s="59" t="str">
        <f aca="false">HYPERLINK("#Projects!A32","P6-1")</f>
        <v>P6-1</v>
      </c>
      <c r="G46" s="66" t="s">
        <v>146</v>
      </c>
      <c r="H46" s="66" t="s">
        <v>56</v>
      </c>
      <c r="I46" s="66" t="s">
        <v>71</v>
      </c>
      <c r="J46" s="100" t="s">
        <v>58</v>
      </c>
      <c r="K46" s="76" t="s">
        <v>147</v>
      </c>
    </row>
    <row r="47" customFormat="false" ht="42" hidden="false" customHeight="true" outlineLevel="1" collapsed="false">
      <c r="C47" s="56"/>
      <c r="D47" s="57" t="n">
        <v>2</v>
      </c>
      <c r="E47" s="91" t="s">
        <v>148</v>
      </c>
      <c r="F47" s="59" t="str">
        <f aca="false">HYPERLINK("#Projects!A33","P6-2")</f>
        <v>P6-2</v>
      </c>
      <c r="G47" s="66" t="s">
        <v>56</v>
      </c>
      <c r="H47" s="66" t="s">
        <v>149</v>
      </c>
      <c r="I47" s="66" t="s">
        <v>57</v>
      </c>
      <c r="J47" s="100" t="s">
        <v>58</v>
      </c>
      <c r="K47" s="76" t="s">
        <v>150</v>
      </c>
    </row>
    <row r="48" customFormat="false" ht="42" hidden="false" customHeight="true" outlineLevel="1" collapsed="false">
      <c r="C48" s="56"/>
      <c r="D48" s="57" t="n">
        <v>3</v>
      </c>
      <c r="E48" s="91" t="s">
        <v>151</v>
      </c>
      <c r="F48" s="59" t="str">
        <f aca="false">HYPERLINK("#Projects!A34","P6-3")</f>
        <v>P6-3</v>
      </c>
      <c r="G48" s="97" t="s">
        <v>146</v>
      </c>
      <c r="H48" s="97" t="s">
        <v>56</v>
      </c>
      <c r="I48" s="97" t="s">
        <v>57</v>
      </c>
      <c r="J48" s="101" t="s">
        <v>60</v>
      </c>
      <c r="K48" s="76" t="s">
        <v>152</v>
      </c>
    </row>
    <row r="49" customFormat="false" ht="42" hidden="false" customHeight="true" outlineLevel="1" collapsed="false">
      <c r="C49" s="56"/>
      <c r="D49" s="57" t="n">
        <v>4</v>
      </c>
      <c r="E49" s="91" t="s">
        <v>153</v>
      </c>
      <c r="F49" s="59" t="str">
        <f aca="false">HYPERLINK("#Projects!A35","P6-4")</f>
        <v>P6-4</v>
      </c>
      <c r="G49" s="97" t="s">
        <v>146</v>
      </c>
      <c r="H49" s="97" t="s">
        <v>56</v>
      </c>
      <c r="I49" s="97" t="s">
        <v>119</v>
      </c>
      <c r="J49" s="101" t="s">
        <v>58</v>
      </c>
      <c r="K49" s="76" t="s">
        <v>154</v>
      </c>
    </row>
    <row r="50" customFormat="false" ht="42" hidden="false" customHeight="true" outlineLevel="1" collapsed="false">
      <c r="C50" s="71"/>
      <c r="D50" s="72" t="n">
        <v>6</v>
      </c>
      <c r="E50" s="102" t="s">
        <v>155</v>
      </c>
      <c r="F50" s="59" t="str">
        <f aca="false">HYPERLINK("#Projects!A36","P6-5")</f>
        <v>P6-5</v>
      </c>
      <c r="G50" s="74" t="s">
        <v>63</v>
      </c>
      <c r="H50" s="74" t="s">
        <v>56</v>
      </c>
      <c r="I50" s="74" t="s">
        <v>71</v>
      </c>
      <c r="J50" s="103" t="s">
        <v>58</v>
      </c>
      <c r="K50" s="76" t="s">
        <v>156</v>
      </c>
    </row>
    <row r="51" customFormat="false" ht="15" hidden="false" customHeight="true" outlineLevel="0" collapsed="false">
      <c r="D51" s="106"/>
      <c r="E51" s="107"/>
    </row>
    <row r="52" customFormat="false" ht="15" hidden="false" customHeight="true" outlineLevel="0" collapsed="false">
      <c r="D52" s="106"/>
      <c r="E52" s="107"/>
    </row>
    <row r="53" customFormat="false" ht="15" hidden="false" customHeight="true" outlineLevel="0" collapsed="false">
      <c r="B53" s="46" t="n">
        <v>7</v>
      </c>
      <c r="C53" s="90" t="s">
        <v>157</v>
      </c>
      <c r="D53" s="90"/>
      <c r="E53" s="90"/>
      <c r="F53" s="104" t="s">
        <v>46</v>
      </c>
      <c r="G53" s="80" t="s">
        <v>47</v>
      </c>
      <c r="H53" s="81" t="s">
        <v>48</v>
      </c>
      <c r="I53" s="82" t="s">
        <v>49</v>
      </c>
      <c r="J53" s="83" t="s">
        <v>50</v>
      </c>
      <c r="K53" s="99" t="s">
        <v>51</v>
      </c>
    </row>
    <row r="54" customFormat="false" ht="48" hidden="false" customHeight="true" outlineLevel="1" collapsed="false">
      <c r="B54" s="55"/>
      <c r="C54" s="56"/>
      <c r="D54" s="57" t="n">
        <v>1</v>
      </c>
      <c r="E54" s="91" t="s">
        <v>158</v>
      </c>
      <c r="F54" s="59" t="str">
        <f aca="false">HYPERLINK("#Projects!A37","P7-1")</f>
        <v>P7-1</v>
      </c>
      <c r="G54" s="66" t="s">
        <v>91</v>
      </c>
      <c r="H54" s="66" t="s">
        <v>56</v>
      </c>
      <c r="I54" s="66" t="s">
        <v>71</v>
      </c>
      <c r="J54" s="100" t="s">
        <v>58</v>
      </c>
      <c r="K54" s="76" t="s">
        <v>159</v>
      </c>
    </row>
    <row r="55" customFormat="false" ht="42" hidden="false" customHeight="true" outlineLevel="1" collapsed="false">
      <c r="B55" s="55"/>
      <c r="C55" s="56"/>
      <c r="D55" s="57" t="n">
        <v>2</v>
      </c>
      <c r="E55" s="91" t="s">
        <v>160</v>
      </c>
      <c r="F55" s="59" t="str">
        <f aca="false">HYPERLINK("#Projects!A38","P7-2")</f>
        <v>P7-2</v>
      </c>
      <c r="G55" s="97" t="s">
        <v>161</v>
      </c>
      <c r="H55" s="97" t="s">
        <v>56</v>
      </c>
      <c r="I55" s="97" t="s">
        <v>57</v>
      </c>
      <c r="J55" s="101" t="s">
        <v>58</v>
      </c>
      <c r="K55" s="76" t="s">
        <v>162</v>
      </c>
    </row>
    <row r="56" customFormat="false" ht="42" hidden="false" customHeight="true" outlineLevel="1" collapsed="false">
      <c r="B56" s="55"/>
      <c r="C56" s="56"/>
      <c r="D56" s="57" t="n">
        <v>3</v>
      </c>
      <c r="E56" s="91" t="s">
        <v>163</v>
      </c>
      <c r="F56" s="59" t="str">
        <f aca="false">HYPERLINK("#Projects!A39","P7-3")</f>
        <v>P7-3</v>
      </c>
      <c r="G56" s="97" t="s">
        <v>91</v>
      </c>
      <c r="H56" s="97" t="s">
        <v>56</v>
      </c>
      <c r="I56" s="97" t="s">
        <v>57</v>
      </c>
      <c r="J56" s="101" t="s">
        <v>58</v>
      </c>
      <c r="K56" s="76" t="s">
        <v>164</v>
      </c>
    </row>
    <row r="57" customFormat="false" ht="55.5" hidden="false" customHeight="true" outlineLevel="1" collapsed="false">
      <c r="B57" s="55"/>
      <c r="C57" s="71"/>
      <c r="D57" s="72" t="n">
        <v>4</v>
      </c>
      <c r="E57" s="102" t="s">
        <v>165</v>
      </c>
      <c r="F57" s="59" t="str">
        <f aca="false">HYPERLINK("#Projects!A40","P7-4")</f>
        <v>P7-4</v>
      </c>
      <c r="G57" s="74" t="s">
        <v>56</v>
      </c>
      <c r="H57" s="74" t="s">
        <v>149</v>
      </c>
      <c r="I57" s="74" t="s">
        <v>57</v>
      </c>
      <c r="J57" s="103" t="s">
        <v>58</v>
      </c>
      <c r="K57" s="76" t="s">
        <v>166</v>
      </c>
    </row>
    <row r="58" customFormat="false" ht="14.25" hidden="false" customHeight="true" outlineLevel="0" collapsed="false">
      <c r="D58" s="108"/>
    </row>
    <row r="59" customFormat="false" ht="16.5" hidden="false" customHeight="false" outlineLevel="0" collapsed="false">
      <c r="D59" s="109"/>
    </row>
    <row r="60" customFormat="false" ht="16.5" hidden="false" customHeight="true" outlineLevel="0" collapsed="false">
      <c r="B60" s="46" t="n">
        <v>8</v>
      </c>
      <c r="C60" s="90" t="s">
        <v>167</v>
      </c>
      <c r="D60" s="90"/>
      <c r="E60" s="90"/>
      <c r="F60" s="104" t="s">
        <v>46</v>
      </c>
      <c r="G60" s="80" t="s">
        <v>47</v>
      </c>
      <c r="H60" s="81" t="s">
        <v>48</v>
      </c>
      <c r="I60" s="82" t="s">
        <v>49</v>
      </c>
      <c r="J60" s="83" t="s">
        <v>50</v>
      </c>
      <c r="K60" s="99" t="s">
        <v>51</v>
      </c>
    </row>
    <row r="61" customFormat="false" ht="44.25" hidden="false" customHeight="true" outlineLevel="0" collapsed="false">
      <c r="B61" s="55"/>
      <c r="C61" s="56"/>
      <c r="D61" s="57" t="n">
        <v>1</v>
      </c>
      <c r="E61" s="91" t="s">
        <v>168</v>
      </c>
      <c r="F61" s="59" t="str">
        <f aca="false">HYPERLINK("#Projects!A41","P8-1")</f>
        <v>P8-1</v>
      </c>
      <c r="G61" s="66" t="s">
        <v>56</v>
      </c>
      <c r="H61" s="66" t="s">
        <v>149</v>
      </c>
      <c r="I61" s="66" t="s">
        <v>57</v>
      </c>
      <c r="J61" s="100" t="s">
        <v>58</v>
      </c>
      <c r="K61" s="76" t="s">
        <v>169</v>
      </c>
    </row>
    <row r="62" customFormat="false" ht="44.25" hidden="false" customHeight="true" outlineLevel="0" collapsed="false">
      <c r="B62" s="55"/>
      <c r="C62" s="56"/>
      <c r="D62" s="57" t="n">
        <v>2</v>
      </c>
      <c r="E62" s="91" t="s">
        <v>170</v>
      </c>
      <c r="F62" s="59" t="str">
        <f aca="false">HYPERLINK("#Projects!A42","P8-2")</f>
        <v>P8-2</v>
      </c>
      <c r="G62" s="97" t="s">
        <v>56</v>
      </c>
      <c r="H62" s="97" t="s">
        <v>149</v>
      </c>
      <c r="I62" s="97" t="s">
        <v>57</v>
      </c>
      <c r="J62" s="101" t="s">
        <v>58</v>
      </c>
      <c r="K62" s="76" t="s">
        <v>171</v>
      </c>
    </row>
    <row r="63" customFormat="false" ht="44.25" hidden="false" customHeight="true" outlineLevel="0" collapsed="false">
      <c r="B63" s="55"/>
      <c r="C63" s="56"/>
      <c r="D63" s="57" t="n">
        <v>3</v>
      </c>
      <c r="E63" s="91" t="s">
        <v>172</v>
      </c>
      <c r="F63" s="59" t="str">
        <f aca="false">HYPERLINK("#Projects!A43","P8-3")</f>
        <v>P8-3</v>
      </c>
      <c r="G63" s="97" t="s">
        <v>56</v>
      </c>
      <c r="H63" s="97" t="s">
        <v>149</v>
      </c>
      <c r="I63" s="97" t="s">
        <v>57</v>
      </c>
      <c r="J63" s="101" t="s">
        <v>58</v>
      </c>
      <c r="K63" s="76" t="s">
        <v>173</v>
      </c>
    </row>
    <row r="64" customFormat="false" ht="44.25" hidden="false" customHeight="true" outlineLevel="0" collapsed="false">
      <c r="B64" s="55"/>
      <c r="C64" s="71"/>
      <c r="D64" s="72" t="n">
        <v>4</v>
      </c>
      <c r="E64" s="102" t="s">
        <v>174</v>
      </c>
      <c r="F64" s="59" t="str">
        <f aca="false">HYPERLINK("#Projects!A44","P8-4")</f>
        <v>P8-4</v>
      </c>
      <c r="G64" s="74" t="s">
        <v>56</v>
      </c>
      <c r="H64" s="74" t="s">
        <v>149</v>
      </c>
      <c r="I64" s="74" t="s">
        <v>57</v>
      </c>
      <c r="J64" s="103" t="s">
        <v>58</v>
      </c>
      <c r="K64" s="76" t="s">
        <v>175</v>
      </c>
    </row>
    <row r="65" customFormat="false" ht="16.5" hidden="false" customHeight="false" outlineLevel="0" collapsed="false">
      <c r="D65" s="110"/>
    </row>
    <row r="66" customFormat="false" ht="16.5" hidden="false" customHeight="false" outlineLevel="0" collapsed="false">
      <c r="D66" s="111"/>
    </row>
    <row r="67" customFormat="false" ht="16.5" hidden="false" customHeight="false" outlineLevel="0" collapsed="false">
      <c r="D67" s="112"/>
    </row>
    <row r="68" customFormat="false" ht="16.5" hidden="false" customHeight="false" outlineLevel="0" collapsed="false">
      <c r="D68" s="109"/>
    </row>
    <row r="69" customFormat="false" ht="16.5" hidden="false" customHeight="false" outlineLevel="0" collapsed="false">
      <c r="D69" s="110"/>
    </row>
    <row r="70" customFormat="false" ht="16.5" hidden="false" customHeight="false" outlineLevel="0" collapsed="false">
      <c r="D70" s="111"/>
    </row>
    <row r="71" customFormat="false" ht="16.5" hidden="false" customHeight="false" outlineLevel="0" collapsed="false">
      <c r="D71" s="108"/>
    </row>
    <row r="72" customFormat="false" ht="16.5" hidden="false" customHeight="false" outlineLevel="0" collapsed="false">
      <c r="D72" s="109"/>
    </row>
    <row r="73" customFormat="false" ht="16.5" hidden="false" customHeight="false" outlineLevel="0" collapsed="false">
      <c r="D73" s="110"/>
    </row>
    <row r="74" customFormat="false" ht="16.5" hidden="false" customHeight="false" outlineLevel="0" collapsed="false">
      <c r="D74" s="109"/>
    </row>
    <row r="75" customFormat="false" ht="16.5" hidden="false" customHeight="false" outlineLevel="0" collapsed="false">
      <c r="D75" s="110"/>
    </row>
    <row r="76" customFormat="false" ht="16.5" hidden="false" customHeight="false" outlineLevel="0" collapsed="false">
      <c r="D76" s="113"/>
    </row>
  </sheetData>
  <mergeCells count="8">
    <mergeCell ref="C5:E5"/>
    <mergeCell ref="C13:E13"/>
    <mergeCell ref="C20:E20"/>
    <mergeCell ref="C29:E29"/>
    <mergeCell ref="C38:E38"/>
    <mergeCell ref="C45:E45"/>
    <mergeCell ref="C53:E53"/>
    <mergeCell ref="C60:E60"/>
  </mergeCells>
  <conditionalFormatting sqref="J61:J64">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J21:J27">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M6:M9">
    <cfRule type="cellIs" priority="16" operator="equal" aboveAverage="0" equalAverage="0" bottom="0" percent="0" rank="0" text="" dxfId="5">
      <formula>"C"</formula>
    </cfRule>
    <cfRule type="cellIs" priority="17" operator="equal" aboveAverage="0" equalAverage="0" bottom="0" percent="0" rank="0" text="" dxfId="6">
      <formula>"R"</formula>
    </cfRule>
    <cfRule type="cellIs" priority="18" operator="equal" aboveAverage="0" equalAverage="0" bottom="0" percent="0" rank="0" text="" dxfId="7">
      <formula>"Y"</formula>
    </cfRule>
    <cfRule type="cellIs" priority="19" operator="equal" aboveAverage="0" equalAverage="0" bottom="0" percent="0" rank="0" text="" dxfId="5">
      <formula>"G"</formula>
    </cfRule>
    <cfRule type="cellIs" priority="20" operator="equal" aboveAverage="0" equalAverage="0" bottom="0" percent="0" rank="0" text="" dxfId="8">
      <formula>"-"</formula>
    </cfRule>
    <cfRule type="cellIs" priority="21" operator="equal" aboveAverage="0" equalAverage="0" bottom="0" percent="0" rank="0" text="" dxfId="9">
      <formula>"--"</formula>
    </cfRule>
    <cfRule type="cellIs" priority="22" operator="equal" aboveAverage="0" equalAverage="0" bottom="0" percent="0" rank="0" text="" dxfId="10">
      <formula>"---"</formula>
    </cfRule>
  </conditionalFormatting>
  <conditionalFormatting sqref="J14:J18">
    <cfRule type="cellIs" priority="23" operator="equal" aboveAverage="0" equalAverage="0" bottom="0" percent="0" rank="0" text="" dxfId="5">
      <formula>"C"</formula>
    </cfRule>
    <cfRule type="cellIs" priority="24" operator="equal" aboveAverage="0" equalAverage="0" bottom="0" percent="0" rank="0" text="" dxfId="6">
      <formula>"R"</formula>
    </cfRule>
    <cfRule type="cellIs" priority="25" operator="equal" aboveAverage="0" equalAverage="0" bottom="0" percent="0" rank="0" text="" dxfId="7">
      <formula>"Y"</formula>
    </cfRule>
    <cfRule type="cellIs" priority="26" operator="equal" aboveAverage="0" equalAverage="0" bottom="0" percent="0" rank="0" text="" dxfId="5">
      <formula>"G"</formula>
    </cfRule>
    <cfRule type="cellIs" priority="27" operator="equal" aboveAverage="0" equalAverage="0" bottom="0" percent="0" rank="0" text="" dxfId="8">
      <formula>"-"</formula>
    </cfRule>
    <cfRule type="cellIs" priority="28" operator="equal" aboveAverage="0" equalAverage="0" bottom="0" percent="0" rank="0" text="" dxfId="9">
      <formula>"--"</formula>
    </cfRule>
    <cfRule type="cellIs" priority="29" operator="equal" aboveAverage="0" equalAverage="0" bottom="0" percent="0" rank="0" text="" dxfId="10">
      <formula>"---"</formula>
    </cfRule>
  </conditionalFormatting>
  <conditionalFormatting sqref="J6:J11 J30:J36 J39:J43 J46:J50 J54:J57">
    <cfRule type="cellIs" priority="30" operator="equal" aboveAverage="0" equalAverage="0" bottom="0" percent="0" rank="0" text="" dxfId="5">
      <formula>"C"</formula>
    </cfRule>
    <cfRule type="cellIs" priority="31" operator="equal" aboveAverage="0" equalAverage="0" bottom="0" percent="0" rank="0" text="" dxfId="6">
      <formula>"R"</formula>
    </cfRule>
    <cfRule type="cellIs" priority="32" operator="equal" aboveAverage="0" equalAverage="0" bottom="0" percent="0" rank="0" text="" dxfId="7">
      <formula>"Y"</formula>
    </cfRule>
    <cfRule type="cellIs" priority="33" operator="equal" aboveAverage="0" equalAverage="0" bottom="0" percent="0" rank="0" text="" dxfId="5">
      <formula>"G"</formula>
    </cfRule>
    <cfRule type="cellIs" priority="34" operator="equal" aboveAverage="0" equalAverage="0" bottom="0" percent="0" rank="0" text="" dxfId="8">
      <formula>"-"</formula>
    </cfRule>
    <cfRule type="cellIs" priority="35" operator="equal" aboveAverage="0" equalAverage="0" bottom="0" percent="0" rank="0" text="" dxfId="9">
      <formula>"--"</formula>
    </cfRule>
    <cfRule type="cellIs" priority="36" operator="equal" aboveAverage="0" equalAverage="0" bottom="0" percent="0" rank="0" text="" dxfId="10">
      <formula>"---"</formula>
    </cfRule>
  </conditionalFormatting>
  <dataValidations count="1">
    <dataValidation allowBlank="true" errorStyle="stop" operator="between" showDropDown="false" showErrorMessage="true" showInputMessage="true" sqref="J6:J10 M6:M9 J11 J14:J18 J21:J27 J30:J36 J39:J43 J46:J50 J54:J57 J61:J64" type="list">
      <formula1>"C,G,Y,R,na"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T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6"/>
    <col collapsed="false" customWidth="true" hidden="false" outlineLevel="0" max="6" min="6" style="0" width="46"/>
    <col collapsed="false" customWidth="true" hidden="false" outlineLevel="0" max="7" min="7" style="0" width="11"/>
    <col collapsed="false" customWidth="true" hidden="false" outlineLevel="0" max="8" min="8" style="0" width="7"/>
    <col collapsed="false" customWidth="true" hidden="false" outlineLevel="0" max="9" min="9" style="0" width="14"/>
    <col collapsed="false" customWidth="true" hidden="false" outlineLevel="0" max="10" min="10" style="0" width="10"/>
    <col collapsed="false" customWidth="true" hidden="false" outlineLevel="0" max="12" min="11" style="0" width="8"/>
    <col collapsed="false" customWidth="true" hidden="false" outlineLevel="0" max="13" min="13" style="0" width="20"/>
    <col collapsed="false" customWidth="true" hidden="false" outlineLevel="0" max="14" min="14" style="0" width="13"/>
    <col collapsed="false" customWidth="true" hidden="false" outlineLevel="0" max="15" min="15" style="0" width="7"/>
    <col collapsed="false" customWidth="true" hidden="false" outlineLevel="0" max="16" min="16" style="0" width="9"/>
    <col collapsed="false" customWidth="true" hidden="true" outlineLevel="0" max="20" min="18" style="0" width="13"/>
  </cols>
  <sheetData>
    <row r="1" customFormat="false" ht="30" hidden="false" customHeight="true" outlineLevel="0" collapsed="false">
      <c r="A1" s="114" t="s">
        <v>176</v>
      </c>
      <c r="B1" s="114"/>
      <c r="C1" s="114"/>
      <c r="D1" s="114"/>
      <c r="E1" s="114"/>
      <c r="F1" s="114"/>
      <c r="G1" s="114"/>
      <c r="H1" s="114"/>
      <c r="I1" s="114"/>
      <c r="J1" s="114"/>
      <c r="K1" s="114"/>
      <c r="L1" s="114"/>
      <c r="M1" s="114"/>
      <c r="N1" s="114"/>
      <c r="O1" s="114"/>
      <c r="P1" s="114"/>
    </row>
    <row r="2" customFormat="false" ht="24" hidden="false" customHeight="true" outlineLevel="0" collapsed="false">
      <c r="A2" s="115" t="s">
        <v>177</v>
      </c>
      <c r="B2" s="115"/>
      <c r="C2" s="115"/>
      <c r="D2" s="115"/>
      <c r="E2" s="115"/>
      <c r="F2" s="115"/>
      <c r="G2" s="115"/>
      <c r="H2" s="115"/>
      <c r="I2" s="115"/>
      <c r="J2" s="115"/>
      <c r="K2" s="115"/>
      <c r="L2" s="115"/>
      <c r="M2" s="115"/>
      <c r="N2" s="115"/>
      <c r="O2" s="115"/>
      <c r="P2" s="115"/>
    </row>
    <row r="4" customFormat="false" ht="31.5" hidden="false" customHeight="true" outlineLevel="0" collapsed="false">
      <c r="A4" s="26" t="s">
        <v>178</v>
      </c>
      <c r="B4" s="26" t="s">
        <v>16</v>
      </c>
      <c r="C4" s="26" t="s">
        <v>179</v>
      </c>
      <c r="D4" s="26" t="s">
        <v>180</v>
      </c>
      <c r="E4" s="26" t="s">
        <v>181</v>
      </c>
      <c r="F4" s="26" t="s">
        <v>182</v>
      </c>
      <c r="G4" s="26" t="s">
        <v>49</v>
      </c>
      <c r="H4" s="26" t="s">
        <v>17</v>
      </c>
      <c r="I4" s="26" t="s">
        <v>183</v>
      </c>
      <c r="J4" s="26" t="s">
        <v>20</v>
      </c>
      <c r="K4" s="26" t="s">
        <v>19</v>
      </c>
      <c r="L4" s="26" t="s">
        <v>5</v>
      </c>
      <c r="M4" s="26" t="s">
        <v>184</v>
      </c>
      <c r="N4" s="26" t="s">
        <v>185</v>
      </c>
      <c r="O4" s="26" t="s">
        <v>21</v>
      </c>
      <c r="P4" s="26" t="s">
        <v>186</v>
      </c>
    </row>
    <row r="5" customFormat="false" ht="22.35" hidden="false" customHeight="false" outlineLevel="0" collapsed="false">
      <c r="A5" s="116" t="s">
        <v>187</v>
      </c>
      <c r="B5" s="117" t="s">
        <v>24</v>
      </c>
      <c r="C5" s="117" t="s">
        <v>54</v>
      </c>
      <c r="D5" s="117" t="s">
        <v>56</v>
      </c>
      <c r="E5" s="117" t="s">
        <v>55</v>
      </c>
      <c r="F5" s="117" t="s">
        <v>59</v>
      </c>
      <c r="G5" s="117" t="s">
        <v>57</v>
      </c>
      <c r="H5" s="32" t="n">
        <f aca="false">COUNTIF('All Tasks'!$B$2:$B$404,$A5)</f>
        <v>10</v>
      </c>
      <c r="I5" s="118" t="str">
        <f aca="false">IF($H5=0,"No Tasks Yet",IF($L5&gt;0,"Blocked",IF($K5&gt;0,"At Risk",IF($R5=$H5,"Complete",IF($S5&gt;0,"In Progress","Not Started")))))</f>
        <v>In Progress</v>
      </c>
      <c r="J5" s="33" t="n">
        <f aca="false">IF($H5=0,"",ROUND(SUMIFS('All Tasks'!$U$2:$U$404,'All Tasks'!$B$2:$B$404,$A5)/$H5,2))</f>
        <v>0.5</v>
      </c>
      <c r="K5" s="32" t="n">
        <f aca="false">SUMIFS('All Tasks'!$R$2:$R$404,'All Tasks'!$B$2:$B$404,$A5)</f>
        <v>0</v>
      </c>
      <c r="L5" s="32" t="n">
        <f aca="false">COUNTIFS('All Tasks'!$B$2:$B$404,$A5,'All Tasks'!$I$2:$I$404,"Blocked")</f>
        <v>0</v>
      </c>
      <c r="M5" s="117" t="str">
        <f aca="false">IF($H5=0,"",IF($L5&gt;0,$L5&amp;" blocked / "&amp;$K5&amp;" overdue",IF($K5&gt;0,$K5&amp;" overdue task(s)",IF($T5&gt;0,$T5&amp;" roadblock(s) flagged","On track"))))</f>
        <v>On track</v>
      </c>
      <c r="N5" s="119" t="str">
        <f aca="false">IFERROR(minifs('All Tasks'!$L$2:$L$404,'All Tasks'!$B$2:$B$404,$A5,'All Tasks'!$I$2:$I$404,"&lt;&gt;Complete",'All Tasks'!$L$2:$L$404,"&gt;"&amp;(TODAY()-1)),"")</f>
        <v/>
      </c>
      <c r="O5" s="118" t="str">
        <f aca="false">IF($H5=0,"",IF(OR($I5="Blocked",$I5="At Risk"),"R",IF(OR($I5="Complete",$I5="In Progress"),"G","Y")))</f>
        <v>G</v>
      </c>
      <c r="P5" s="120" t="str">
        <f aca="false">HYPERLINK("#'Project Review'!C3","Open")</f>
        <v>Open</v>
      </c>
      <c r="R5" s="121" t="n">
        <f aca="false">COUNTIFS('All Tasks'!$B$2:$B$404,$A5,'All Tasks'!$I$2:$I$404,"Complete")</f>
        <v>0</v>
      </c>
      <c r="S5" s="121" t="n">
        <f aca="false">COUNTIFS('All Tasks'!$B$2:$B$404,$A5,'All Tasks'!$I$2:$I$404,"In Progress")+COUNTIFS('All Tasks'!$B$2:$B$404,$A5,'All Tasks'!$I$2:$I$404,"Waiting on Someone")</f>
        <v>10</v>
      </c>
      <c r="T5" s="121" t="n">
        <f aca="false">SUMIFS('All Tasks'!$V$2:$V$404,'All Tasks'!$B$2:$B$404,$A5)</f>
        <v>0</v>
      </c>
    </row>
    <row r="6" customFormat="false" ht="22.35" hidden="false" customHeight="false" outlineLevel="0" collapsed="false">
      <c r="A6" s="116" t="s">
        <v>188</v>
      </c>
      <c r="B6" s="117" t="s">
        <v>24</v>
      </c>
      <c r="C6" s="117" t="s">
        <v>62</v>
      </c>
      <c r="D6" s="117" t="s">
        <v>56</v>
      </c>
      <c r="E6" s="117" t="s">
        <v>63</v>
      </c>
      <c r="F6" s="117" t="s">
        <v>64</v>
      </c>
      <c r="G6" s="117" t="s">
        <v>57</v>
      </c>
      <c r="H6" s="32" t="n">
        <f aca="false">COUNTIF('All Tasks'!$B$2:$B$404,$A6)</f>
        <v>1</v>
      </c>
      <c r="I6" s="118" t="str">
        <f aca="false">IF($H6=0,"No Tasks Yet",IF($L6&gt;0,"Blocked",IF($K6&gt;0,"At Risk",IF($R6=$H6,"Complete",IF($S6&gt;0,"In Progress","Not Started")))))</f>
        <v>At Risk</v>
      </c>
      <c r="J6" s="33" t="n">
        <f aca="false">IF($H6=0,"",ROUND(SUMIFS('All Tasks'!$U$2:$U$404,'All Tasks'!$B$2:$B$404,$A6)/$H6,2))</f>
        <v>0.5</v>
      </c>
      <c r="K6" s="32" t="n">
        <f aca="false">SUMIFS('All Tasks'!$R$2:$R$404,'All Tasks'!$B$2:$B$404,$A6)</f>
        <v>1</v>
      </c>
      <c r="L6" s="32" t="n">
        <f aca="false">COUNTIFS('All Tasks'!$B$2:$B$404,$A6,'All Tasks'!$I$2:$I$404,"Blocked")</f>
        <v>0</v>
      </c>
      <c r="M6" s="117" t="str">
        <f aca="false">IF($H6=0,"",IF($L6&gt;0,$L6&amp;" blocked / "&amp;$K6&amp;" overdue",IF($K6&gt;0,$K6&amp;" overdue task(s)",IF($T6&gt;0,$T6&amp;" roadblock(s) flagged","On track"))))</f>
        <v>1 overdue task(s)</v>
      </c>
      <c r="N6" s="119" t="str">
        <f aca="false">IFERROR(minifs('All Tasks'!$L$2:$L$404,'All Tasks'!$B$2:$B$404,$A6,'All Tasks'!$I$2:$I$404,"&lt;&gt;Complete",'All Tasks'!$L$2:$L$404,"&gt;"&amp;(TODAY()-1)),"")</f>
        <v/>
      </c>
      <c r="O6" s="118" t="str">
        <f aca="false">IF($H6=0,"",IF(OR($I6="Blocked",$I6="At Risk"),"R",IF(OR($I6="Complete",$I6="In Progress"),"G","Y")))</f>
        <v>R</v>
      </c>
      <c r="P6" s="120" t="str">
        <f aca="false">HYPERLINK("#'Project Review'!C3","Open")</f>
        <v>Open</v>
      </c>
      <c r="R6" s="121" t="n">
        <f aca="false">COUNTIFS('All Tasks'!$B$2:$B$404,$A6,'All Tasks'!$I$2:$I$404,"Complete")</f>
        <v>0</v>
      </c>
      <c r="S6" s="121" t="n">
        <f aca="false">COUNTIFS('All Tasks'!$B$2:$B$404,$A6,'All Tasks'!$I$2:$I$404,"In Progress")+COUNTIFS('All Tasks'!$B$2:$B$404,$A6,'All Tasks'!$I$2:$I$404,"Waiting on Someone")</f>
        <v>1</v>
      </c>
      <c r="T6" s="121" t="n">
        <f aca="false">SUMIFS('All Tasks'!$V$2:$V$404,'All Tasks'!$B$2:$B$404,$A6)</f>
        <v>0</v>
      </c>
    </row>
    <row r="7" customFormat="false" ht="22.35" hidden="false" customHeight="false" outlineLevel="0" collapsed="false">
      <c r="A7" s="116" t="s">
        <v>189</v>
      </c>
      <c r="B7" s="117" t="s">
        <v>24</v>
      </c>
      <c r="C7" s="117" t="s">
        <v>66</v>
      </c>
      <c r="D7" s="117" t="s">
        <v>56</v>
      </c>
      <c r="E7" s="117" t="s">
        <v>55</v>
      </c>
      <c r="F7" s="117" t="s">
        <v>67</v>
      </c>
      <c r="G7" s="117" t="s">
        <v>57</v>
      </c>
      <c r="H7" s="32" t="n">
        <f aca="false">COUNTIF('All Tasks'!$B$2:$B$404,$A7)</f>
        <v>0</v>
      </c>
      <c r="I7" s="118" t="str">
        <f aca="false">IF($H7=0,"No Tasks Yet",IF($L7&gt;0,"Blocked",IF($K7&gt;0,"At Risk",IF($R7=$H7,"Complete",IF($S7&gt;0,"In Progress","Not Started")))))</f>
        <v>No Tasks Yet</v>
      </c>
      <c r="J7" s="33" t="str">
        <f aca="false">IF($H7=0,"",ROUND(SUMIFS('All Tasks'!$U$2:$U$404,'All Tasks'!$B$2:$B$404,$A7)/$H7,2))</f>
        <v/>
      </c>
      <c r="K7" s="32" t="n">
        <f aca="false">SUMIFS('All Tasks'!$R$2:$R$404,'All Tasks'!$B$2:$B$404,$A7)</f>
        <v>0</v>
      </c>
      <c r="L7" s="32" t="n">
        <f aca="false">COUNTIFS('All Tasks'!$B$2:$B$404,$A7,'All Tasks'!$I$2:$I$404,"Blocked")</f>
        <v>0</v>
      </c>
      <c r="M7" s="117" t="str">
        <f aca="false">IF($H7=0,"",IF($L7&gt;0,$L7&amp;" blocked / "&amp;$K7&amp;" overdue",IF($K7&gt;0,$K7&amp;" overdue task(s)",IF($T7&gt;0,$T7&amp;" roadblock(s) flagged","On track"))))</f>
        <v/>
      </c>
      <c r="N7" s="119" t="str">
        <f aca="false">IFERROR(minifs('All Tasks'!$L$2:$L$404,'All Tasks'!$B$2:$B$404,$A7,'All Tasks'!$I$2:$I$404,"&lt;&gt;Complete",'All Tasks'!$L$2:$L$404,"&gt;"&amp;(TODAY()-1)),"")</f>
        <v/>
      </c>
      <c r="O7" s="118" t="str">
        <f aca="false">IF($H7=0,"",IF(OR($I7="Blocked",$I7="At Risk"),"R",IF(OR($I7="Complete",$I7="In Progress"),"G","Y")))</f>
        <v/>
      </c>
      <c r="P7" s="120" t="str">
        <f aca="false">HYPERLINK("#'Project Review'!C3","Open")</f>
        <v>Open</v>
      </c>
      <c r="R7" s="121" t="n">
        <f aca="false">COUNTIFS('All Tasks'!$B$2:$B$404,$A7,'All Tasks'!$I$2:$I$404,"Complete")</f>
        <v>0</v>
      </c>
      <c r="S7" s="121" t="n">
        <f aca="false">COUNTIFS('All Tasks'!$B$2:$B$404,$A7,'All Tasks'!$I$2:$I$404,"In Progress")+COUNTIFS('All Tasks'!$B$2:$B$404,$A7,'All Tasks'!$I$2:$I$404,"Waiting on Someone")</f>
        <v>0</v>
      </c>
      <c r="T7" s="121" t="n">
        <f aca="false">SUMIFS('All Tasks'!$V$2:$V$404,'All Tasks'!$B$2:$B$404,$A7)</f>
        <v>0</v>
      </c>
    </row>
    <row r="8" customFormat="false" ht="22.35" hidden="false" customHeight="false" outlineLevel="0" collapsed="false">
      <c r="A8" s="116" t="s">
        <v>190</v>
      </c>
      <c r="B8" s="117" t="s">
        <v>24</v>
      </c>
      <c r="C8" s="117" t="s">
        <v>70</v>
      </c>
      <c r="D8" s="117" t="s">
        <v>56</v>
      </c>
      <c r="E8" s="117" t="s">
        <v>55</v>
      </c>
      <c r="F8" s="117" t="s">
        <v>72</v>
      </c>
      <c r="G8" s="117" t="s">
        <v>71</v>
      </c>
      <c r="H8" s="32" t="n">
        <f aca="false">COUNTIF('All Tasks'!$B$2:$B$404,$A8)</f>
        <v>0</v>
      </c>
      <c r="I8" s="118" t="str">
        <f aca="false">IF($H8=0,"No Tasks Yet",IF($L8&gt;0,"Blocked",IF($K8&gt;0,"At Risk",IF($R8=$H8,"Complete",IF($S8&gt;0,"In Progress","Not Started")))))</f>
        <v>No Tasks Yet</v>
      </c>
      <c r="J8" s="33" t="str">
        <f aca="false">IF($H8=0,"",ROUND(SUMIFS('All Tasks'!$U$2:$U$404,'All Tasks'!$B$2:$B$404,$A8)/$H8,2))</f>
        <v/>
      </c>
      <c r="K8" s="32" t="n">
        <f aca="false">SUMIFS('All Tasks'!$R$2:$R$404,'All Tasks'!$B$2:$B$404,$A8)</f>
        <v>0</v>
      </c>
      <c r="L8" s="32" t="n">
        <f aca="false">COUNTIFS('All Tasks'!$B$2:$B$404,$A8,'All Tasks'!$I$2:$I$404,"Blocked")</f>
        <v>0</v>
      </c>
      <c r="M8" s="117" t="str">
        <f aca="false">IF($H8=0,"",IF($L8&gt;0,$L8&amp;" blocked / "&amp;$K8&amp;" overdue",IF($K8&gt;0,$K8&amp;" overdue task(s)",IF($T8&gt;0,$T8&amp;" roadblock(s) flagged","On track"))))</f>
        <v/>
      </c>
      <c r="N8" s="119" t="str">
        <f aca="false">IFERROR(minifs('All Tasks'!$L$2:$L$404,'All Tasks'!$B$2:$B$404,$A8,'All Tasks'!$I$2:$I$404,"&lt;&gt;Complete",'All Tasks'!$L$2:$L$404,"&gt;"&amp;(TODAY()-1)),"")</f>
        <v/>
      </c>
      <c r="O8" s="118" t="str">
        <f aca="false">IF($H8=0,"",IF(OR($I8="Blocked",$I8="At Risk"),"R",IF(OR($I8="Complete",$I8="In Progress"),"G","Y")))</f>
        <v/>
      </c>
      <c r="P8" s="120" t="str">
        <f aca="false">HYPERLINK("#'Project Review'!C3","Open")</f>
        <v>Open</v>
      </c>
      <c r="R8" s="121" t="n">
        <f aca="false">COUNTIFS('All Tasks'!$B$2:$B$404,$A8,'All Tasks'!$I$2:$I$404,"Complete")</f>
        <v>0</v>
      </c>
      <c r="S8" s="121" t="n">
        <f aca="false">COUNTIFS('All Tasks'!$B$2:$B$404,$A8,'All Tasks'!$I$2:$I$404,"In Progress")+COUNTIFS('All Tasks'!$B$2:$B$404,$A8,'All Tasks'!$I$2:$I$404,"Waiting on Someone")</f>
        <v>0</v>
      </c>
      <c r="T8" s="121" t="n">
        <f aca="false">SUMIFS('All Tasks'!$V$2:$V$404,'All Tasks'!$B$2:$B$404,$A8)</f>
        <v>0</v>
      </c>
    </row>
    <row r="9" customFormat="false" ht="22.35" hidden="false" customHeight="false" outlineLevel="0" collapsed="false">
      <c r="A9" s="116" t="s">
        <v>191</v>
      </c>
      <c r="B9" s="117" t="s">
        <v>24</v>
      </c>
      <c r="C9" s="117" t="s">
        <v>75</v>
      </c>
      <c r="D9" s="117" t="s">
        <v>56</v>
      </c>
      <c r="E9" s="117" t="s">
        <v>63</v>
      </c>
      <c r="F9" s="117" t="s">
        <v>76</v>
      </c>
      <c r="G9" s="117" t="s">
        <v>57</v>
      </c>
      <c r="H9" s="32" t="n">
        <f aca="false">COUNTIF('All Tasks'!$B$2:$B$404,$A9)</f>
        <v>0</v>
      </c>
      <c r="I9" s="118" t="str">
        <f aca="false">IF($H9=0,"No Tasks Yet",IF($L9&gt;0,"Blocked",IF($K9&gt;0,"At Risk",IF($R9=$H9,"Complete",IF($S9&gt;0,"In Progress","Not Started")))))</f>
        <v>No Tasks Yet</v>
      </c>
      <c r="J9" s="33" t="str">
        <f aca="false">IF($H9=0,"",ROUND(SUMIFS('All Tasks'!$U$2:$U$404,'All Tasks'!$B$2:$B$404,$A9)/$H9,2))</f>
        <v/>
      </c>
      <c r="K9" s="32" t="n">
        <f aca="false">SUMIFS('All Tasks'!$R$2:$R$404,'All Tasks'!$B$2:$B$404,$A9)</f>
        <v>0</v>
      </c>
      <c r="L9" s="32" t="n">
        <f aca="false">COUNTIFS('All Tasks'!$B$2:$B$404,$A9,'All Tasks'!$I$2:$I$404,"Blocked")</f>
        <v>0</v>
      </c>
      <c r="M9" s="117" t="str">
        <f aca="false">IF($H9=0,"",IF($L9&gt;0,$L9&amp;" blocked / "&amp;$K9&amp;" overdue",IF($K9&gt;0,$K9&amp;" overdue task(s)",IF($T9&gt;0,$T9&amp;" roadblock(s) flagged","On track"))))</f>
        <v/>
      </c>
      <c r="N9" s="119" t="str">
        <f aca="false">IFERROR(minifs('All Tasks'!$L$2:$L$404,'All Tasks'!$B$2:$B$404,$A9,'All Tasks'!$I$2:$I$404,"&lt;&gt;Complete",'All Tasks'!$L$2:$L$404,"&gt;"&amp;(TODAY()-1)),"")</f>
        <v/>
      </c>
      <c r="O9" s="118" t="str">
        <f aca="false">IF($H9=0,"",IF(OR($I9="Blocked",$I9="At Risk"),"R",IF(OR($I9="Complete",$I9="In Progress"),"G","Y")))</f>
        <v/>
      </c>
      <c r="P9" s="120" t="str">
        <f aca="false">HYPERLINK("#'Project Review'!C3","Open")</f>
        <v>Open</v>
      </c>
      <c r="R9" s="121" t="n">
        <f aca="false">COUNTIFS('All Tasks'!$B$2:$B$404,$A9,'All Tasks'!$I$2:$I$404,"Complete")</f>
        <v>0</v>
      </c>
      <c r="S9" s="121" t="n">
        <f aca="false">COUNTIFS('All Tasks'!$B$2:$B$404,$A9,'All Tasks'!$I$2:$I$404,"In Progress")+COUNTIFS('All Tasks'!$B$2:$B$404,$A9,'All Tasks'!$I$2:$I$404,"Waiting on Someone")</f>
        <v>0</v>
      </c>
      <c r="T9" s="121" t="n">
        <f aca="false">SUMIFS('All Tasks'!$V$2:$V$404,'All Tasks'!$B$2:$B$404,$A9)</f>
        <v>0</v>
      </c>
    </row>
    <row r="10" customFormat="false" ht="22.35" hidden="false" customHeight="false" outlineLevel="0" collapsed="false">
      <c r="A10" s="116" t="s">
        <v>192</v>
      </c>
      <c r="B10" s="117" t="s">
        <v>24</v>
      </c>
      <c r="C10" s="117" t="s">
        <v>77</v>
      </c>
      <c r="D10" s="117" t="s">
        <v>56</v>
      </c>
      <c r="E10" s="117" t="s">
        <v>55</v>
      </c>
      <c r="F10" s="117" t="s">
        <v>79</v>
      </c>
      <c r="G10" s="117" t="s">
        <v>57</v>
      </c>
      <c r="H10" s="32" t="n">
        <f aca="false">COUNTIF('All Tasks'!$B$2:$B$404,$A10)</f>
        <v>0</v>
      </c>
      <c r="I10" s="118" t="str">
        <f aca="false">IF($H10=0,"No Tasks Yet",IF($L10&gt;0,"Blocked",IF($K10&gt;0,"At Risk",IF($R10=$H10,"Complete",IF($S10&gt;0,"In Progress","Not Started")))))</f>
        <v>No Tasks Yet</v>
      </c>
      <c r="J10" s="33" t="str">
        <f aca="false">IF($H10=0,"",ROUND(SUMIFS('All Tasks'!$U$2:$U$404,'All Tasks'!$B$2:$B$404,$A10)/$H10,2))</f>
        <v/>
      </c>
      <c r="K10" s="32" t="n">
        <f aca="false">SUMIFS('All Tasks'!$R$2:$R$404,'All Tasks'!$B$2:$B$404,$A10)</f>
        <v>0</v>
      </c>
      <c r="L10" s="32" t="n">
        <f aca="false">COUNTIFS('All Tasks'!$B$2:$B$404,$A10,'All Tasks'!$I$2:$I$404,"Blocked")</f>
        <v>0</v>
      </c>
      <c r="M10" s="117" t="str">
        <f aca="false">IF($H10=0,"",IF($L10&gt;0,$L10&amp;" blocked / "&amp;$K10&amp;" overdue",IF($K10&gt;0,$K10&amp;" overdue task(s)",IF($T10&gt;0,$T10&amp;" roadblock(s) flagged","On track"))))</f>
        <v/>
      </c>
      <c r="N10" s="119" t="str">
        <f aca="false">IFERROR(minifs('All Tasks'!$L$2:$L$404,'All Tasks'!$B$2:$B$404,$A10,'All Tasks'!$I$2:$I$404,"&lt;&gt;Complete",'All Tasks'!$L$2:$L$404,"&gt;"&amp;(TODAY()-1)),"")</f>
        <v/>
      </c>
      <c r="O10" s="118" t="str">
        <f aca="false">IF($H10=0,"",IF(OR($I10="Blocked",$I10="At Risk"),"R",IF(OR($I10="Complete",$I10="In Progress"),"G","Y")))</f>
        <v/>
      </c>
      <c r="P10" s="120" t="str">
        <f aca="false">HYPERLINK("#'Project Review'!C3","Open")</f>
        <v>Open</v>
      </c>
      <c r="R10" s="121" t="n">
        <f aca="false">COUNTIFS('All Tasks'!$B$2:$B$404,$A10,'All Tasks'!$I$2:$I$404,"Complete")</f>
        <v>0</v>
      </c>
      <c r="S10" s="121" t="n">
        <f aca="false">COUNTIFS('All Tasks'!$B$2:$B$404,$A10,'All Tasks'!$I$2:$I$404,"In Progress")+COUNTIFS('All Tasks'!$B$2:$B$404,$A10,'All Tasks'!$I$2:$I$404,"Waiting on Someone")</f>
        <v>0</v>
      </c>
      <c r="T10" s="121" t="n">
        <f aca="false">SUMIFS('All Tasks'!$V$2:$V$404,'All Tasks'!$B$2:$B$404,$A10)</f>
        <v>0</v>
      </c>
    </row>
    <row r="11" customFormat="false" ht="22.35" hidden="false" customHeight="false" outlineLevel="0" collapsed="false">
      <c r="A11" s="116" t="s">
        <v>193</v>
      </c>
      <c r="B11" s="117" t="s">
        <v>26</v>
      </c>
      <c r="C11" s="117" t="s">
        <v>81</v>
      </c>
      <c r="D11" s="117" t="s">
        <v>56</v>
      </c>
      <c r="E11" s="117" t="s">
        <v>82</v>
      </c>
      <c r="F11" s="117" t="s">
        <v>194</v>
      </c>
      <c r="G11" s="117" t="s">
        <v>57</v>
      </c>
      <c r="H11" s="32" t="n">
        <f aca="false">COUNTIF('All Tasks'!$B$2:$B$404,$A11)</f>
        <v>0</v>
      </c>
      <c r="I11" s="118" t="str">
        <f aca="false">IF($H11=0,"No Tasks Yet",IF($L11&gt;0,"Blocked",IF($K11&gt;0,"At Risk",IF($R11=$H11,"Complete",IF($S11&gt;0,"In Progress","Not Started")))))</f>
        <v>No Tasks Yet</v>
      </c>
      <c r="J11" s="33" t="str">
        <f aca="false">IF($H11=0,"",ROUND(SUMIFS('All Tasks'!$U$2:$U$404,'All Tasks'!$B$2:$B$404,$A11)/$H11,2))</f>
        <v/>
      </c>
      <c r="K11" s="32" t="n">
        <f aca="false">SUMIFS('All Tasks'!$R$2:$R$404,'All Tasks'!$B$2:$B$404,$A11)</f>
        <v>0</v>
      </c>
      <c r="L11" s="32" t="n">
        <f aca="false">COUNTIFS('All Tasks'!$B$2:$B$404,$A11,'All Tasks'!$I$2:$I$404,"Blocked")</f>
        <v>0</v>
      </c>
      <c r="M11" s="117" t="str">
        <f aca="false">IF($H11=0,"",IF($L11&gt;0,$L11&amp;" blocked / "&amp;$K11&amp;" overdue",IF($K11&gt;0,$K11&amp;" overdue task(s)",IF($T11&gt;0,$T11&amp;" roadblock(s) flagged","On track"))))</f>
        <v/>
      </c>
      <c r="N11" s="119" t="str">
        <f aca="false">IFERROR(minifs('All Tasks'!$L$2:$L$404,'All Tasks'!$B$2:$B$404,$A11,'All Tasks'!$I$2:$I$404,"&lt;&gt;Complete",'All Tasks'!$L$2:$L$404,"&gt;"&amp;(TODAY()-1)),"")</f>
        <v/>
      </c>
      <c r="O11" s="118" t="str">
        <f aca="false">IF($H11=0,"",IF(OR($I11="Blocked",$I11="At Risk"),"R",IF(OR($I11="Complete",$I11="In Progress"),"G","Y")))</f>
        <v/>
      </c>
      <c r="P11" s="120" t="str">
        <f aca="false">HYPERLINK("#'Project Review'!C3","Open")</f>
        <v>Open</v>
      </c>
      <c r="R11" s="121" t="n">
        <f aca="false">COUNTIFS('All Tasks'!$B$2:$B$404,$A11,'All Tasks'!$I$2:$I$404,"Complete")</f>
        <v>0</v>
      </c>
      <c r="S11" s="121" t="n">
        <f aca="false">COUNTIFS('All Tasks'!$B$2:$B$404,$A11,'All Tasks'!$I$2:$I$404,"In Progress")+COUNTIFS('All Tasks'!$B$2:$B$404,$A11,'All Tasks'!$I$2:$I$404,"Waiting on Someone")</f>
        <v>0</v>
      </c>
      <c r="T11" s="121" t="n">
        <f aca="false">SUMIFS('All Tasks'!$V$2:$V$404,'All Tasks'!$B$2:$B$404,$A11)</f>
        <v>0</v>
      </c>
    </row>
    <row r="12" customFormat="false" ht="22.35" hidden="false" customHeight="false" outlineLevel="0" collapsed="false">
      <c r="A12" s="116" t="s">
        <v>195</v>
      </c>
      <c r="B12" s="117" t="s">
        <v>26</v>
      </c>
      <c r="C12" s="117" t="s">
        <v>84</v>
      </c>
      <c r="D12" s="117" t="s">
        <v>56</v>
      </c>
      <c r="E12" s="117" t="s">
        <v>85</v>
      </c>
      <c r="F12" s="117" t="s">
        <v>86</v>
      </c>
      <c r="G12" s="117" t="s">
        <v>57</v>
      </c>
      <c r="H12" s="32" t="n">
        <f aca="false">COUNTIF('All Tasks'!$B$2:$B$404,$A12)</f>
        <v>1</v>
      </c>
      <c r="I12" s="118" t="str">
        <f aca="false">IF($H12=0,"No Tasks Yet",IF($L12&gt;0,"Blocked",IF($K12&gt;0,"At Risk",IF($R12=$H12,"Complete",IF($S12&gt;0,"In Progress","Not Started")))))</f>
        <v>Complete</v>
      </c>
      <c r="J12" s="33" t="n">
        <f aca="false">IF($H12=0,"",ROUND(SUMIFS('All Tasks'!$U$2:$U$404,'All Tasks'!$B$2:$B$404,$A12)/$H12,2))</f>
        <v>1</v>
      </c>
      <c r="K12" s="32" t="n">
        <f aca="false">SUMIFS('All Tasks'!$R$2:$R$404,'All Tasks'!$B$2:$B$404,$A12)</f>
        <v>0</v>
      </c>
      <c r="L12" s="32" t="n">
        <f aca="false">COUNTIFS('All Tasks'!$B$2:$B$404,$A12,'All Tasks'!$I$2:$I$404,"Blocked")</f>
        <v>0</v>
      </c>
      <c r="M12" s="117" t="str">
        <f aca="false">IF($H12=0,"",IF($L12&gt;0,$L12&amp;" blocked / "&amp;$K12&amp;" overdue",IF($K12&gt;0,$K12&amp;" overdue task(s)",IF($T12&gt;0,$T12&amp;" roadblock(s) flagged","On track"))))</f>
        <v>On track</v>
      </c>
      <c r="N12" s="119" t="str">
        <f aca="false">IFERROR(minifs('All Tasks'!$L$2:$L$404,'All Tasks'!$B$2:$B$404,$A12,'All Tasks'!$I$2:$I$404,"&lt;&gt;Complete",'All Tasks'!$L$2:$L$404,"&gt;"&amp;(TODAY()-1)),"")</f>
        <v/>
      </c>
      <c r="O12" s="118" t="str">
        <f aca="false">IF($H12=0,"",IF(OR($I12="Blocked",$I12="At Risk"),"R",IF(OR($I12="Complete",$I12="In Progress"),"G","Y")))</f>
        <v>G</v>
      </c>
      <c r="P12" s="120" t="str">
        <f aca="false">HYPERLINK("#'Project Review'!C3","Open")</f>
        <v>Open</v>
      </c>
      <c r="R12" s="121" t="n">
        <f aca="false">COUNTIFS('All Tasks'!$B$2:$B$404,$A12,'All Tasks'!$I$2:$I$404,"Complete")</f>
        <v>1</v>
      </c>
      <c r="S12" s="121" t="n">
        <f aca="false">COUNTIFS('All Tasks'!$B$2:$B$404,$A12,'All Tasks'!$I$2:$I$404,"In Progress")+COUNTIFS('All Tasks'!$B$2:$B$404,$A12,'All Tasks'!$I$2:$I$404,"Waiting on Someone")</f>
        <v>0</v>
      </c>
      <c r="T12" s="121" t="n">
        <f aca="false">SUMIFS('All Tasks'!$V$2:$V$404,'All Tasks'!$B$2:$B$404,$A12)</f>
        <v>0</v>
      </c>
    </row>
    <row r="13" customFormat="false" ht="22.35" hidden="false" customHeight="false" outlineLevel="0" collapsed="false">
      <c r="A13" s="116" t="s">
        <v>196</v>
      </c>
      <c r="B13" s="117" t="s">
        <v>26</v>
      </c>
      <c r="C13" s="117" t="s">
        <v>87</v>
      </c>
      <c r="D13" s="117" t="s">
        <v>56</v>
      </c>
      <c r="E13" s="117" t="s">
        <v>88</v>
      </c>
      <c r="F13" s="117" t="s">
        <v>89</v>
      </c>
      <c r="G13" s="117" t="s">
        <v>57</v>
      </c>
      <c r="H13" s="32" t="n">
        <f aca="false">COUNTIF('All Tasks'!$B$2:$B$404,$A13)</f>
        <v>2</v>
      </c>
      <c r="I13" s="118" t="str">
        <f aca="false">IF($H13=0,"No Tasks Yet",IF($L13&gt;0,"Blocked",IF($K13&gt;0,"At Risk",IF($R13=$H13,"Complete",IF($S13&gt;0,"In Progress","Not Started")))))</f>
        <v>In Progress</v>
      </c>
      <c r="J13" s="33" t="n">
        <f aca="false">IF($H13=0,"",ROUND(SUMIFS('All Tasks'!$U$2:$U$404,'All Tasks'!$B$2:$B$404,$A13)/$H13,2))</f>
        <v>0.3</v>
      </c>
      <c r="K13" s="32" t="n">
        <f aca="false">SUMIFS('All Tasks'!$R$2:$R$404,'All Tasks'!$B$2:$B$404,$A13)</f>
        <v>0</v>
      </c>
      <c r="L13" s="32" t="n">
        <f aca="false">COUNTIFS('All Tasks'!$B$2:$B$404,$A13,'All Tasks'!$I$2:$I$404,"Blocked")</f>
        <v>0</v>
      </c>
      <c r="M13" s="117" t="str">
        <f aca="false">IF($H13=0,"",IF($L13&gt;0,$L13&amp;" blocked / "&amp;$K13&amp;" overdue",IF($K13&gt;0,$K13&amp;" overdue task(s)",IF($T13&gt;0,$T13&amp;" roadblock(s) flagged","On track"))))</f>
        <v>On track</v>
      </c>
      <c r="N13" s="119" t="str">
        <f aca="false">IFERROR(minifs('All Tasks'!$L$2:$L$404,'All Tasks'!$B$2:$B$404,$A13,'All Tasks'!$I$2:$I$404,"&lt;&gt;Complete",'All Tasks'!$L$2:$L$404,"&gt;"&amp;(TODAY()-1)),"")</f>
        <v/>
      </c>
      <c r="O13" s="118" t="str">
        <f aca="false">IF($H13=0,"",IF(OR($I13="Blocked",$I13="At Risk"),"R",IF(OR($I13="Complete",$I13="In Progress"),"G","Y")))</f>
        <v>G</v>
      </c>
      <c r="P13" s="120" t="str">
        <f aca="false">HYPERLINK("#'Project Review'!C3","Open")</f>
        <v>Open</v>
      </c>
      <c r="R13" s="121" t="n">
        <f aca="false">COUNTIFS('All Tasks'!$B$2:$B$404,$A13,'All Tasks'!$I$2:$I$404,"Complete")</f>
        <v>0</v>
      </c>
      <c r="S13" s="121" t="n">
        <f aca="false">COUNTIFS('All Tasks'!$B$2:$B$404,$A13,'All Tasks'!$I$2:$I$404,"In Progress")+COUNTIFS('All Tasks'!$B$2:$B$404,$A13,'All Tasks'!$I$2:$I$404,"Waiting on Someone")</f>
        <v>2</v>
      </c>
      <c r="T13" s="121" t="n">
        <f aca="false">SUMIFS('All Tasks'!$V$2:$V$404,'All Tasks'!$B$2:$B$404,$A13)</f>
        <v>0</v>
      </c>
    </row>
    <row r="14" customFormat="false" ht="22.35" hidden="false" customHeight="false" outlineLevel="0" collapsed="false">
      <c r="A14" s="116" t="s">
        <v>197</v>
      </c>
      <c r="B14" s="117" t="s">
        <v>26</v>
      </c>
      <c r="C14" s="117" t="s">
        <v>90</v>
      </c>
      <c r="D14" s="117" t="s">
        <v>56</v>
      </c>
      <c r="E14" s="117" t="s">
        <v>91</v>
      </c>
      <c r="F14" s="117" t="s">
        <v>92</v>
      </c>
      <c r="G14" s="117" t="s">
        <v>71</v>
      </c>
      <c r="H14" s="32" t="n">
        <f aca="false">COUNTIF('All Tasks'!$B$2:$B$404,$A14)</f>
        <v>0</v>
      </c>
      <c r="I14" s="118" t="str">
        <f aca="false">IF($H14=0,"No Tasks Yet",IF($L14&gt;0,"Blocked",IF($K14&gt;0,"At Risk",IF($R14=$H14,"Complete",IF($S14&gt;0,"In Progress","Not Started")))))</f>
        <v>No Tasks Yet</v>
      </c>
      <c r="J14" s="33" t="str">
        <f aca="false">IF($H14=0,"",ROUND(SUMIFS('All Tasks'!$U$2:$U$404,'All Tasks'!$B$2:$B$404,$A14)/$H14,2))</f>
        <v/>
      </c>
      <c r="K14" s="32" t="n">
        <f aca="false">SUMIFS('All Tasks'!$R$2:$R$404,'All Tasks'!$B$2:$B$404,$A14)</f>
        <v>0</v>
      </c>
      <c r="L14" s="32" t="n">
        <f aca="false">COUNTIFS('All Tasks'!$B$2:$B$404,$A14,'All Tasks'!$I$2:$I$404,"Blocked")</f>
        <v>0</v>
      </c>
      <c r="M14" s="117" t="str">
        <f aca="false">IF($H14=0,"",IF($L14&gt;0,$L14&amp;" blocked / "&amp;$K14&amp;" overdue",IF($K14&gt;0,$K14&amp;" overdue task(s)",IF($T14&gt;0,$T14&amp;" roadblock(s) flagged","On track"))))</f>
        <v/>
      </c>
      <c r="N14" s="119" t="str">
        <f aca="false">IFERROR(minifs('All Tasks'!$L$2:$L$404,'All Tasks'!$B$2:$B$404,$A14,'All Tasks'!$I$2:$I$404,"&lt;&gt;Complete",'All Tasks'!$L$2:$L$404,"&gt;"&amp;(TODAY()-1)),"")</f>
        <v/>
      </c>
      <c r="O14" s="118" t="str">
        <f aca="false">IF($H14=0,"",IF(OR($I14="Blocked",$I14="At Risk"),"R",IF(OR($I14="Complete",$I14="In Progress"),"G","Y")))</f>
        <v/>
      </c>
      <c r="P14" s="120" t="str">
        <f aca="false">HYPERLINK("#'Project Review'!C3","Open")</f>
        <v>Open</v>
      </c>
      <c r="R14" s="121" t="n">
        <f aca="false">COUNTIFS('All Tasks'!$B$2:$B$404,$A14,'All Tasks'!$I$2:$I$404,"Complete")</f>
        <v>0</v>
      </c>
      <c r="S14" s="121" t="n">
        <f aca="false">COUNTIFS('All Tasks'!$B$2:$B$404,$A14,'All Tasks'!$I$2:$I$404,"In Progress")+COUNTIFS('All Tasks'!$B$2:$B$404,$A14,'All Tasks'!$I$2:$I$404,"Waiting on Someone")</f>
        <v>0</v>
      </c>
      <c r="T14" s="121" t="n">
        <f aca="false">SUMIFS('All Tasks'!$V$2:$V$404,'All Tasks'!$B$2:$B$404,$A14)</f>
        <v>0</v>
      </c>
    </row>
    <row r="15" customFormat="false" ht="22.35" hidden="false" customHeight="false" outlineLevel="0" collapsed="false">
      <c r="A15" s="116" t="s">
        <v>198</v>
      </c>
      <c r="B15" s="117" t="s">
        <v>26</v>
      </c>
      <c r="C15" s="117" t="s">
        <v>93</v>
      </c>
      <c r="D15" s="117" t="s">
        <v>56</v>
      </c>
      <c r="E15" s="117" t="s">
        <v>82</v>
      </c>
      <c r="F15" s="117" t="s">
        <v>94</v>
      </c>
      <c r="G15" s="117" t="s">
        <v>57</v>
      </c>
      <c r="H15" s="32" t="n">
        <f aca="false">COUNTIF('All Tasks'!$B$2:$B$404,$A15)</f>
        <v>0</v>
      </c>
      <c r="I15" s="118" t="str">
        <f aca="false">IF($H15=0,"No Tasks Yet",IF($L15&gt;0,"Blocked",IF($K15&gt;0,"At Risk",IF($R15=$H15,"Complete",IF($S15&gt;0,"In Progress","Not Started")))))</f>
        <v>No Tasks Yet</v>
      </c>
      <c r="J15" s="33" t="str">
        <f aca="false">IF($H15=0,"",ROUND(SUMIFS('All Tasks'!$U$2:$U$404,'All Tasks'!$B$2:$B$404,$A15)/$H15,2))</f>
        <v/>
      </c>
      <c r="K15" s="32" t="n">
        <f aca="false">SUMIFS('All Tasks'!$R$2:$R$404,'All Tasks'!$B$2:$B$404,$A15)</f>
        <v>0</v>
      </c>
      <c r="L15" s="32" t="n">
        <f aca="false">COUNTIFS('All Tasks'!$B$2:$B$404,$A15,'All Tasks'!$I$2:$I$404,"Blocked")</f>
        <v>0</v>
      </c>
      <c r="M15" s="117" t="str">
        <f aca="false">IF($H15=0,"",IF($L15&gt;0,$L15&amp;" blocked / "&amp;$K15&amp;" overdue",IF($K15&gt;0,$K15&amp;" overdue task(s)",IF($T15&gt;0,$T15&amp;" roadblock(s) flagged","On track"))))</f>
        <v/>
      </c>
      <c r="N15" s="119" t="str">
        <f aca="false">IFERROR(minifs('All Tasks'!$L$2:$L$404,'All Tasks'!$B$2:$B$404,$A15,'All Tasks'!$I$2:$I$404,"&lt;&gt;Complete",'All Tasks'!$L$2:$L$404,"&gt;"&amp;(TODAY()-1)),"")</f>
        <v/>
      </c>
      <c r="O15" s="118" t="str">
        <f aca="false">IF($H15=0,"",IF(OR($I15="Blocked",$I15="At Risk"),"R",IF(OR($I15="Complete",$I15="In Progress"),"G","Y")))</f>
        <v/>
      </c>
      <c r="P15" s="120" t="str">
        <f aca="false">HYPERLINK("#'Project Review'!C3","Open")</f>
        <v>Open</v>
      </c>
      <c r="R15" s="121" t="n">
        <f aca="false">COUNTIFS('All Tasks'!$B$2:$B$404,$A15,'All Tasks'!$I$2:$I$404,"Complete")</f>
        <v>0</v>
      </c>
      <c r="S15" s="121" t="n">
        <f aca="false">COUNTIFS('All Tasks'!$B$2:$B$404,$A15,'All Tasks'!$I$2:$I$404,"In Progress")+COUNTIFS('All Tasks'!$B$2:$B$404,$A15,'All Tasks'!$I$2:$I$404,"Waiting on Someone")</f>
        <v>0</v>
      </c>
      <c r="T15" s="121" t="n">
        <f aca="false">SUMIFS('All Tasks'!$V$2:$V$404,'All Tasks'!$B$2:$B$404,$A15)</f>
        <v>0</v>
      </c>
    </row>
    <row r="16" customFormat="false" ht="22.35" hidden="false" customHeight="false" outlineLevel="0" collapsed="false">
      <c r="A16" s="116" t="s">
        <v>199</v>
      </c>
      <c r="B16" s="117" t="s">
        <v>28</v>
      </c>
      <c r="C16" s="117" t="s">
        <v>96</v>
      </c>
      <c r="D16" s="117" t="s">
        <v>56</v>
      </c>
      <c r="E16" s="117" t="s">
        <v>97</v>
      </c>
      <c r="F16" s="117" t="s">
        <v>98</v>
      </c>
      <c r="G16" s="117" t="s">
        <v>57</v>
      </c>
      <c r="H16" s="32" t="n">
        <f aca="false">COUNTIF('All Tasks'!$B$2:$B$404,$A16)</f>
        <v>3</v>
      </c>
      <c r="I16" s="118" t="str">
        <f aca="false">IF($H16=0,"No Tasks Yet",IF($L16&gt;0,"Blocked",IF($K16&gt;0,"At Risk",IF($R16=$H16,"Complete",IF($S16&gt;0,"In Progress","Not Started")))))</f>
        <v>Blocked</v>
      </c>
      <c r="J16" s="33" t="n">
        <f aca="false">IF($H16=0,"",ROUND(SUMIFS('All Tasks'!$U$2:$U$404,'All Tasks'!$B$2:$B$404,$A16)/$H16,2))</f>
        <v>0.13</v>
      </c>
      <c r="K16" s="32" t="n">
        <f aca="false">SUMIFS('All Tasks'!$R$2:$R$404,'All Tasks'!$B$2:$B$404,$A16)</f>
        <v>0</v>
      </c>
      <c r="L16" s="32" t="n">
        <f aca="false">COUNTIFS('All Tasks'!$B$2:$B$404,$A16,'All Tasks'!$I$2:$I$404,"Blocked")</f>
        <v>1</v>
      </c>
      <c r="M16" s="117" t="str">
        <f aca="false">IF($H16=0,"",IF($L16&gt;0,$L16&amp;" blocked / "&amp;$K16&amp;" overdue",IF($K16&gt;0,$K16&amp;" overdue task(s)",IF($T16&gt;0,$T16&amp;" roadblock(s) flagged","On track"))))</f>
        <v>1 blocked / 0 overdue</v>
      </c>
      <c r="N16" s="119" t="str">
        <f aca="false">IFERROR(minifs('All Tasks'!$L$2:$L$404,'All Tasks'!$B$2:$B$404,$A16,'All Tasks'!$I$2:$I$404,"&lt;&gt;Complete",'All Tasks'!$L$2:$L$404,"&gt;"&amp;(TODAY()-1)),"")</f>
        <v/>
      </c>
      <c r="O16" s="118" t="str">
        <f aca="false">IF($H16=0,"",IF(OR($I16="Blocked",$I16="At Risk"),"R",IF(OR($I16="Complete",$I16="In Progress"),"G","Y")))</f>
        <v>R</v>
      </c>
      <c r="P16" s="120" t="str">
        <f aca="false">HYPERLINK("#'Project Review'!C3","Open")</f>
        <v>Open</v>
      </c>
      <c r="R16" s="121" t="n">
        <f aca="false">COUNTIFS('All Tasks'!$B$2:$B$404,$A16,'All Tasks'!$I$2:$I$404,"Complete")</f>
        <v>0</v>
      </c>
      <c r="S16" s="121" t="n">
        <f aca="false">COUNTIFS('All Tasks'!$B$2:$B$404,$A16,'All Tasks'!$I$2:$I$404,"In Progress")+COUNTIFS('All Tasks'!$B$2:$B$404,$A16,'All Tasks'!$I$2:$I$404,"Waiting on Someone")</f>
        <v>1</v>
      </c>
      <c r="T16" s="121" t="n">
        <f aca="false">SUMIFS('All Tasks'!$V$2:$V$404,'All Tasks'!$B$2:$B$404,$A16)</f>
        <v>1</v>
      </c>
    </row>
    <row r="17" customFormat="false" ht="22.35" hidden="false" customHeight="false" outlineLevel="0" collapsed="false">
      <c r="A17" s="116" t="s">
        <v>200</v>
      </c>
      <c r="B17" s="117" t="s">
        <v>28</v>
      </c>
      <c r="C17" s="117" t="s">
        <v>99</v>
      </c>
      <c r="D17" s="117" t="s">
        <v>56</v>
      </c>
      <c r="E17" s="117" t="s">
        <v>91</v>
      </c>
      <c r="F17" s="117" t="s">
        <v>100</v>
      </c>
      <c r="G17" s="117" t="s">
        <v>57</v>
      </c>
      <c r="H17" s="32" t="n">
        <f aca="false">COUNTIF('All Tasks'!$B$2:$B$404,$A17)</f>
        <v>2</v>
      </c>
      <c r="I17" s="118" t="str">
        <f aca="false">IF($H17=0,"No Tasks Yet",IF($L17&gt;0,"Blocked",IF($K17&gt;0,"At Risk",IF($R17=$H17,"Complete",IF($S17&gt;0,"In Progress","Not Started")))))</f>
        <v>In Progress</v>
      </c>
      <c r="J17" s="33" t="n">
        <f aca="false">IF($H17=0,"",ROUND(SUMIFS('All Tasks'!$U$2:$U$404,'All Tasks'!$B$2:$B$404,$A17)/$H17,2))</f>
        <v>0.4</v>
      </c>
      <c r="K17" s="32" t="n">
        <f aca="false">SUMIFS('All Tasks'!$R$2:$R$404,'All Tasks'!$B$2:$B$404,$A17)</f>
        <v>0</v>
      </c>
      <c r="L17" s="32" t="n">
        <f aca="false">COUNTIFS('All Tasks'!$B$2:$B$404,$A17,'All Tasks'!$I$2:$I$404,"Blocked")</f>
        <v>0</v>
      </c>
      <c r="M17" s="117" t="str">
        <f aca="false">IF($H17=0,"",IF($L17&gt;0,$L17&amp;" blocked / "&amp;$K17&amp;" overdue",IF($K17&gt;0,$K17&amp;" overdue task(s)",IF($T17&gt;0,$T17&amp;" roadblock(s) flagged","On track"))))</f>
        <v>On track</v>
      </c>
      <c r="N17" s="119" t="str">
        <f aca="false">IFERROR(minifs('All Tasks'!$L$2:$L$404,'All Tasks'!$B$2:$B$404,$A17,'All Tasks'!$I$2:$I$404,"&lt;&gt;Complete",'All Tasks'!$L$2:$L$404,"&gt;"&amp;(TODAY()-1)),"")</f>
        <v/>
      </c>
      <c r="O17" s="118" t="str">
        <f aca="false">IF($H17=0,"",IF(OR($I17="Blocked",$I17="At Risk"),"R",IF(OR($I17="Complete",$I17="In Progress"),"G","Y")))</f>
        <v>G</v>
      </c>
      <c r="P17" s="120" t="str">
        <f aca="false">HYPERLINK("#'Project Review'!C3","Open")</f>
        <v>Open</v>
      </c>
      <c r="R17" s="121" t="n">
        <f aca="false">COUNTIFS('All Tasks'!$B$2:$B$404,$A17,'All Tasks'!$I$2:$I$404,"Complete")</f>
        <v>0</v>
      </c>
      <c r="S17" s="121" t="n">
        <f aca="false">COUNTIFS('All Tasks'!$B$2:$B$404,$A17,'All Tasks'!$I$2:$I$404,"In Progress")+COUNTIFS('All Tasks'!$B$2:$B$404,$A17,'All Tasks'!$I$2:$I$404,"Waiting on Someone")</f>
        <v>2</v>
      </c>
      <c r="T17" s="121" t="n">
        <f aca="false">SUMIFS('All Tasks'!$V$2:$V$404,'All Tasks'!$B$2:$B$404,$A17)</f>
        <v>0</v>
      </c>
    </row>
    <row r="18" customFormat="false" ht="22.35" hidden="false" customHeight="false" outlineLevel="0" collapsed="false">
      <c r="A18" s="116" t="s">
        <v>201</v>
      </c>
      <c r="B18" s="117" t="s">
        <v>28</v>
      </c>
      <c r="C18" s="117" t="s">
        <v>101</v>
      </c>
      <c r="D18" s="117" t="s">
        <v>56</v>
      </c>
      <c r="E18" s="117" t="s">
        <v>63</v>
      </c>
      <c r="F18" s="117" t="s">
        <v>102</v>
      </c>
      <c r="G18" s="117" t="s">
        <v>57</v>
      </c>
      <c r="H18" s="32" t="n">
        <f aca="false">COUNTIF('All Tasks'!$B$2:$B$404,$A18)</f>
        <v>1</v>
      </c>
      <c r="I18" s="118" t="str">
        <f aca="false">IF($H18=0,"No Tasks Yet",IF($L18&gt;0,"Blocked",IF($K18&gt;0,"At Risk",IF($R18=$H18,"Complete",IF($S18&gt;0,"In Progress","Not Started")))))</f>
        <v>Not Started</v>
      </c>
      <c r="J18" s="33" t="n">
        <f aca="false">IF($H18=0,"",ROUND(SUMIFS('All Tasks'!$U$2:$U$404,'All Tasks'!$B$2:$B$404,$A18)/$H18,2))</f>
        <v>0</v>
      </c>
      <c r="K18" s="32" t="n">
        <f aca="false">SUMIFS('All Tasks'!$R$2:$R$404,'All Tasks'!$B$2:$B$404,$A18)</f>
        <v>0</v>
      </c>
      <c r="L18" s="32" t="n">
        <f aca="false">COUNTIFS('All Tasks'!$B$2:$B$404,$A18,'All Tasks'!$I$2:$I$404,"Blocked")</f>
        <v>0</v>
      </c>
      <c r="M18" s="117" t="str">
        <f aca="false">IF($H18=0,"",IF($L18&gt;0,$L18&amp;" blocked / "&amp;$K18&amp;" overdue",IF($K18&gt;0,$K18&amp;" overdue task(s)",IF($T18&gt;0,$T18&amp;" roadblock(s) flagged","On track"))))</f>
        <v>On track</v>
      </c>
      <c r="N18" s="119" t="str">
        <f aca="false">IFERROR(minifs('All Tasks'!$L$2:$L$404,'All Tasks'!$B$2:$B$404,$A18,'All Tasks'!$I$2:$I$404,"&lt;&gt;Complete",'All Tasks'!$L$2:$L$404,"&gt;"&amp;(TODAY()-1)),"")</f>
        <v/>
      </c>
      <c r="O18" s="118" t="str">
        <f aca="false">IF($H18=0,"",IF(OR($I18="Blocked",$I18="At Risk"),"R",IF(OR($I18="Complete",$I18="In Progress"),"G","Y")))</f>
        <v>Y</v>
      </c>
      <c r="P18" s="120" t="str">
        <f aca="false">HYPERLINK("#'Project Review'!C3","Open")</f>
        <v>Open</v>
      </c>
      <c r="R18" s="121" t="n">
        <f aca="false">COUNTIFS('All Tasks'!$B$2:$B$404,$A18,'All Tasks'!$I$2:$I$404,"Complete")</f>
        <v>0</v>
      </c>
      <c r="S18" s="121" t="n">
        <f aca="false">COUNTIFS('All Tasks'!$B$2:$B$404,$A18,'All Tasks'!$I$2:$I$404,"In Progress")+COUNTIFS('All Tasks'!$B$2:$B$404,$A18,'All Tasks'!$I$2:$I$404,"Waiting on Someone")</f>
        <v>0</v>
      </c>
      <c r="T18" s="121" t="n">
        <f aca="false">SUMIFS('All Tasks'!$V$2:$V$404,'All Tasks'!$B$2:$B$404,$A18)</f>
        <v>0</v>
      </c>
    </row>
    <row r="19" customFormat="false" ht="22.35" hidden="false" customHeight="false" outlineLevel="0" collapsed="false">
      <c r="A19" s="116" t="s">
        <v>202</v>
      </c>
      <c r="B19" s="117" t="s">
        <v>28</v>
      </c>
      <c r="C19" s="117" t="s">
        <v>103</v>
      </c>
      <c r="D19" s="117" t="s">
        <v>56</v>
      </c>
      <c r="E19" s="117" t="s">
        <v>97</v>
      </c>
      <c r="F19" s="117" t="s">
        <v>104</v>
      </c>
      <c r="G19" s="117" t="s">
        <v>57</v>
      </c>
      <c r="H19" s="32" t="n">
        <f aca="false">COUNTIF('All Tasks'!$B$2:$B$404,$A19)</f>
        <v>1</v>
      </c>
      <c r="I19" s="118" t="str">
        <f aca="false">IF($H19=0,"No Tasks Yet",IF($L19&gt;0,"Blocked",IF($K19&gt;0,"At Risk",IF($R19=$H19,"Complete",IF($S19&gt;0,"In Progress","Not Started")))))</f>
        <v>In Progress</v>
      </c>
      <c r="J19" s="33" t="n">
        <f aca="false">IF($H19=0,"",ROUND(SUMIFS('All Tasks'!$U$2:$U$404,'All Tasks'!$B$2:$B$404,$A19)/$H19,2))</f>
        <v>0.2</v>
      </c>
      <c r="K19" s="32" t="n">
        <f aca="false">SUMIFS('All Tasks'!$R$2:$R$404,'All Tasks'!$B$2:$B$404,$A19)</f>
        <v>0</v>
      </c>
      <c r="L19" s="32" t="n">
        <f aca="false">COUNTIFS('All Tasks'!$B$2:$B$404,$A19,'All Tasks'!$I$2:$I$404,"Blocked")</f>
        <v>0</v>
      </c>
      <c r="M19" s="117" t="str">
        <f aca="false">IF($H19=0,"",IF($L19&gt;0,$L19&amp;" blocked / "&amp;$K19&amp;" overdue",IF($K19&gt;0,$K19&amp;" overdue task(s)",IF($T19&gt;0,$T19&amp;" roadblock(s) flagged","On track"))))</f>
        <v>On track</v>
      </c>
      <c r="N19" s="119" t="str">
        <f aca="false">IFERROR(minifs('All Tasks'!$L$2:$L$404,'All Tasks'!$B$2:$B$404,$A19,'All Tasks'!$I$2:$I$404,"&lt;&gt;Complete",'All Tasks'!$L$2:$L$404,"&gt;"&amp;(TODAY()-1)),"")</f>
        <v/>
      </c>
      <c r="O19" s="118" t="str">
        <f aca="false">IF($H19=0,"",IF(OR($I19="Blocked",$I19="At Risk"),"R",IF(OR($I19="Complete",$I19="In Progress"),"G","Y")))</f>
        <v>G</v>
      </c>
      <c r="P19" s="120" t="str">
        <f aca="false">HYPERLINK("#'Project Review'!C3","Open")</f>
        <v>Open</v>
      </c>
      <c r="R19" s="121" t="n">
        <f aca="false">COUNTIFS('All Tasks'!$B$2:$B$404,$A19,'All Tasks'!$I$2:$I$404,"Complete")</f>
        <v>0</v>
      </c>
      <c r="S19" s="121" t="n">
        <f aca="false">COUNTIFS('All Tasks'!$B$2:$B$404,$A19,'All Tasks'!$I$2:$I$404,"In Progress")+COUNTIFS('All Tasks'!$B$2:$B$404,$A19,'All Tasks'!$I$2:$I$404,"Waiting on Someone")</f>
        <v>1</v>
      </c>
      <c r="T19" s="121" t="n">
        <f aca="false">SUMIFS('All Tasks'!$V$2:$V$404,'All Tasks'!$B$2:$B$404,$A19)</f>
        <v>0</v>
      </c>
    </row>
    <row r="20" customFormat="false" ht="22.35" hidden="false" customHeight="false" outlineLevel="0" collapsed="false">
      <c r="A20" s="116" t="s">
        <v>203</v>
      </c>
      <c r="B20" s="117" t="s">
        <v>28</v>
      </c>
      <c r="C20" s="117" t="s">
        <v>105</v>
      </c>
      <c r="D20" s="117" t="s">
        <v>56</v>
      </c>
      <c r="E20" s="117" t="s">
        <v>97</v>
      </c>
      <c r="F20" s="117" t="s">
        <v>106</v>
      </c>
      <c r="G20" s="117"/>
      <c r="H20" s="32" t="n">
        <f aca="false">COUNTIF('All Tasks'!$B$2:$B$404,$A20)</f>
        <v>0</v>
      </c>
      <c r="I20" s="118" t="str">
        <f aca="false">IF($H20=0,"No Tasks Yet",IF($L20&gt;0,"Blocked",IF($K20&gt;0,"At Risk",IF($R20=$H20,"Complete",IF($S20&gt;0,"In Progress","Not Started")))))</f>
        <v>No Tasks Yet</v>
      </c>
      <c r="J20" s="33" t="str">
        <f aca="false">IF($H20=0,"",ROUND(SUMIFS('All Tasks'!$U$2:$U$404,'All Tasks'!$B$2:$B$404,$A20)/$H20,2))</f>
        <v/>
      </c>
      <c r="K20" s="32" t="n">
        <f aca="false">SUMIFS('All Tasks'!$R$2:$R$404,'All Tasks'!$B$2:$B$404,$A20)</f>
        <v>0</v>
      </c>
      <c r="L20" s="32" t="n">
        <f aca="false">COUNTIFS('All Tasks'!$B$2:$B$404,$A20,'All Tasks'!$I$2:$I$404,"Blocked")</f>
        <v>0</v>
      </c>
      <c r="M20" s="117" t="str">
        <f aca="false">IF($H20=0,"",IF($L20&gt;0,$L20&amp;" blocked / "&amp;$K20&amp;" overdue",IF($K20&gt;0,$K20&amp;" overdue task(s)",IF($T20&gt;0,$T20&amp;" roadblock(s) flagged","On track"))))</f>
        <v/>
      </c>
      <c r="N20" s="119" t="str">
        <f aca="false">IFERROR(minifs('All Tasks'!$L$2:$L$404,'All Tasks'!$B$2:$B$404,$A20,'All Tasks'!$I$2:$I$404,"&lt;&gt;Complete",'All Tasks'!$L$2:$L$404,"&gt;"&amp;(TODAY()-1)),"")</f>
        <v/>
      </c>
      <c r="O20" s="118" t="str">
        <f aca="false">IF($H20=0,"",IF(OR($I20="Blocked",$I20="At Risk"),"R",IF(OR($I20="Complete",$I20="In Progress"),"G","Y")))</f>
        <v/>
      </c>
      <c r="P20" s="120" t="str">
        <f aca="false">HYPERLINK("#'Project Review'!C3","Open")</f>
        <v>Open</v>
      </c>
      <c r="R20" s="121" t="n">
        <f aca="false">COUNTIFS('All Tasks'!$B$2:$B$404,$A20,'All Tasks'!$I$2:$I$404,"Complete")</f>
        <v>0</v>
      </c>
      <c r="S20" s="121" t="n">
        <f aca="false">COUNTIFS('All Tasks'!$B$2:$B$404,$A20,'All Tasks'!$I$2:$I$404,"In Progress")+COUNTIFS('All Tasks'!$B$2:$B$404,$A20,'All Tasks'!$I$2:$I$404,"Waiting on Someone")</f>
        <v>0</v>
      </c>
      <c r="T20" s="121" t="n">
        <f aca="false">SUMIFS('All Tasks'!$V$2:$V$404,'All Tasks'!$B$2:$B$404,$A20)</f>
        <v>0</v>
      </c>
    </row>
    <row r="21" customFormat="false" ht="22.35" hidden="false" customHeight="false" outlineLevel="0" collapsed="false">
      <c r="A21" s="116" t="s">
        <v>204</v>
      </c>
      <c r="B21" s="117" t="s">
        <v>28</v>
      </c>
      <c r="C21" s="117" t="s">
        <v>107</v>
      </c>
      <c r="D21" s="117" t="s">
        <v>56</v>
      </c>
      <c r="E21" s="117" t="s">
        <v>63</v>
      </c>
      <c r="F21" s="117" t="s">
        <v>108</v>
      </c>
      <c r="G21" s="117"/>
      <c r="H21" s="32" t="n">
        <f aca="false">COUNTIF('All Tasks'!$B$2:$B$404,$A21)</f>
        <v>0</v>
      </c>
      <c r="I21" s="118" t="str">
        <f aca="false">IF($H21=0,"No Tasks Yet",IF($L21&gt;0,"Blocked",IF($K21&gt;0,"At Risk",IF($R21=$H21,"Complete",IF($S21&gt;0,"In Progress","Not Started")))))</f>
        <v>No Tasks Yet</v>
      </c>
      <c r="J21" s="33" t="str">
        <f aca="false">IF($H21=0,"",ROUND(SUMIFS('All Tasks'!$U$2:$U$404,'All Tasks'!$B$2:$B$404,$A21)/$H21,2))</f>
        <v/>
      </c>
      <c r="K21" s="32" t="n">
        <f aca="false">SUMIFS('All Tasks'!$R$2:$R$404,'All Tasks'!$B$2:$B$404,$A21)</f>
        <v>0</v>
      </c>
      <c r="L21" s="32" t="n">
        <f aca="false">COUNTIFS('All Tasks'!$B$2:$B$404,$A21,'All Tasks'!$I$2:$I$404,"Blocked")</f>
        <v>0</v>
      </c>
      <c r="M21" s="117" t="str">
        <f aca="false">IF($H21=0,"",IF($L21&gt;0,$L21&amp;" blocked / "&amp;$K21&amp;" overdue",IF($K21&gt;0,$K21&amp;" overdue task(s)",IF($T21&gt;0,$T21&amp;" roadblock(s) flagged","On track"))))</f>
        <v/>
      </c>
      <c r="N21" s="119" t="str">
        <f aca="false">IFERROR(minifs('All Tasks'!$L$2:$L$404,'All Tasks'!$B$2:$B$404,$A21,'All Tasks'!$I$2:$I$404,"&lt;&gt;Complete",'All Tasks'!$L$2:$L$404,"&gt;"&amp;(TODAY()-1)),"")</f>
        <v/>
      </c>
      <c r="O21" s="118" t="str">
        <f aca="false">IF($H21=0,"",IF(OR($I21="Blocked",$I21="At Risk"),"R",IF(OR($I21="Complete",$I21="In Progress"),"G","Y")))</f>
        <v/>
      </c>
      <c r="P21" s="120" t="str">
        <f aca="false">HYPERLINK("#'Project Review'!C3","Open")</f>
        <v>Open</v>
      </c>
      <c r="R21" s="121" t="n">
        <f aca="false">COUNTIFS('All Tasks'!$B$2:$B$404,$A21,'All Tasks'!$I$2:$I$404,"Complete")</f>
        <v>0</v>
      </c>
      <c r="S21" s="121" t="n">
        <f aca="false">COUNTIFS('All Tasks'!$B$2:$B$404,$A21,'All Tasks'!$I$2:$I$404,"In Progress")+COUNTIFS('All Tasks'!$B$2:$B$404,$A21,'All Tasks'!$I$2:$I$404,"Waiting on Someone")</f>
        <v>0</v>
      </c>
      <c r="T21" s="121" t="n">
        <f aca="false">SUMIFS('All Tasks'!$V$2:$V$404,'All Tasks'!$B$2:$B$404,$A21)</f>
        <v>0</v>
      </c>
    </row>
    <row r="22" customFormat="false" ht="22.35" hidden="false" customHeight="false" outlineLevel="0" collapsed="false">
      <c r="A22" s="116" t="s">
        <v>205</v>
      </c>
      <c r="B22" s="117" t="s">
        <v>28</v>
      </c>
      <c r="C22" s="117" t="s">
        <v>109</v>
      </c>
      <c r="D22" s="117" t="s">
        <v>56</v>
      </c>
      <c r="E22" s="117" t="s">
        <v>63</v>
      </c>
      <c r="F22" s="117" t="s">
        <v>110</v>
      </c>
      <c r="G22" s="117" t="s">
        <v>57</v>
      </c>
      <c r="H22" s="32" t="n">
        <f aca="false">COUNTIF('All Tasks'!$B$2:$B$404,$A22)</f>
        <v>0</v>
      </c>
      <c r="I22" s="118" t="str">
        <f aca="false">IF($H22=0,"No Tasks Yet",IF($L22&gt;0,"Blocked",IF($K22&gt;0,"At Risk",IF($R22=$H22,"Complete",IF($S22&gt;0,"In Progress","Not Started")))))</f>
        <v>No Tasks Yet</v>
      </c>
      <c r="J22" s="33" t="str">
        <f aca="false">IF($H22=0,"",ROUND(SUMIFS('All Tasks'!$U$2:$U$404,'All Tasks'!$B$2:$B$404,$A22)/$H22,2))</f>
        <v/>
      </c>
      <c r="K22" s="32" t="n">
        <f aca="false">SUMIFS('All Tasks'!$R$2:$R$404,'All Tasks'!$B$2:$B$404,$A22)</f>
        <v>0</v>
      </c>
      <c r="L22" s="32" t="n">
        <f aca="false">COUNTIFS('All Tasks'!$B$2:$B$404,$A22,'All Tasks'!$I$2:$I$404,"Blocked")</f>
        <v>0</v>
      </c>
      <c r="M22" s="117" t="str">
        <f aca="false">IF($H22=0,"",IF($L22&gt;0,$L22&amp;" blocked / "&amp;$K22&amp;" overdue",IF($K22&gt;0,$K22&amp;" overdue task(s)",IF($T22&gt;0,$T22&amp;" roadblock(s) flagged","On track"))))</f>
        <v/>
      </c>
      <c r="N22" s="119" t="str">
        <f aca="false">IFERROR(minifs('All Tasks'!$L$2:$L$404,'All Tasks'!$B$2:$B$404,$A22,'All Tasks'!$I$2:$I$404,"&lt;&gt;Complete",'All Tasks'!$L$2:$L$404,"&gt;"&amp;(TODAY()-1)),"")</f>
        <v/>
      </c>
      <c r="O22" s="118" t="str">
        <f aca="false">IF($H22=0,"",IF(OR($I22="Blocked",$I22="At Risk"),"R",IF(OR($I22="Complete",$I22="In Progress"),"G","Y")))</f>
        <v/>
      </c>
      <c r="P22" s="120" t="str">
        <f aca="false">HYPERLINK("#'Project Review'!C3","Open")</f>
        <v>Open</v>
      </c>
      <c r="R22" s="121" t="n">
        <f aca="false">COUNTIFS('All Tasks'!$B$2:$B$404,$A22,'All Tasks'!$I$2:$I$404,"Complete")</f>
        <v>0</v>
      </c>
      <c r="S22" s="121" t="n">
        <f aca="false">COUNTIFS('All Tasks'!$B$2:$B$404,$A22,'All Tasks'!$I$2:$I$404,"In Progress")+COUNTIFS('All Tasks'!$B$2:$B$404,$A22,'All Tasks'!$I$2:$I$404,"Waiting on Someone")</f>
        <v>0</v>
      </c>
      <c r="T22" s="121" t="n">
        <f aca="false">SUMIFS('All Tasks'!$V$2:$V$404,'All Tasks'!$B$2:$B$404,$A22)</f>
        <v>0</v>
      </c>
    </row>
    <row r="23" customFormat="false" ht="32.8" hidden="false" customHeight="false" outlineLevel="0" collapsed="false">
      <c r="A23" s="116" t="s">
        <v>206</v>
      </c>
      <c r="B23" s="117" t="s">
        <v>30</v>
      </c>
      <c r="C23" s="117" t="s">
        <v>112</v>
      </c>
      <c r="D23" s="117" t="s">
        <v>56</v>
      </c>
      <c r="E23" s="117" t="s">
        <v>113</v>
      </c>
      <c r="F23" s="117" t="s">
        <v>114</v>
      </c>
      <c r="G23" s="117" t="s">
        <v>57</v>
      </c>
      <c r="H23" s="32" t="n">
        <f aca="false">COUNTIF('All Tasks'!$B$2:$B$404,$A23)</f>
        <v>0</v>
      </c>
      <c r="I23" s="118" t="str">
        <f aca="false">IF($H23=0,"No Tasks Yet",IF($L23&gt;0,"Blocked",IF($K23&gt;0,"At Risk",IF($R23=$H23,"Complete",IF($S23&gt;0,"In Progress","Not Started")))))</f>
        <v>No Tasks Yet</v>
      </c>
      <c r="J23" s="33" t="str">
        <f aca="false">IF($H23=0,"",ROUND(SUMIFS('All Tasks'!$U$2:$U$404,'All Tasks'!$B$2:$B$404,$A23)/$H23,2))</f>
        <v/>
      </c>
      <c r="K23" s="32" t="n">
        <f aca="false">SUMIFS('All Tasks'!$R$2:$R$404,'All Tasks'!$B$2:$B$404,$A23)</f>
        <v>0</v>
      </c>
      <c r="L23" s="32" t="n">
        <f aca="false">COUNTIFS('All Tasks'!$B$2:$B$404,$A23,'All Tasks'!$I$2:$I$404,"Blocked")</f>
        <v>0</v>
      </c>
      <c r="M23" s="117" t="str">
        <f aca="false">IF($H23=0,"",IF($L23&gt;0,$L23&amp;" blocked / "&amp;$K23&amp;" overdue",IF($K23&gt;0,$K23&amp;" overdue task(s)",IF($T23&gt;0,$T23&amp;" roadblock(s) flagged","On track"))))</f>
        <v/>
      </c>
      <c r="N23" s="119" t="str">
        <f aca="false">IFERROR(minifs('All Tasks'!$L$2:$L$404,'All Tasks'!$B$2:$B$404,$A23,'All Tasks'!$I$2:$I$404,"&lt;&gt;Complete",'All Tasks'!$L$2:$L$404,"&gt;"&amp;(TODAY()-1)),"")</f>
        <v/>
      </c>
      <c r="O23" s="118" t="str">
        <f aca="false">IF($H23=0,"",IF(OR($I23="Blocked",$I23="At Risk"),"R",IF(OR($I23="Complete",$I23="In Progress"),"G","Y")))</f>
        <v/>
      </c>
      <c r="P23" s="120" t="str">
        <f aca="false">HYPERLINK("#'Project Review'!C3","Open")</f>
        <v>Open</v>
      </c>
      <c r="R23" s="121" t="n">
        <f aca="false">COUNTIFS('All Tasks'!$B$2:$B$404,$A23,'All Tasks'!$I$2:$I$404,"Complete")</f>
        <v>0</v>
      </c>
      <c r="S23" s="121" t="n">
        <f aca="false">COUNTIFS('All Tasks'!$B$2:$B$404,$A23,'All Tasks'!$I$2:$I$404,"In Progress")+COUNTIFS('All Tasks'!$B$2:$B$404,$A23,'All Tasks'!$I$2:$I$404,"Waiting on Someone")</f>
        <v>0</v>
      </c>
      <c r="T23" s="121" t="n">
        <f aca="false">SUMIFS('All Tasks'!$V$2:$V$404,'All Tasks'!$B$2:$B$404,$A23)</f>
        <v>0</v>
      </c>
    </row>
    <row r="24" customFormat="false" ht="22.35" hidden="false" customHeight="false" outlineLevel="0" collapsed="false">
      <c r="A24" s="116" t="s">
        <v>207</v>
      </c>
      <c r="B24" s="117" t="s">
        <v>30</v>
      </c>
      <c r="C24" s="117" t="s">
        <v>115</v>
      </c>
      <c r="D24" s="117" t="s">
        <v>56</v>
      </c>
      <c r="E24" s="117" t="s">
        <v>113</v>
      </c>
      <c r="F24" s="117" t="s">
        <v>116</v>
      </c>
      <c r="G24" s="117" t="s">
        <v>57</v>
      </c>
      <c r="H24" s="32" t="n">
        <f aca="false">COUNTIF('All Tasks'!$B$2:$B$404,$A24)</f>
        <v>0</v>
      </c>
      <c r="I24" s="118" t="str">
        <f aca="false">IF($H24=0,"No Tasks Yet",IF($L24&gt;0,"Blocked",IF($K24&gt;0,"At Risk",IF($R24=$H24,"Complete",IF($S24&gt;0,"In Progress","Not Started")))))</f>
        <v>No Tasks Yet</v>
      </c>
      <c r="J24" s="33" t="str">
        <f aca="false">IF($H24=0,"",ROUND(SUMIFS('All Tasks'!$U$2:$U$404,'All Tasks'!$B$2:$B$404,$A24)/$H24,2))</f>
        <v/>
      </c>
      <c r="K24" s="32" t="n">
        <f aca="false">SUMIFS('All Tasks'!$R$2:$R$404,'All Tasks'!$B$2:$B$404,$A24)</f>
        <v>0</v>
      </c>
      <c r="L24" s="32" t="n">
        <f aca="false">COUNTIFS('All Tasks'!$B$2:$B$404,$A24,'All Tasks'!$I$2:$I$404,"Blocked")</f>
        <v>0</v>
      </c>
      <c r="M24" s="117" t="str">
        <f aca="false">IF($H24=0,"",IF($L24&gt;0,$L24&amp;" blocked / "&amp;$K24&amp;" overdue",IF($K24&gt;0,$K24&amp;" overdue task(s)",IF($T24&gt;0,$T24&amp;" roadblock(s) flagged","On track"))))</f>
        <v/>
      </c>
      <c r="N24" s="119" t="str">
        <f aca="false">IFERROR(minifs('All Tasks'!$L$2:$L$404,'All Tasks'!$B$2:$B$404,$A24,'All Tasks'!$I$2:$I$404,"&lt;&gt;Complete",'All Tasks'!$L$2:$L$404,"&gt;"&amp;(TODAY()-1)),"")</f>
        <v/>
      </c>
      <c r="O24" s="118" t="str">
        <f aca="false">IF($H24=0,"",IF(OR($I24="Blocked",$I24="At Risk"),"R",IF(OR($I24="Complete",$I24="In Progress"),"G","Y")))</f>
        <v/>
      </c>
      <c r="P24" s="120" t="str">
        <f aca="false">HYPERLINK("#'Project Review'!C3","Open")</f>
        <v>Open</v>
      </c>
      <c r="R24" s="121" t="n">
        <f aca="false">COUNTIFS('All Tasks'!$B$2:$B$404,$A24,'All Tasks'!$I$2:$I$404,"Complete")</f>
        <v>0</v>
      </c>
      <c r="S24" s="121" t="n">
        <f aca="false">COUNTIFS('All Tasks'!$B$2:$B$404,$A24,'All Tasks'!$I$2:$I$404,"In Progress")+COUNTIFS('All Tasks'!$B$2:$B$404,$A24,'All Tasks'!$I$2:$I$404,"Waiting on Someone")</f>
        <v>0</v>
      </c>
      <c r="T24" s="121" t="n">
        <f aca="false">SUMIFS('All Tasks'!$V$2:$V$404,'All Tasks'!$B$2:$B$404,$A24)</f>
        <v>0</v>
      </c>
    </row>
    <row r="25" customFormat="false" ht="22.35" hidden="false" customHeight="false" outlineLevel="0" collapsed="false">
      <c r="A25" s="116" t="s">
        <v>208</v>
      </c>
      <c r="B25" s="117" t="s">
        <v>30</v>
      </c>
      <c r="C25" s="117" t="s">
        <v>117</v>
      </c>
      <c r="D25" s="117" t="s">
        <v>56</v>
      </c>
      <c r="E25" s="117" t="s">
        <v>118</v>
      </c>
      <c r="F25" s="117" t="s">
        <v>120</v>
      </c>
      <c r="G25" s="117" t="s">
        <v>119</v>
      </c>
      <c r="H25" s="32" t="n">
        <f aca="false">COUNTIF('All Tasks'!$B$2:$B$404,$A25)</f>
        <v>0</v>
      </c>
      <c r="I25" s="118" t="str">
        <f aca="false">IF($H25=0,"No Tasks Yet",IF($L25&gt;0,"Blocked",IF($K25&gt;0,"At Risk",IF($R25=$H25,"Complete",IF($S25&gt;0,"In Progress","Not Started")))))</f>
        <v>No Tasks Yet</v>
      </c>
      <c r="J25" s="33" t="str">
        <f aca="false">IF($H25=0,"",ROUND(SUMIFS('All Tasks'!$U$2:$U$404,'All Tasks'!$B$2:$B$404,$A25)/$H25,2))</f>
        <v/>
      </c>
      <c r="K25" s="32" t="n">
        <f aca="false">SUMIFS('All Tasks'!$R$2:$R$404,'All Tasks'!$B$2:$B$404,$A25)</f>
        <v>0</v>
      </c>
      <c r="L25" s="32" t="n">
        <f aca="false">COUNTIFS('All Tasks'!$B$2:$B$404,$A25,'All Tasks'!$I$2:$I$404,"Blocked")</f>
        <v>0</v>
      </c>
      <c r="M25" s="117" t="str">
        <f aca="false">IF($H25=0,"",IF($L25&gt;0,$L25&amp;" blocked / "&amp;$K25&amp;" overdue",IF($K25&gt;0,$K25&amp;" overdue task(s)",IF($T25&gt;0,$T25&amp;" roadblock(s) flagged","On track"))))</f>
        <v/>
      </c>
      <c r="N25" s="119" t="str">
        <f aca="false">IFERROR(minifs('All Tasks'!$L$2:$L$404,'All Tasks'!$B$2:$B$404,$A25,'All Tasks'!$I$2:$I$404,"&lt;&gt;Complete",'All Tasks'!$L$2:$L$404,"&gt;"&amp;(TODAY()-1)),"")</f>
        <v/>
      </c>
      <c r="O25" s="118" t="str">
        <f aca="false">IF($H25=0,"",IF(OR($I25="Blocked",$I25="At Risk"),"R",IF(OR($I25="Complete",$I25="In Progress"),"G","Y")))</f>
        <v/>
      </c>
      <c r="P25" s="120" t="str">
        <f aca="false">HYPERLINK("#'Project Review'!C3","Open")</f>
        <v>Open</v>
      </c>
      <c r="R25" s="121" t="n">
        <f aca="false">COUNTIFS('All Tasks'!$B$2:$B$404,$A25,'All Tasks'!$I$2:$I$404,"Complete")</f>
        <v>0</v>
      </c>
      <c r="S25" s="121" t="n">
        <f aca="false">COUNTIFS('All Tasks'!$B$2:$B$404,$A25,'All Tasks'!$I$2:$I$404,"In Progress")+COUNTIFS('All Tasks'!$B$2:$B$404,$A25,'All Tasks'!$I$2:$I$404,"Waiting on Someone")</f>
        <v>0</v>
      </c>
      <c r="T25" s="121" t="n">
        <f aca="false">SUMIFS('All Tasks'!$V$2:$V$404,'All Tasks'!$B$2:$B$404,$A25)</f>
        <v>0</v>
      </c>
    </row>
    <row r="26" customFormat="false" ht="22.35" hidden="false" customHeight="false" outlineLevel="0" collapsed="false">
      <c r="A26" s="116" t="s">
        <v>209</v>
      </c>
      <c r="B26" s="117" t="s">
        <v>30</v>
      </c>
      <c r="C26" s="117" t="s">
        <v>121</v>
      </c>
      <c r="D26" s="117" t="s">
        <v>56</v>
      </c>
      <c r="E26" s="117" t="s">
        <v>113</v>
      </c>
      <c r="F26" s="117" t="s">
        <v>122</v>
      </c>
      <c r="G26" s="117" t="s">
        <v>57</v>
      </c>
      <c r="H26" s="32" t="n">
        <f aca="false">COUNTIF('All Tasks'!$B$2:$B$404,$A26)</f>
        <v>0</v>
      </c>
      <c r="I26" s="118" t="str">
        <f aca="false">IF($H26=0,"No Tasks Yet",IF($L26&gt;0,"Blocked",IF($K26&gt;0,"At Risk",IF($R26=$H26,"Complete",IF($S26&gt;0,"In Progress","Not Started")))))</f>
        <v>No Tasks Yet</v>
      </c>
      <c r="J26" s="33" t="str">
        <f aca="false">IF($H26=0,"",ROUND(SUMIFS('All Tasks'!$U$2:$U$404,'All Tasks'!$B$2:$B$404,$A26)/$H26,2))</f>
        <v/>
      </c>
      <c r="K26" s="32" t="n">
        <f aca="false">SUMIFS('All Tasks'!$R$2:$R$404,'All Tasks'!$B$2:$B$404,$A26)</f>
        <v>0</v>
      </c>
      <c r="L26" s="32" t="n">
        <f aca="false">COUNTIFS('All Tasks'!$B$2:$B$404,$A26,'All Tasks'!$I$2:$I$404,"Blocked")</f>
        <v>0</v>
      </c>
      <c r="M26" s="117" t="str">
        <f aca="false">IF($H26=0,"",IF($L26&gt;0,$L26&amp;" blocked / "&amp;$K26&amp;" overdue",IF($K26&gt;0,$K26&amp;" overdue task(s)",IF($T26&gt;0,$T26&amp;" roadblock(s) flagged","On track"))))</f>
        <v/>
      </c>
      <c r="N26" s="119" t="str">
        <f aca="false">IFERROR(minifs('All Tasks'!$L$2:$L$404,'All Tasks'!$B$2:$B$404,$A26,'All Tasks'!$I$2:$I$404,"&lt;&gt;Complete",'All Tasks'!$L$2:$L$404,"&gt;"&amp;(TODAY()-1)),"")</f>
        <v/>
      </c>
      <c r="O26" s="118" t="str">
        <f aca="false">IF($H26=0,"",IF(OR($I26="Blocked",$I26="At Risk"),"R",IF(OR($I26="Complete",$I26="In Progress"),"G","Y")))</f>
        <v/>
      </c>
      <c r="P26" s="120" t="str">
        <f aca="false">HYPERLINK("#'Project Review'!C3","Open")</f>
        <v>Open</v>
      </c>
      <c r="R26" s="121" t="n">
        <f aca="false">COUNTIFS('All Tasks'!$B$2:$B$404,$A26,'All Tasks'!$I$2:$I$404,"Complete")</f>
        <v>0</v>
      </c>
      <c r="S26" s="121" t="n">
        <f aca="false">COUNTIFS('All Tasks'!$B$2:$B$404,$A26,'All Tasks'!$I$2:$I$404,"In Progress")+COUNTIFS('All Tasks'!$B$2:$B$404,$A26,'All Tasks'!$I$2:$I$404,"Waiting on Someone")</f>
        <v>0</v>
      </c>
      <c r="T26" s="121" t="n">
        <f aca="false">SUMIFS('All Tasks'!$V$2:$V$404,'All Tasks'!$B$2:$B$404,$A26)</f>
        <v>0</v>
      </c>
    </row>
    <row r="27" customFormat="false" ht="22.35" hidden="false" customHeight="false" outlineLevel="0" collapsed="false">
      <c r="A27" s="116" t="s">
        <v>210</v>
      </c>
      <c r="B27" s="117" t="s">
        <v>30</v>
      </c>
      <c r="C27" s="117" t="s">
        <v>123</v>
      </c>
      <c r="D27" s="117" t="s">
        <v>56</v>
      </c>
      <c r="E27" s="117" t="s">
        <v>124</v>
      </c>
      <c r="F27" s="117" t="s">
        <v>125</v>
      </c>
      <c r="G27" s="117" t="s">
        <v>57</v>
      </c>
      <c r="H27" s="32" t="n">
        <f aca="false">COUNTIF('All Tasks'!$B$2:$B$404,$A27)</f>
        <v>0</v>
      </c>
      <c r="I27" s="118" t="str">
        <f aca="false">IF($H27=0,"No Tasks Yet",IF($L27&gt;0,"Blocked",IF($K27&gt;0,"At Risk",IF($R27=$H27,"Complete",IF($S27&gt;0,"In Progress","Not Started")))))</f>
        <v>No Tasks Yet</v>
      </c>
      <c r="J27" s="33" t="str">
        <f aca="false">IF($H27=0,"",ROUND(SUMIFS('All Tasks'!$U$2:$U$404,'All Tasks'!$B$2:$B$404,$A27)/$H27,2))</f>
        <v/>
      </c>
      <c r="K27" s="32" t="n">
        <f aca="false">SUMIFS('All Tasks'!$R$2:$R$404,'All Tasks'!$B$2:$B$404,$A27)</f>
        <v>0</v>
      </c>
      <c r="L27" s="32" t="n">
        <f aca="false">COUNTIFS('All Tasks'!$B$2:$B$404,$A27,'All Tasks'!$I$2:$I$404,"Blocked")</f>
        <v>0</v>
      </c>
      <c r="M27" s="117" t="str">
        <f aca="false">IF($H27=0,"",IF($L27&gt;0,$L27&amp;" blocked / "&amp;$K27&amp;" overdue",IF($K27&gt;0,$K27&amp;" overdue task(s)",IF($T27&gt;0,$T27&amp;" roadblock(s) flagged","On track"))))</f>
        <v/>
      </c>
      <c r="N27" s="119" t="str">
        <f aca="false">IFERROR(minifs('All Tasks'!$L$2:$L$404,'All Tasks'!$B$2:$B$404,$A27,'All Tasks'!$I$2:$I$404,"&lt;&gt;Complete",'All Tasks'!$L$2:$L$404,"&gt;"&amp;(TODAY()-1)),"")</f>
        <v/>
      </c>
      <c r="O27" s="118" t="str">
        <f aca="false">IF($H27=0,"",IF(OR($I27="Blocked",$I27="At Risk"),"R",IF(OR($I27="Complete",$I27="In Progress"),"G","Y")))</f>
        <v/>
      </c>
      <c r="P27" s="120" t="str">
        <f aca="false">HYPERLINK("#'Project Review'!C3","Open")</f>
        <v>Open</v>
      </c>
      <c r="R27" s="121" t="n">
        <f aca="false">COUNTIFS('All Tasks'!$B$2:$B$404,$A27,'All Tasks'!$I$2:$I$404,"Complete")</f>
        <v>0</v>
      </c>
      <c r="S27" s="121" t="n">
        <f aca="false">COUNTIFS('All Tasks'!$B$2:$B$404,$A27,'All Tasks'!$I$2:$I$404,"In Progress")+COUNTIFS('All Tasks'!$B$2:$B$404,$A27,'All Tasks'!$I$2:$I$404,"Waiting on Someone")</f>
        <v>0</v>
      </c>
      <c r="T27" s="121" t="n">
        <f aca="false">SUMIFS('All Tasks'!$V$2:$V$404,'All Tasks'!$B$2:$B$404,$A27)</f>
        <v>0</v>
      </c>
    </row>
    <row r="28" customFormat="false" ht="22.35" hidden="false" customHeight="false" outlineLevel="0" collapsed="false">
      <c r="A28" s="116" t="s">
        <v>211</v>
      </c>
      <c r="B28" s="117" t="s">
        <v>30</v>
      </c>
      <c r="C28" s="117" t="s">
        <v>126</v>
      </c>
      <c r="D28" s="117" t="s">
        <v>56</v>
      </c>
      <c r="E28" s="117" t="s">
        <v>127</v>
      </c>
      <c r="F28" s="117" t="s">
        <v>128</v>
      </c>
      <c r="G28" s="117" t="s">
        <v>71</v>
      </c>
      <c r="H28" s="32" t="n">
        <f aca="false">COUNTIF('All Tasks'!$B$2:$B$404,$A28)</f>
        <v>1</v>
      </c>
      <c r="I28" s="118" t="str">
        <f aca="false">IF($H28=0,"No Tasks Yet",IF($L28&gt;0,"Blocked",IF($K28&gt;0,"At Risk",IF($R28=$H28,"Complete",IF($S28&gt;0,"In Progress","Not Started")))))</f>
        <v>In Progress</v>
      </c>
      <c r="J28" s="33" t="n">
        <f aca="false">IF($H28=0,"",ROUND(SUMIFS('All Tasks'!$U$2:$U$404,'All Tasks'!$B$2:$B$404,$A28)/$H28,2))</f>
        <v>0.3</v>
      </c>
      <c r="K28" s="32" t="n">
        <f aca="false">SUMIFS('All Tasks'!$R$2:$R$404,'All Tasks'!$B$2:$B$404,$A28)</f>
        <v>0</v>
      </c>
      <c r="L28" s="32" t="n">
        <f aca="false">COUNTIFS('All Tasks'!$B$2:$B$404,$A28,'All Tasks'!$I$2:$I$404,"Blocked")</f>
        <v>0</v>
      </c>
      <c r="M28" s="117" t="str">
        <f aca="false">IF($H28=0,"",IF($L28&gt;0,$L28&amp;" blocked / "&amp;$K28&amp;" overdue",IF($K28&gt;0,$K28&amp;" overdue task(s)",IF($T28&gt;0,$T28&amp;" roadblock(s) flagged","On track"))))</f>
        <v>On track</v>
      </c>
      <c r="N28" s="119" t="str">
        <f aca="false">IFERROR(minifs('All Tasks'!$L$2:$L$404,'All Tasks'!$B$2:$B$404,$A28,'All Tasks'!$I$2:$I$404,"&lt;&gt;Complete",'All Tasks'!$L$2:$L$404,"&gt;"&amp;(TODAY()-1)),"")</f>
        <v/>
      </c>
      <c r="O28" s="118" t="str">
        <f aca="false">IF($H28=0,"",IF(OR($I28="Blocked",$I28="At Risk"),"R",IF(OR($I28="Complete",$I28="In Progress"),"G","Y")))</f>
        <v>G</v>
      </c>
      <c r="P28" s="120" t="str">
        <f aca="false">HYPERLINK("#'Project Review'!C3","Open")</f>
        <v>Open</v>
      </c>
      <c r="R28" s="121" t="n">
        <f aca="false">COUNTIFS('All Tasks'!$B$2:$B$404,$A28,'All Tasks'!$I$2:$I$404,"Complete")</f>
        <v>0</v>
      </c>
      <c r="S28" s="121" t="n">
        <f aca="false">COUNTIFS('All Tasks'!$B$2:$B$404,$A28,'All Tasks'!$I$2:$I$404,"In Progress")+COUNTIFS('All Tasks'!$B$2:$B$404,$A28,'All Tasks'!$I$2:$I$404,"Waiting on Someone")</f>
        <v>1</v>
      </c>
      <c r="T28" s="121" t="n">
        <f aca="false">SUMIFS('All Tasks'!$V$2:$V$404,'All Tasks'!$B$2:$B$404,$A28)</f>
        <v>0</v>
      </c>
    </row>
    <row r="29" customFormat="false" ht="22.35" hidden="false" customHeight="false" outlineLevel="0" collapsed="false">
      <c r="A29" s="116" t="s">
        <v>212</v>
      </c>
      <c r="B29" s="117" t="s">
        <v>30</v>
      </c>
      <c r="C29" s="117" t="s">
        <v>129</v>
      </c>
      <c r="D29" s="117" t="s">
        <v>56</v>
      </c>
      <c r="E29" s="117" t="s">
        <v>130</v>
      </c>
      <c r="F29" s="117" t="s">
        <v>131</v>
      </c>
      <c r="G29" s="117" t="s">
        <v>119</v>
      </c>
      <c r="H29" s="32" t="n">
        <f aca="false">COUNTIF('All Tasks'!$B$2:$B$404,$A29)</f>
        <v>1</v>
      </c>
      <c r="I29" s="118" t="str">
        <f aca="false">IF($H29=0,"No Tasks Yet",IF($L29&gt;0,"Blocked",IF($K29&gt;0,"At Risk",IF($R29=$H29,"Complete",IF($S29&gt;0,"In Progress","Not Started")))))</f>
        <v>In Progress</v>
      </c>
      <c r="J29" s="33" t="n">
        <f aca="false">IF($H29=0,"",ROUND(SUMIFS('All Tasks'!$U$2:$U$404,'All Tasks'!$B$2:$B$404,$A29)/$H29,2))</f>
        <v>0.2</v>
      </c>
      <c r="K29" s="32" t="n">
        <f aca="false">SUMIFS('All Tasks'!$R$2:$R$404,'All Tasks'!$B$2:$B$404,$A29)</f>
        <v>0</v>
      </c>
      <c r="L29" s="32" t="n">
        <f aca="false">COUNTIFS('All Tasks'!$B$2:$B$404,$A29,'All Tasks'!$I$2:$I$404,"Blocked")</f>
        <v>0</v>
      </c>
      <c r="M29" s="117" t="str">
        <f aca="false">IF($H29=0,"",IF($L29&gt;0,$L29&amp;" blocked / "&amp;$K29&amp;" overdue",IF($K29&gt;0,$K29&amp;" overdue task(s)",IF($T29&gt;0,$T29&amp;" roadblock(s) flagged","On track"))))</f>
        <v>1 roadblock(s) flagged</v>
      </c>
      <c r="N29" s="119" t="str">
        <f aca="false">IFERROR(minifs('All Tasks'!$L$2:$L$404,'All Tasks'!$B$2:$B$404,$A29,'All Tasks'!$I$2:$I$404,"&lt;&gt;Complete",'All Tasks'!$L$2:$L$404,"&gt;"&amp;(TODAY()-1)),"")</f>
        <v/>
      </c>
      <c r="O29" s="118" t="str">
        <f aca="false">IF($H29=0,"",IF(OR($I29="Blocked",$I29="At Risk"),"R",IF(OR($I29="Complete",$I29="In Progress"),"G","Y")))</f>
        <v>G</v>
      </c>
      <c r="P29" s="120" t="str">
        <f aca="false">HYPERLINK("#'Project Review'!C3","Open")</f>
        <v>Open</v>
      </c>
      <c r="R29" s="121" t="n">
        <f aca="false">COUNTIFS('All Tasks'!$B$2:$B$404,$A29,'All Tasks'!$I$2:$I$404,"Complete")</f>
        <v>0</v>
      </c>
      <c r="S29" s="121" t="n">
        <f aca="false">COUNTIFS('All Tasks'!$B$2:$B$404,$A29,'All Tasks'!$I$2:$I$404,"In Progress")+COUNTIFS('All Tasks'!$B$2:$B$404,$A29,'All Tasks'!$I$2:$I$404,"Waiting on Someone")</f>
        <v>1</v>
      </c>
      <c r="T29" s="121" t="n">
        <f aca="false">SUMIFS('All Tasks'!$V$2:$V$404,'All Tasks'!$B$2:$B$404,$A29)</f>
        <v>1</v>
      </c>
    </row>
    <row r="30" customFormat="false" ht="22.35" hidden="false" customHeight="false" outlineLevel="0" collapsed="false">
      <c r="A30" s="116" t="s">
        <v>213</v>
      </c>
      <c r="B30" s="117" t="s">
        <v>32</v>
      </c>
      <c r="C30" s="117" t="s">
        <v>133</v>
      </c>
      <c r="D30" s="117" t="s">
        <v>56</v>
      </c>
      <c r="E30" s="117" t="s">
        <v>91</v>
      </c>
      <c r="F30" s="117" t="s">
        <v>134</v>
      </c>
      <c r="G30" s="117" t="s">
        <v>57</v>
      </c>
      <c r="H30" s="32" t="n">
        <f aca="false">COUNTIF('All Tasks'!$B$2:$B$404,$A30)</f>
        <v>0</v>
      </c>
      <c r="I30" s="118" t="str">
        <f aca="false">IF($H30=0,"No Tasks Yet",IF($L30&gt;0,"Blocked",IF($K30&gt;0,"At Risk",IF($R30=$H30,"Complete",IF($S30&gt;0,"In Progress","Not Started")))))</f>
        <v>No Tasks Yet</v>
      </c>
      <c r="J30" s="33" t="str">
        <f aca="false">IF($H30=0,"",ROUND(SUMIFS('All Tasks'!$U$2:$U$404,'All Tasks'!$B$2:$B$404,$A30)/$H30,2))</f>
        <v/>
      </c>
      <c r="K30" s="32" t="n">
        <f aca="false">SUMIFS('All Tasks'!$R$2:$R$404,'All Tasks'!$B$2:$B$404,$A30)</f>
        <v>0</v>
      </c>
      <c r="L30" s="32" t="n">
        <f aca="false">COUNTIFS('All Tasks'!$B$2:$B$404,$A30,'All Tasks'!$I$2:$I$404,"Blocked")</f>
        <v>0</v>
      </c>
      <c r="M30" s="117" t="str">
        <f aca="false">IF($H30=0,"",IF($L30&gt;0,$L30&amp;" blocked / "&amp;$K30&amp;" overdue",IF($K30&gt;0,$K30&amp;" overdue task(s)",IF($T30&gt;0,$T30&amp;" roadblock(s) flagged","On track"))))</f>
        <v/>
      </c>
      <c r="N30" s="119" t="str">
        <f aca="false">IFERROR(minifs('All Tasks'!$L$2:$L$404,'All Tasks'!$B$2:$B$404,$A30,'All Tasks'!$I$2:$I$404,"&lt;&gt;Complete",'All Tasks'!$L$2:$L$404,"&gt;"&amp;(TODAY()-1)),"")</f>
        <v/>
      </c>
      <c r="O30" s="118" t="str">
        <f aca="false">IF($H30=0,"",IF(OR($I30="Blocked",$I30="At Risk"),"R",IF(OR($I30="Complete",$I30="In Progress"),"G","Y")))</f>
        <v/>
      </c>
      <c r="P30" s="120" t="str">
        <f aca="false">HYPERLINK("#'Project Review'!C3","Open")</f>
        <v>Open</v>
      </c>
      <c r="R30" s="121" t="n">
        <f aca="false">COUNTIFS('All Tasks'!$B$2:$B$404,$A30,'All Tasks'!$I$2:$I$404,"Complete")</f>
        <v>0</v>
      </c>
      <c r="S30" s="121" t="n">
        <f aca="false">COUNTIFS('All Tasks'!$B$2:$B$404,$A30,'All Tasks'!$I$2:$I$404,"In Progress")+COUNTIFS('All Tasks'!$B$2:$B$404,$A30,'All Tasks'!$I$2:$I$404,"Waiting on Someone")</f>
        <v>0</v>
      </c>
      <c r="T30" s="121" t="n">
        <f aca="false">SUMIFS('All Tasks'!$V$2:$V$404,'All Tasks'!$B$2:$B$404,$A30)</f>
        <v>0</v>
      </c>
    </row>
    <row r="31" customFormat="false" ht="22.35" hidden="false" customHeight="false" outlineLevel="0" collapsed="false">
      <c r="A31" s="116" t="s">
        <v>214</v>
      </c>
      <c r="B31" s="117" t="s">
        <v>32</v>
      </c>
      <c r="C31" s="117" t="s">
        <v>135</v>
      </c>
      <c r="D31" s="117" t="s">
        <v>56</v>
      </c>
      <c r="E31" s="117" t="s">
        <v>97</v>
      </c>
      <c r="F31" s="117" t="s">
        <v>136</v>
      </c>
      <c r="G31" s="117" t="s">
        <v>57</v>
      </c>
      <c r="H31" s="32" t="n">
        <f aca="false">COUNTIF('All Tasks'!$B$2:$B$404,$A31)</f>
        <v>0</v>
      </c>
      <c r="I31" s="118" t="str">
        <f aca="false">IF($H31=0,"No Tasks Yet",IF($L31&gt;0,"Blocked",IF($K31&gt;0,"At Risk",IF($R31=$H31,"Complete",IF($S31&gt;0,"In Progress","Not Started")))))</f>
        <v>No Tasks Yet</v>
      </c>
      <c r="J31" s="33" t="str">
        <f aca="false">IF($H31=0,"",ROUND(SUMIFS('All Tasks'!$U$2:$U$404,'All Tasks'!$B$2:$B$404,$A31)/$H31,2))</f>
        <v/>
      </c>
      <c r="K31" s="32" t="n">
        <f aca="false">SUMIFS('All Tasks'!$R$2:$R$404,'All Tasks'!$B$2:$B$404,$A31)</f>
        <v>0</v>
      </c>
      <c r="L31" s="32" t="n">
        <f aca="false">COUNTIFS('All Tasks'!$B$2:$B$404,$A31,'All Tasks'!$I$2:$I$404,"Blocked")</f>
        <v>0</v>
      </c>
      <c r="M31" s="117" t="str">
        <f aca="false">IF($H31=0,"",IF($L31&gt;0,$L31&amp;" blocked / "&amp;$K31&amp;" overdue",IF($K31&gt;0,$K31&amp;" overdue task(s)",IF($T31&gt;0,$T31&amp;" roadblock(s) flagged","On track"))))</f>
        <v/>
      </c>
      <c r="N31" s="119" t="str">
        <f aca="false">IFERROR(minifs('All Tasks'!$L$2:$L$404,'All Tasks'!$B$2:$B$404,$A31,'All Tasks'!$I$2:$I$404,"&lt;&gt;Complete",'All Tasks'!$L$2:$L$404,"&gt;"&amp;(TODAY()-1)),"")</f>
        <v/>
      </c>
      <c r="O31" s="118" t="str">
        <f aca="false">IF($H31=0,"",IF(OR($I31="Blocked",$I31="At Risk"),"R",IF(OR($I31="Complete",$I31="In Progress"),"G","Y")))</f>
        <v/>
      </c>
      <c r="P31" s="120" t="str">
        <f aca="false">HYPERLINK("#'Project Review'!C3","Open")</f>
        <v>Open</v>
      </c>
      <c r="R31" s="121" t="n">
        <f aca="false">COUNTIFS('All Tasks'!$B$2:$B$404,$A31,'All Tasks'!$I$2:$I$404,"Complete")</f>
        <v>0</v>
      </c>
      <c r="S31" s="121" t="n">
        <f aca="false">COUNTIFS('All Tasks'!$B$2:$B$404,$A31,'All Tasks'!$I$2:$I$404,"In Progress")+COUNTIFS('All Tasks'!$B$2:$B$404,$A31,'All Tasks'!$I$2:$I$404,"Waiting on Someone")</f>
        <v>0</v>
      </c>
      <c r="T31" s="121" t="n">
        <f aca="false">SUMIFS('All Tasks'!$V$2:$V$404,'All Tasks'!$B$2:$B$404,$A31)</f>
        <v>0</v>
      </c>
    </row>
    <row r="32" customFormat="false" ht="22.35" hidden="false" customHeight="false" outlineLevel="0" collapsed="false">
      <c r="A32" s="116" t="s">
        <v>215</v>
      </c>
      <c r="B32" s="117" t="s">
        <v>32</v>
      </c>
      <c r="C32" s="117" t="s">
        <v>137</v>
      </c>
      <c r="D32" s="117" t="s">
        <v>56</v>
      </c>
      <c r="E32" s="117" t="s">
        <v>91</v>
      </c>
      <c r="F32" s="117" t="s">
        <v>138</v>
      </c>
      <c r="G32" s="117" t="s">
        <v>57</v>
      </c>
      <c r="H32" s="32" t="n">
        <f aca="false">COUNTIF('All Tasks'!$B$2:$B$404,$A32)</f>
        <v>0</v>
      </c>
      <c r="I32" s="118" t="str">
        <f aca="false">IF($H32=0,"No Tasks Yet",IF($L32&gt;0,"Blocked",IF($K32&gt;0,"At Risk",IF($R32=$H32,"Complete",IF($S32&gt;0,"In Progress","Not Started")))))</f>
        <v>No Tasks Yet</v>
      </c>
      <c r="J32" s="33" t="str">
        <f aca="false">IF($H32=0,"",ROUND(SUMIFS('All Tasks'!$U$2:$U$404,'All Tasks'!$B$2:$B$404,$A32)/$H32,2))</f>
        <v/>
      </c>
      <c r="K32" s="32" t="n">
        <f aca="false">SUMIFS('All Tasks'!$R$2:$R$404,'All Tasks'!$B$2:$B$404,$A32)</f>
        <v>0</v>
      </c>
      <c r="L32" s="32" t="n">
        <f aca="false">COUNTIFS('All Tasks'!$B$2:$B$404,$A32,'All Tasks'!$I$2:$I$404,"Blocked")</f>
        <v>0</v>
      </c>
      <c r="M32" s="117" t="str">
        <f aca="false">IF($H32=0,"",IF($L32&gt;0,$L32&amp;" blocked / "&amp;$K32&amp;" overdue",IF($K32&gt;0,$K32&amp;" overdue task(s)",IF($T32&gt;0,$T32&amp;" roadblock(s) flagged","On track"))))</f>
        <v/>
      </c>
      <c r="N32" s="119" t="str">
        <f aca="false">IFERROR(minifs('All Tasks'!$L$2:$L$404,'All Tasks'!$B$2:$B$404,$A32,'All Tasks'!$I$2:$I$404,"&lt;&gt;Complete",'All Tasks'!$L$2:$L$404,"&gt;"&amp;(TODAY()-1)),"")</f>
        <v/>
      </c>
      <c r="O32" s="118" t="str">
        <f aca="false">IF($H32=0,"",IF(OR($I32="Blocked",$I32="At Risk"),"R",IF(OR($I32="Complete",$I32="In Progress"),"G","Y")))</f>
        <v/>
      </c>
      <c r="P32" s="120" t="str">
        <f aca="false">HYPERLINK("#'Project Review'!C3","Open")</f>
        <v>Open</v>
      </c>
      <c r="R32" s="121" t="n">
        <f aca="false">COUNTIFS('All Tasks'!$B$2:$B$404,$A32,'All Tasks'!$I$2:$I$404,"Complete")</f>
        <v>0</v>
      </c>
      <c r="S32" s="121" t="n">
        <f aca="false">COUNTIFS('All Tasks'!$B$2:$B$404,$A32,'All Tasks'!$I$2:$I$404,"In Progress")+COUNTIFS('All Tasks'!$B$2:$B$404,$A32,'All Tasks'!$I$2:$I$404,"Waiting on Someone")</f>
        <v>0</v>
      </c>
      <c r="T32" s="121" t="n">
        <f aca="false">SUMIFS('All Tasks'!$V$2:$V$404,'All Tasks'!$B$2:$B$404,$A32)</f>
        <v>0</v>
      </c>
    </row>
    <row r="33" customFormat="false" ht="22.35" hidden="false" customHeight="false" outlineLevel="0" collapsed="false">
      <c r="A33" s="116" t="s">
        <v>216</v>
      </c>
      <c r="B33" s="117" t="s">
        <v>32</v>
      </c>
      <c r="C33" s="117" t="s">
        <v>139</v>
      </c>
      <c r="D33" s="117" t="s">
        <v>56</v>
      </c>
      <c r="E33" s="117" t="s">
        <v>63</v>
      </c>
      <c r="F33" s="117" t="s">
        <v>140</v>
      </c>
      <c r="G33" s="117" t="s">
        <v>71</v>
      </c>
      <c r="H33" s="32" t="n">
        <f aca="false">COUNTIF('All Tasks'!$B$2:$B$404,$A33)</f>
        <v>1</v>
      </c>
      <c r="I33" s="118" t="str">
        <f aca="false">IF($H33=0,"No Tasks Yet",IF($L33&gt;0,"Blocked",IF($K33&gt;0,"At Risk",IF($R33=$H33,"Complete",IF($S33&gt;0,"In Progress","Not Started")))))</f>
        <v>Not Started</v>
      </c>
      <c r="J33" s="33" t="n">
        <f aca="false">IF($H33=0,"",ROUND(SUMIFS('All Tasks'!$U$2:$U$404,'All Tasks'!$B$2:$B$404,$A33)/$H33,2))</f>
        <v>0</v>
      </c>
      <c r="K33" s="32" t="n">
        <f aca="false">SUMIFS('All Tasks'!$R$2:$R$404,'All Tasks'!$B$2:$B$404,$A33)</f>
        <v>0</v>
      </c>
      <c r="L33" s="32" t="n">
        <f aca="false">COUNTIFS('All Tasks'!$B$2:$B$404,$A33,'All Tasks'!$I$2:$I$404,"Blocked")</f>
        <v>0</v>
      </c>
      <c r="M33" s="117" t="str">
        <f aca="false">IF($H33=0,"",IF($L33&gt;0,$L33&amp;" blocked / "&amp;$K33&amp;" overdue",IF($K33&gt;0,$K33&amp;" overdue task(s)",IF($T33&gt;0,$T33&amp;" roadblock(s) flagged","On track"))))</f>
        <v>On track</v>
      </c>
      <c r="N33" s="119" t="str">
        <f aca="false">IFERROR(minifs('All Tasks'!$L$2:$L$404,'All Tasks'!$B$2:$B$404,$A33,'All Tasks'!$I$2:$I$404,"&lt;&gt;Complete",'All Tasks'!$L$2:$L$404,"&gt;"&amp;(TODAY()-1)),"")</f>
        <v/>
      </c>
      <c r="O33" s="118" t="str">
        <f aca="false">IF($H33=0,"",IF(OR($I33="Blocked",$I33="At Risk"),"R",IF(OR($I33="Complete",$I33="In Progress"),"G","Y")))</f>
        <v>Y</v>
      </c>
      <c r="P33" s="120" t="str">
        <f aca="false">HYPERLINK("#'Project Review'!C3","Open")</f>
        <v>Open</v>
      </c>
      <c r="R33" s="121" t="n">
        <f aca="false">COUNTIFS('All Tasks'!$B$2:$B$404,$A33,'All Tasks'!$I$2:$I$404,"Complete")</f>
        <v>0</v>
      </c>
      <c r="S33" s="121" t="n">
        <f aca="false">COUNTIFS('All Tasks'!$B$2:$B$404,$A33,'All Tasks'!$I$2:$I$404,"In Progress")+COUNTIFS('All Tasks'!$B$2:$B$404,$A33,'All Tasks'!$I$2:$I$404,"Waiting on Someone")</f>
        <v>0</v>
      </c>
      <c r="T33" s="121" t="n">
        <f aca="false">SUMIFS('All Tasks'!$V$2:$V$404,'All Tasks'!$B$2:$B$404,$A33)</f>
        <v>0</v>
      </c>
    </row>
    <row r="34" customFormat="false" ht="22.35" hidden="false" customHeight="false" outlineLevel="0" collapsed="false">
      <c r="A34" s="116" t="s">
        <v>217</v>
      </c>
      <c r="B34" s="117" t="s">
        <v>32</v>
      </c>
      <c r="C34" s="117" t="s">
        <v>141</v>
      </c>
      <c r="D34" s="117" t="s">
        <v>142</v>
      </c>
      <c r="E34" s="117" t="s">
        <v>55</v>
      </c>
      <c r="F34" s="117" t="s">
        <v>143</v>
      </c>
      <c r="G34" s="117" t="s">
        <v>57</v>
      </c>
      <c r="H34" s="32" t="n">
        <f aca="false">COUNTIF('All Tasks'!$B$2:$B$404,$A34)</f>
        <v>0</v>
      </c>
      <c r="I34" s="118" t="str">
        <f aca="false">IF($H34=0,"No Tasks Yet",IF($L34&gt;0,"Blocked",IF($K34&gt;0,"At Risk",IF($R34=$H34,"Complete",IF($S34&gt;0,"In Progress","Not Started")))))</f>
        <v>No Tasks Yet</v>
      </c>
      <c r="J34" s="33" t="str">
        <f aca="false">IF($H34=0,"",ROUND(SUMIFS('All Tasks'!$U$2:$U$404,'All Tasks'!$B$2:$B$404,$A34)/$H34,2))</f>
        <v/>
      </c>
      <c r="K34" s="32" t="n">
        <f aca="false">SUMIFS('All Tasks'!$R$2:$R$404,'All Tasks'!$B$2:$B$404,$A34)</f>
        <v>0</v>
      </c>
      <c r="L34" s="32" t="n">
        <f aca="false">COUNTIFS('All Tasks'!$B$2:$B$404,$A34,'All Tasks'!$I$2:$I$404,"Blocked")</f>
        <v>0</v>
      </c>
      <c r="M34" s="117" t="str">
        <f aca="false">IF($H34=0,"",IF($L34&gt;0,$L34&amp;" blocked / "&amp;$K34&amp;" overdue",IF($K34&gt;0,$K34&amp;" overdue task(s)",IF($T34&gt;0,$T34&amp;" roadblock(s) flagged","On track"))))</f>
        <v/>
      </c>
      <c r="N34" s="119" t="str">
        <f aca="false">IFERROR(minifs('All Tasks'!$L$2:$L$404,'All Tasks'!$B$2:$B$404,$A34,'All Tasks'!$I$2:$I$404,"&lt;&gt;Complete",'All Tasks'!$L$2:$L$404,"&gt;"&amp;(TODAY()-1)),"")</f>
        <v/>
      </c>
      <c r="O34" s="118" t="str">
        <f aca="false">IF($H34=0,"",IF(OR($I34="Blocked",$I34="At Risk"),"R",IF(OR($I34="Complete",$I34="In Progress"),"G","Y")))</f>
        <v/>
      </c>
      <c r="P34" s="120" t="str">
        <f aca="false">HYPERLINK("#'Project Review'!C3","Open")</f>
        <v>Open</v>
      </c>
      <c r="R34" s="121" t="n">
        <f aca="false">COUNTIFS('All Tasks'!$B$2:$B$404,$A34,'All Tasks'!$I$2:$I$404,"Complete")</f>
        <v>0</v>
      </c>
      <c r="S34" s="121" t="n">
        <f aca="false">COUNTIFS('All Tasks'!$B$2:$B$404,$A34,'All Tasks'!$I$2:$I$404,"In Progress")+COUNTIFS('All Tasks'!$B$2:$B$404,$A34,'All Tasks'!$I$2:$I$404,"Waiting on Someone")</f>
        <v>0</v>
      </c>
      <c r="T34" s="121" t="n">
        <f aca="false">SUMIFS('All Tasks'!$V$2:$V$404,'All Tasks'!$B$2:$B$404,$A34)</f>
        <v>0</v>
      </c>
    </row>
    <row r="35" customFormat="false" ht="22.35" hidden="false" customHeight="false" outlineLevel="0" collapsed="false">
      <c r="A35" s="116" t="s">
        <v>218</v>
      </c>
      <c r="B35" s="117" t="s">
        <v>34</v>
      </c>
      <c r="C35" s="117" t="s">
        <v>145</v>
      </c>
      <c r="D35" s="117" t="s">
        <v>56</v>
      </c>
      <c r="E35" s="117" t="s">
        <v>146</v>
      </c>
      <c r="F35" s="117" t="s">
        <v>147</v>
      </c>
      <c r="G35" s="117" t="s">
        <v>71</v>
      </c>
      <c r="H35" s="32" t="n">
        <f aca="false">COUNTIF('All Tasks'!$B$2:$B$404,$A35)</f>
        <v>9</v>
      </c>
      <c r="I35" s="118" t="str">
        <f aca="false">IF($H35=0,"No Tasks Yet",IF($L35&gt;0,"Blocked",IF($K35&gt;0,"At Risk",IF($R35=$H35,"Complete",IF($S35&gt;0,"In Progress","Not Started")))))</f>
        <v>In Progress</v>
      </c>
      <c r="J35" s="33" t="n">
        <f aca="false">IF($H35=0,"",ROUND(SUMIFS('All Tasks'!$U$2:$U$404,'All Tasks'!$B$2:$B$404,$A35)/$H35,2))</f>
        <v>0.43</v>
      </c>
      <c r="K35" s="32" t="n">
        <f aca="false">SUMIFS('All Tasks'!$R$2:$R$404,'All Tasks'!$B$2:$B$404,$A35)</f>
        <v>0</v>
      </c>
      <c r="L35" s="32" t="n">
        <f aca="false">COUNTIFS('All Tasks'!$B$2:$B$404,$A35,'All Tasks'!$I$2:$I$404,"Blocked")</f>
        <v>0</v>
      </c>
      <c r="M35" s="117" t="str">
        <f aca="false">IF($H35=0,"",IF($L35&gt;0,$L35&amp;" blocked / "&amp;$K35&amp;" overdue",IF($K35&gt;0,$K35&amp;" overdue task(s)",IF($T35&gt;0,$T35&amp;" roadblock(s) flagged","On track"))))</f>
        <v>On track</v>
      </c>
      <c r="N35" s="119" t="str">
        <f aca="false">IFERROR(minifs('All Tasks'!$L$2:$L$404,'All Tasks'!$B$2:$B$404,$A35,'All Tasks'!$I$2:$I$404,"&lt;&gt;Complete",'All Tasks'!$L$2:$L$404,"&gt;"&amp;(TODAY()-1)),"")</f>
        <v/>
      </c>
      <c r="O35" s="118" t="str">
        <f aca="false">IF($H35=0,"",IF(OR($I35="Blocked",$I35="At Risk"),"R",IF(OR($I35="Complete",$I35="In Progress"),"G","Y")))</f>
        <v>G</v>
      </c>
      <c r="P35" s="120" t="str">
        <f aca="false">HYPERLINK("#'Project Review'!C3","Open")</f>
        <v>Open</v>
      </c>
      <c r="R35" s="121" t="n">
        <f aca="false">COUNTIFS('All Tasks'!$B$2:$B$404,$A35,'All Tasks'!$I$2:$I$404,"Complete")</f>
        <v>2</v>
      </c>
      <c r="S35" s="121" t="n">
        <f aca="false">COUNTIFS('All Tasks'!$B$2:$B$404,$A35,'All Tasks'!$I$2:$I$404,"In Progress")+COUNTIFS('All Tasks'!$B$2:$B$404,$A35,'All Tasks'!$I$2:$I$404,"Waiting on Someone")</f>
        <v>5</v>
      </c>
      <c r="T35" s="121" t="n">
        <f aca="false">SUMIFS('All Tasks'!$V$2:$V$404,'All Tasks'!$B$2:$B$404,$A35)</f>
        <v>0</v>
      </c>
    </row>
    <row r="36" customFormat="false" ht="22.35" hidden="false" customHeight="false" outlineLevel="0" collapsed="false">
      <c r="A36" s="116" t="s">
        <v>219</v>
      </c>
      <c r="B36" s="117" t="s">
        <v>34</v>
      </c>
      <c r="C36" s="117" t="s">
        <v>148</v>
      </c>
      <c r="D36" s="117" t="s">
        <v>149</v>
      </c>
      <c r="E36" s="117" t="s">
        <v>56</v>
      </c>
      <c r="F36" s="117" t="s">
        <v>150</v>
      </c>
      <c r="G36" s="117" t="s">
        <v>57</v>
      </c>
      <c r="H36" s="32" t="n">
        <f aca="false">COUNTIF('All Tasks'!$B$2:$B$404,$A36)</f>
        <v>0</v>
      </c>
      <c r="I36" s="118" t="str">
        <f aca="false">IF($H36=0,"No Tasks Yet",IF($L36&gt;0,"Blocked",IF($K36&gt;0,"At Risk",IF($R36=$H36,"Complete",IF($S36&gt;0,"In Progress","Not Started")))))</f>
        <v>No Tasks Yet</v>
      </c>
      <c r="J36" s="33" t="str">
        <f aca="false">IF($H36=0,"",ROUND(SUMIFS('All Tasks'!$U$2:$U$404,'All Tasks'!$B$2:$B$404,$A36)/$H36,2))</f>
        <v/>
      </c>
      <c r="K36" s="32" t="n">
        <f aca="false">SUMIFS('All Tasks'!$R$2:$R$404,'All Tasks'!$B$2:$B$404,$A36)</f>
        <v>0</v>
      </c>
      <c r="L36" s="32" t="n">
        <f aca="false">COUNTIFS('All Tasks'!$B$2:$B$404,$A36,'All Tasks'!$I$2:$I$404,"Blocked")</f>
        <v>0</v>
      </c>
      <c r="M36" s="117" t="str">
        <f aca="false">IF($H36=0,"",IF($L36&gt;0,$L36&amp;" blocked / "&amp;$K36&amp;" overdue",IF($K36&gt;0,$K36&amp;" overdue task(s)",IF($T36&gt;0,$T36&amp;" roadblock(s) flagged","On track"))))</f>
        <v/>
      </c>
      <c r="N36" s="119" t="str">
        <f aca="false">IFERROR(minifs('All Tasks'!$L$2:$L$404,'All Tasks'!$B$2:$B$404,$A36,'All Tasks'!$I$2:$I$404,"&lt;&gt;Complete",'All Tasks'!$L$2:$L$404,"&gt;"&amp;(TODAY()-1)),"")</f>
        <v/>
      </c>
      <c r="O36" s="118" t="str">
        <f aca="false">IF($H36=0,"",IF(OR($I36="Blocked",$I36="At Risk"),"R",IF(OR($I36="Complete",$I36="In Progress"),"G","Y")))</f>
        <v/>
      </c>
      <c r="P36" s="120" t="str">
        <f aca="false">HYPERLINK("#'Project Review'!C3","Open")</f>
        <v>Open</v>
      </c>
      <c r="R36" s="121" t="n">
        <f aca="false">COUNTIFS('All Tasks'!$B$2:$B$404,$A36,'All Tasks'!$I$2:$I$404,"Complete")</f>
        <v>0</v>
      </c>
      <c r="S36" s="121" t="n">
        <f aca="false">COUNTIFS('All Tasks'!$B$2:$B$404,$A36,'All Tasks'!$I$2:$I$404,"In Progress")+COUNTIFS('All Tasks'!$B$2:$B$404,$A36,'All Tasks'!$I$2:$I$404,"Waiting on Someone")</f>
        <v>0</v>
      </c>
      <c r="T36" s="121" t="n">
        <f aca="false">SUMIFS('All Tasks'!$V$2:$V$404,'All Tasks'!$B$2:$B$404,$A36)</f>
        <v>0</v>
      </c>
    </row>
    <row r="37" customFormat="false" ht="22.35" hidden="false" customHeight="false" outlineLevel="0" collapsed="false">
      <c r="A37" s="116" t="s">
        <v>220</v>
      </c>
      <c r="B37" s="117" t="s">
        <v>34</v>
      </c>
      <c r="C37" s="117" t="s">
        <v>151</v>
      </c>
      <c r="D37" s="117" t="s">
        <v>56</v>
      </c>
      <c r="E37" s="117" t="s">
        <v>146</v>
      </c>
      <c r="F37" s="117" t="s">
        <v>152</v>
      </c>
      <c r="G37" s="117" t="s">
        <v>57</v>
      </c>
      <c r="H37" s="32" t="n">
        <f aca="false">COUNTIF('All Tasks'!$B$2:$B$404,$A37)</f>
        <v>0</v>
      </c>
      <c r="I37" s="118" t="str">
        <f aca="false">IF($H37=0,"No Tasks Yet",IF($L37&gt;0,"Blocked",IF($K37&gt;0,"At Risk",IF($R37=$H37,"Complete",IF($S37&gt;0,"In Progress","Not Started")))))</f>
        <v>No Tasks Yet</v>
      </c>
      <c r="J37" s="33" t="str">
        <f aca="false">IF($H37=0,"",ROUND(SUMIFS('All Tasks'!$U$2:$U$404,'All Tasks'!$B$2:$B$404,$A37)/$H37,2))</f>
        <v/>
      </c>
      <c r="K37" s="32" t="n">
        <f aca="false">SUMIFS('All Tasks'!$R$2:$R$404,'All Tasks'!$B$2:$B$404,$A37)</f>
        <v>0</v>
      </c>
      <c r="L37" s="32" t="n">
        <f aca="false">COUNTIFS('All Tasks'!$B$2:$B$404,$A37,'All Tasks'!$I$2:$I$404,"Blocked")</f>
        <v>0</v>
      </c>
      <c r="M37" s="117" t="str">
        <f aca="false">IF($H37=0,"",IF($L37&gt;0,$L37&amp;" blocked / "&amp;$K37&amp;" overdue",IF($K37&gt;0,$K37&amp;" overdue task(s)",IF($T37&gt;0,$T37&amp;" roadblock(s) flagged","On track"))))</f>
        <v/>
      </c>
      <c r="N37" s="119" t="str">
        <f aca="false">IFERROR(minifs('All Tasks'!$L$2:$L$404,'All Tasks'!$B$2:$B$404,$A37,'All Tasks'!$I$2:$I$404,"&lt;&gt;Complete",'All Tasks'!$L$2:$L$404,"&gt;"&amp;(TODAY()-1)),"")</f>
        <v/>
      </c>
      <c r="O37" s="118" t="str">
        <f aca="false">IF($H37=0,"",IF(OR($I37="Blocked",$I37="At Risk"),"R",IF(OR($I37="Complete",$I37="In Progress"),"G","Y")))</f>
        <v/>
      </c>
      <c r="P37" s="120" t="str">
        <f aca="false">HYPERLINK("#'Project Review'!C3","Open")</f>
        <v>Open</v>
      </c>
      <c r="R37" s="121" t="n">
        <f aca="false">COUNTIFS('All Tasks'!$B$2:$B$404,$A37,'All Tasks'!$I$2:$I$404,"Complete")</f>
        <v>0</v>
      </c>
      <c r="S37" s="121" t="n">
        <f aca="false">COUNTIFS('All Tasks'!$B$2:$B$404,$A37,'All Tasks'!$I$2:$I$404,"In Progress")+COUNTIFS('All Tasks'!$B$2:$B$404,$A37,'All Tasks'!$I$2:$I$404,"Waiting on Someone")</f>
        <v>0</v>
      </c>
      <c r="T37" s="121" t="n">
        <f aca="false">SUMIFS('All Tasks'!$V$2:$V$404,'All Tasks'!$B$2:$B$404,$A37)</f>
        <v>0</v>
      </c>
    </row>
    <row r="38" customFormat="false" ht="22.35" hidden="false" customHeight="false" outlineLevel="0" collapsed="false">
      <c r="A38" s="116" t="s">
        <v>221</v>
      </c>
      <c r="B38" s="117" t="s">
        <v>34</v>
      </c>
      <c r="C38" s="117" t="s">
        <v>153</v>
      </c>
      <c r="D38" s="117" t="s">
        <v>56</v>
      </c>
      <c r="E38" s="117" t="s">
        <v>146</v>
      </c>
      <c r="F38" s="117" t="s">
        <v>154</v>
      </c>
      <c r="G38" s="117" t="s">
        <v>119</v>
      </c>
      <c r="H38" s="32" t="n">
        <f aca="false">COUNTIF('All Tasks'!$B$2:$B$404,$A38)</f>
        <v>0</v>
      </c>
      <c r="I38" s="118" t="str">
        <f aca="false">IF($H38=0,"No Tasks Yet",IF($L38&gt;0,"Blocked",IF($K38&gt;0,"At Risk",IF($R38=$H38,"Complete",IF($S38&gt;0,"In Progress","Not Started")))))</f>
        <v>No Tasks Yet</v>
      </c>
      <c r="J38" s="33" t="str">
        <f aca="false">IF($H38=0,"",ROUND(SUMIFS('All Tasks'!$U$2:$U$404,'All Tasks'!$B$2:$B$404,$A38)/$H38,2))</f>
        <v/>
      </c>
      <c r="K38" s="32" t="n">
        <f aca="false">SUMIFS('All Tasks'!$R$2:$R$404,'All Tasks'!$B$2:$B$404,$A38)</f>
        <v>0</v>
      </c>
      <c r="L38" s="32" t="n">
        <f aca="false">COUNTIFS('All Tasks'!$B$2:$B$404,$A38,'All Tasks'!$I$2:$I$404,"Blocked")</f>
        <v>0</v>
      </c>
      <c r="M38" s="117" t="str">
        <f aca="false">IF($H38=0,"",IF($L38&gt;0,$L38&amp;" blocked / "&amp;$K38&amp;" overdue",IF($K38&gt;0,$K38&amp;" overdue task(s)",IF($T38&gt;0,$T38&amp;" roadblock(s) flagged","On track"))))</f>
        <v/>
      </c>
      <c r="N38" s="119" t="str">
        <f aca="false">IFERROR(minifs('All Tasks'!$L$2:$L$404,'All Tasks'!$B$2:$B$404,$A38,'All Tasks'!$I$2:$I$404,"&lt;&gt;Complete",'All Tasks'!$L$2:$L$404,"&gt;"&amp;(TODAY()-1)),"")</f>
        <v/>
      </c>
      <c r="O38" s="118" t="str">
        <f aca="false">IF($H38=0,"",IF(OR($I38="Blocked",$I38="At Risk"),"R",IF(OR($I38="Complete",$I38="In Progress"),"G","Y")))</f>
        <v/>
      </c>
      <c r="P38" s="120" t="str">
        <f aca="false">HYPERLINK("#'Project Review'!C3","Open")</f>
        <v>Open</v>
      </c>
      <c r="R38" s="121" t="n">
        <f aca="false">COUNTIFS('All Tasks'!$B$2:$B$404,$A38,'All Tasks'!$I$2:$I$404,"Complete")</f>
        <v>0</v>
      </c>
      <c r="S38" s="121" t="n">
        <f aca="false">COUNTIFS('All Tasks'!$B$2:$B$404,$A38,'All Tasks'!$I$2:$I$404,"In Progress")+COUNTIFS('All Tasks'!$B$2:$B$404,$A38,'All Tasks'!$I$2:$I$404,"Waiting on Someone")</f>
        <v>0</v>
      </c>
      <c r="T38" s="121" t="n">
        <f aca="false">SUMIFS('All Tasks'!$V$2:$V$404,'All Tasks'!$B$2:$B$404,$A38)</f>
        <v>0</v>
      </c>
    </row>
    <row r="39" customFormat="false" ht="22.35" hidden="false" customHeight="false" outlineLevel="0" collapsed="false">
      <c r="A39" s="116" t="s">
        <v>222</v>
      </c>
      <c r="B39" s="117" t="s">
        <v>34</v>
      </c>
      <c r="C39" s="117" t="s">
        <v>155</v>
      </c>
      <c r="D39" s="117" t="s">
        <v>56</v>
      </c>
      <c r="E39" s="117" t="s">
        <v>63</v>
      </c>
      <c r="F39" s="117" t="s">
        <v>156</v>
      </c>
      <c r="G39" s="117" t="s">
        <v>71</v>
      </c>
      <c r="H39" s="32" t="n">
        <f aca="false">COUNTIF('All Tasks'!$B$2:$B$404,$A39)</f>
        <v>0</v>
      </c>
      <c r="I39" s="118" t="str">
        <f aca="false">IF($H39=0,"No Tasks Yet",IF($L39&gt;0,"Blocked",IF($K39&gt;0,"At Risk",IF($R39=$H39,"Complete",IF($S39&gt;0,"In Progress","Not Started")))))</f>
        <v>No Tasks Yet</v>
      </c>
      <c r="J39" s="33" t="str">
        <f aca="false">IF($H39=0,"",ROUND(SUMIFS('All Tasks'!$U$2:$U$404,'All Tasks'!$B$2:$B$404,$A39)/$H39,2))</f>
        <v/>
      </c>
      <c r="K39" s="32" t="n">
        <f aca="false">SUMIFS('All Tasks'!$R$2:$R$404,'All Tasks'!$B$2:$B$404,$A39)</f>
        <v>0</v>
      </c>
      <c r="L39" s="32" t="n">
        <f aca="false">COUNTIFS('All Tasks'!$B$2:$B$404,$A39,'All Tasks'!$I$2:$I$404,"Blocked")</f>
        <v>0</v>
      </c>
      <c r="M39" s="117" t="str">
        <f aca="false">IF($H39=0,"",IF($L39&gt;0,$L39&amp;" blocked / "&amp;$K39&amp;" overdue",IF($K39&gt;0,$K39&amp;" overdue task(s)",IF($T39&gt;0,$T39&amp;" roadblock(s) flagged","On track"))))</f>
        <v/>
      </c>
      <c r="N39" s="119" t="str">
        <f aca="false">IFERROR(minifs('All Tasks'!$L$2:$L$404,'All Tasks'!$B$2:$B$404,$A39,'All Tasks'!$I$2:$I$404,"&lt;&gt;Complete",'All Tasks'!$L$2:$L$404,"&gt;"&amp;(TODAY()-1)),"")</f>
        <v/>
      </c>
      <c r="O39" s="118" t="str">
        <f aca="false">IF($H39=0,"",IF(OR($I39="Blocked",$I39="At Risk"),"R",IF(OR($I39="Complete",$I39="In Progress"),"G","Y")))</f>
        <v/>
      </c>
      <c r="P39" s="120" t="str">
        <f aca="false">HYPERLINK("#'Project Review'!C3","Open")</f>
        <v>Open</v>
      </c>
      <c r="R39" s="121" t="n">
        <f aca="false">COUNTIFS('All Tasks'!$B$2:$B$404,$A39,'All Tasks'!$I$2:$I$404,"Complete")</f>
        <v>0</v>
      </c>
      <c r="S39" s="121" t="n">
        <f aca="false">COUNTIFS('All Tasks'!$B$2:$B$404,$A39,'All Tasks'!$I$2:$I$404,"In Progress")+COUNTIFS('All Tasks'!$B$2:$B$404,$A39,'All Tasks'!$I$2:$I$404,"Waiting on Someone")</f>
        <v>0</v>
      </c>
      <c r="T39" s="121" t="n">
        <f aca="false">SUMIFS('All Tasks'!$V$2:$V$404,'All Tasks'!$B$2:$B$404,$A39)</f>
        <v>0</v>
      </c>
    </row>
    <row r="40" customFormat="false" ht="22.35" hidden="false" customHeight="false" outlineLevel="0" collapsed="false">
      <c r="A40" s="116" t="s">
        <v>223</v>
      </c>
      <c r="B40" s="117" t="s">
        <v>36</v>
      </c>
      <c r="C40" s="117" t="s">
        <v>158</v>
      </c>
      <c r="D40" s="117" t="s">
        <v>56</v>
      </c>
      <c r="E40" s="117" t="s">
        <v>91</v>
      </c>
      <c r="F40" s="117" t="s">
        <v>159</v>
      </c>
      <c r="G40" s="117" t="s">
        <v>71</v>
      </c>
      <c r="H40" s="32" t="n">
        <f aca="false">COUNTIF('All Tasks'!$B$2:$B$404,$A40)</f>
        <v>1</v>
      </c>
      <c r="I40" s="118" t="str">
        <f aca="false">IF($H40=0,"No Tasks Yet",IF($L40&gt;0,"Blocked",IF($K40&gt;0,"At Risk",IF($R40=$H40,"Complete",IF($S40&gt;0,"In Progress","Not Started")))))</f>
        <v>In Progress</v>
      </c>
      <c r="J40" s="33" t="n">
        <f aca="false">IF($H40=0,"",ROUND(SUMIFS('All Tasks'!$U$2:$U$404,'All Tasks'!$B$2:$B$404,$A40)/$H40,2))</f>
        <v>0.3</v>
      </c>
      <c r="K40" s="32" t="n">
        <f aca="false">SUMIFS('All Tasks'!$R$2:$R$404,'All Tasks'!$B$2:$B$404,$A40)</f>
        <v>0</v>
      </c>
      <c r="L40" s="32" t="n">
        <f aca="false">COUNTIFS('All Tasks'!$B$2:$B$404,$A40,'All Tasks'!$I$2:$I$404,"Blocked")</f>
        <v>0</v>
      </c>
      <c r="M40" s="117" t="str">
        <f aca="false">IF($H40=0,"",IF($L40&gt;0,$L40&amp;" blocked / "&amp;$K40&amp;" overdue",IF($K40&gt;0,$K40&amp;" overdue task(s)",IF($T40&gt;0,$T40&amp;" roadblock(s) flagged","On track"))))</f>
        <v>On track</v>
      </c>
      <c r="N40" s="119" t="str">
        <f aca="false">IFERROR(minifs('All Tasks'!$L$2:$L$404,'All Tasks'!$B$2:$B$404,$A40,'All Tasks'!$I$2:$I$404,"&lt;&gt;Complete",'All Tasks'!$L$2:$L$404,"&gt;"&amp;(TODAY()-1)),"")</f>
        <v/>
      </c>
      <c r="O40" s="118" t="str">
        <f aca="false">IF($H40=0,"",IF(OR($I40="Blocked",$I40="At Risk"),"R",IF(OR($I40="Complete",$I40="In Progress"),"G","Y")))</f>
        <v>G</v>
      </c>
      <c r="P40" s="120" t="str">
        <f aca="false">HYPERLINK("#'Project Review'!C3","Open")</f>
        <v>Open</v>
      </c>
      <c r="R40" s="121" t="n">
        <f aca="false">COUNTIFS('All Tasks'!$B$2:$B$404,$A40,'All Tasks'!$I$2:$I$404,"Complete")</f>
        <v>0</v>
      </c>
      <c r="S40" s="121" t="n">
        <f aca="false">COUNTIFS('All Tasks'!$B$2:$B$404,$A40,'All Tasks'!$I$2:$I$404,"In Progress")+COUNTIFS('All Tasks'!$B$2:$B$404,$A40,'All Tasks'!$I$2:$I$404,"Waiting on Someone")</f>
        <v>1</v>
      </c>
      <c r="T40" s="121" t="n">
        <f aca="false">SUMIFS('All Tasks'!$V$2:$V$404,'All Tasks'!$B$2:$B$404,$A40)</f>
        <v>0</v>
      </c>
    </row>
    <row r="41" customFormat="false" ht="22.35" hidden="false" customHeight="false" outlineLevel="0" collapsed="false">
      <c r="A41" s="116" t="s">
        <v>224</v>
      </c>
      <c r="B41" s="117" t="s">
        <v>36</v>
      </c>
      <c r="C41" s="117" t="s">
        <v>160</v>
      </c>
      <c r="D41" s="117" t="s">
        <v>56</v>
      </c>
      <c r="E41" s="117" t="s">
        <v>161</v>
      </c>
      <c r="F41" s="117" t="s">
        <v>162</v>
      </c>
      <c r="G41" s="117" t="s">
        <v>57</v>
      </c>
      <c r="H41" s="32" t="n">
        <f aca="false">COUNTIF('All Tasks'!$B$2:$B$404,$A41)</f>
        <v>0</v>
      </c>
      <c r="I41" s="118" t="str">
        <f aca="false">IF($H41=0,"No Tasks Yet",IF($L41&gt;0,"Blocked",IF($K41&gt;0,"At Risk",IF($R41=$H41,"Complete",IF($S41&gt;0,"In Progress","Not Started")))))</f>
        <v>No Tasks Yet</v>
      </c>
      <c r="J41" s="33" t="str">
        <f aca="false">IF($H41=0,"",ROUND(SUMIFS('All Tasks'!$U$2:$U$404,'All Tasks'!$B$2:$B$404,$A41)/$H41,2))</f>
        <v/>
      </c>
      <c r="K41" s="32" t="n">
        <f aca="false">SUMIFS('All Tasks'!$R$2:$R$404,'All Tasks'!$B$2:$B$404,$A41)</f>
        <v>0</v>
      </c>
      <c r="L41" s="32" t="n">
        <f aca="false">COUNTIFS('All Tasks'!$B$2:$B$404,$A41,'All Tasks'!$I$2:$I$404,"Blocked")</f>
        <v>0</v>
      </c>
      <c r="M41" s="117" t="str">
        <f aca="false">IF($H41=0,"",IF($L41&gt;0,$L41&amp;" blocked / "&amp;$K41&amp;" overdue",IF($K41&gt;0,$K41&amp;" overdue task(s)",IF($T41&gt;0,$T41&amp;" roadblock(s) flagged","On track"))))</f>
        <v/>
      </c>
      <c r="N41" s="119" t="str">
        <f aca="false">IFERROR(minifs('All Tasks'!$L$2:$L$404,'All Tasks'!$B$2:$B$404,$A41,'All Tasks'!$I$2:$I$404,"&lt;&gt;Complete",'All Tasks'!$L$2:$L$404,"&gt;"&amp;(TODAY()-1)),"")</f>
        <v/>
      </c>
      <c r="O41" s="118" t="str">
        <f aca="false">IF($H41=0,"",IF(OR($I41="Blocked",$I41="At Risk"),"R",IF(OR($I41="Complete",$I41="In Progress"),"G","Y")))</f>
        <v/>
      </c>
      <c r="P41" s="120" t="str">
        <f aca="false">HYPERLINK("#'Project Review'!C3","Open")</f>
        <v>Open</v>
      </c>
      <c r="R41" s="121" t="n">
        <f aca="false">COUNTIFS('All Tasks'!$B$2:$B$404,$A41,'All Tasks'!$I$2:$I$404,"Complete")</f>
        <v>0</v>
      </c>
      <c r="S41" s="121" t="n">
        <f aca="false">COUNTIFS('All Tasks'!$B$2:$B$404,$A41,'All Tasks'!$I$2:$I$404,"In Progress")+COUNTIFS('All Tasks'!$B$2:$B$404,$A41,'All Tasks'!$I$2:$I$404,"Waiting on Someone")</f>
        <v>0</v>
      </c>
      <c r="T41" s="121" t="n">
        <f aca="false">SUMIFS('All Tasks'!$V$2:$V$404,'All Tasks'!$B$2:$B$404,$A41)</f>
        <v>0</v>
      </c>
    </row>
    <row r="42" customFormat="false" ht="22.35" hidden="false" customHeight="false" outlineLevel="0" collapsed="false">
      <c r="A42" s="116" t="s">
        <v>225</v>
      </c>
      <c r="B42" s="117" t="s">
        <v>36</v>
      </c>
      <c r="C42" s="117" t="s">
        <v>163</v>
      </c>
      <c r="D42" s="117" t="s">
        <v>56</v>
      </c>
      <c r="E42" s="117" t="s">
        <v>91</v>
      </c>
      <c r="F42" s="117" t="s">
        <v>164</v>
      </c>
      <c r="G42" s="117" t="s">
        <v>57</v>
      </c>
      <c r="H42" s="32" t="n">
        <f aca="false">COUNTIF('All Tasks'!$B$2:$B$404,$A42)</f>
        <v>1</v>
      </c>
      <c r="I42" s="118" t="str">
        <f aca="false">IF($H42=0,"No Tasks Yet",IF($L42&gt;0,"Blocked",IF($K42&gt;0,"At Risk",IF($R42=$H42,"Complete",IF($S42&gt;0,"In Progress","Not Started")))))</f>
        <v>In Progress</v>
      </c>
      <c r="J42" s="33" t="n">
        <f aca="false">IF($H42=0,"",ROUND(SUMIFS('All Tasks'!$U$2:$U$404,'All Tasks'!$B$2:$B$404,$A42)/$H42,2))</f>
        <v>0.2</v>
      </c>
      <c r="K42" s="32" t="n">
        <f aca="false">SUMIFS('All Tasks'!$R$2:$R$404,'All Tasks'!$B$2:$B$404,$A42)</f>
        <v>0</v>
      </c>
      <c r="L42" s="32" t="n">
        <f aca="false">COUNTIFS('All Tasks'!$B$2:$B$404,$A42,'All Tasks'!$I$2:$I$404,"Blocked")</f>
        <v>0</v>
      </c>
      <c r="M42" s="117" t="str">
        <f aca="false">IF($H42=0,"",IF($L42&gt;0,$L42&amp;" blocked / "&amp;$K42&amp;" overdue",IF($K42&gt;0,$K42&amp;" overdue task(s)",IF($T42&gt;0,$T42&amp;" roadblock(s) flagged","On track"))))</f>
        <v>On track</v>
      </c>
      <c r="N42" s="119" t="str">
        <f aca="false">IFERROR(minifs('All Tasks'!$L$2:$L$404,'All Tasks'!$B$2:$B$404,$A42,'All Tasks'!$I$2:$I$404,"&lt;&gt;Complete",'All Tasks'!$L$2:$L$404,"&gt;"&amp;(TODAY()-1)),"")</f>
        <v/>
      </c>
      <c r="O42" s="118" t="str">
        <f aca="false">IF($H42=0,"",IF(OR($I42="Blocked",$I42="At Risk"),"R",IF(OR($I42="Complete",$I42="In Progress"),"G","Y")))</f>
        <v>G</v>
      </c>
      <c r="P42" s="120" t="str">
        <f aca="false">HYPERLINK("#'Project Review'!C3","Open")</f>
        <v>Open</v>
      </c>
      <c r="R42" s="121" t="n">
        <f aca="false">COUNTIFS('All Tasks'!$B$2:$B$404,$A42,'All Tasks'!$I$2:$I$404,"Complete")</f>
        <v>0</v>
      </c>
      <c r="S42" s="121" t="n">
        <f aca="false">COUNTIFS('All Tasks'!$B$2:$B$404,$A42,'All Tasks'!$I$2:$I$404,"In Progress")+COUNTIFS('All Tasks'!$B$2:$B$404,$A42,'All Tasks'!$I$2:$I$404,"Waiting on Someone")</f>
        <v>1</v>
      </c>
      <c r="T42" s="121" t="n">
        <f aca="false">SUMIFS('All Tasks'!$V$2:$V$404,'All Tasks'!$B$2:$B$404,$A42)</f>
        <v>0</v>
      </c>
    </row>
    <row r="43" customFormat="false" ht="22.35" hidden="false" customHeight="false" outlineLevel="0" collapsed="false">
      <c r="A43" s="116" t="s">
        <v>226</v>
      </c>
      <c r="B43" s="117" t="s">
        <v>36</v>
      </c>
      <c r="C43" s="117" t="s">
        <v>165</v>
      </c>
      <c r="D43" s="117" t="s">
        <v>149</v>
      </c>
      <c r="E43" s="117" t="s">
        <v>56</v>
      </c>
      <c r="F43" s="117" t="s">
        <v>166</v>
      </c>
      <c r="G43" s="117" t="s">
        <v>57</v>
      </c>
      <c r="H43" s="32" t="n">
        <f aca="false">COUNTIF('All Tasks'!$B$2:$B$404,$A43)</f>
        <v>0</v>
      </c>
      <c r="I43" s="118" t="str">
        <f aca="false">IF($H43=0,"No Tasks Yet",IF($L43&gt;0,"Blocked",IF($K43&gt;0,"At Risk",IF($R43=$H43,"Complete",IF($S43&gt;0,"In Progress","Not Started")))))</f>
        <v>No Tasks Yet</v>
      </c>
      <c r="J43" s="33" t="str">
        <f aca="false">IF($H43=0,"",ROUND(SUMIFS('All Tasks'!$U$2:$U$404,'All Tasks'!$B$2:$B$404,$A43)/$H43,2))</f>
        <v/>
      </c>
      <c r="K43" s="32" t="n">
        <f aca="false">SUMIFS('All Tasks'!$R$2:$R$404,'All Tasks'!$B$2:$B$404,$A43)</f>
        <v>0</v>
      </c>
      <c r="L43" s="32" t="n">
        <f aca="false">COUNTIFS('All Tasks'!$B$2:$B$404,$A43,'All Tasks'!$I$2:$I$404,"Blocked")</f>
        <v>0</v>
      </c>
      <c r="M43" s="117" t="str">
        <f aca="false">IF($H43=0,"",IF($L43&gt;0,$L43&amp;" blocked / "&amp;$K43&amp;" overdue",IF($K43&gt;0,$K43&amp;" overdue task(s)",IF($T43&gt;0,$T43&amp;" roadblock(s) flagged","On track"))))</f>
        <v/>
      </c>
      <c r="N43" s="119" t="str">
        <f aca="false">IFERROR(minifs('All Tasks'!$L$2:$L$404,'All Tasks'!$B$2:$B$404,$A43,'All Tasks'!$I$2:$I$404,"&lt;&gt;Complete",'All Tasks'!$L$2:$L$404,"&gt;"&amp;(TODAY()-1)),"")</f>
        <v/>
      </c>
      <c r="O43" s="118" t="str">
        <f aca="false">IF($H43=0,"",IF(OR($I43="Blocked",$I43="At Risk"),"R",IF(OR($I43="Complete",$I43="In Progress"),"G","Y")))</f>
        <v/>
      </c>
      <c r="P43" s="120" t="str">
        <f aca="false">HYPERLINK("#'Project Review'!C3","Open")</f>
        <v>Open</v>
      </c>
      <c r="R43" s="121" t="n">
        <f aca="false">COUNTIFS('All Tasks'!$B$2:$B$404,$A43,'All Tasks'!$I$2:$I$404,"Complete")</f>
        <v>0</v>
      </c>
      <c r="S43" s="121" t="n">
        <f aca="false">COUNTIFS('All Tasks'!$B$2:$B$404,$A43,'All Tasks'!$I$2:$I$404,"In Progress")+COUNTIFS('All Tasks'!$B$2:$B$404,$A43,'All Tasks'!$I$2:$I$404,"Waiting on Someone")</f>
        <v>0</v>
      </c>
      <c r="T43" s="121" t="n">
        <f aca="false">SUMIFS('All Tasks'!$V$2:$V$404,'All Tasks'!$B$2:$B$404,$A43)</f>
        <v>0</v>
      </c>
    </row>
    <row r="44" customFormat="false" ht="32.8" hidden="false" customHeight="false" outlineLevel="0" collapsed="false">
      <c r="A44" s="116" t="s">
        <v>227</v>
      </c>
      <c r="B44" s="117" t="s">
        <v>38</v>
      </c>
      <c r="C44" s="117" t="s">
        <v>168</v>
      </c>
      <c r="D44" s="117" t="s">
        <v>149</v>
      </c>
      <c r="E44" s="117" t="s">
        <v>56</v>
      </c>
      <c r="F44" s="117" t="s">
        <v>169</v>
      </c>
      <c r="G44" s="117" t="s">
        <v>57</v>
      </c>
      <c r="H44" s="32" t="n">
        <f aca="false">COUNTIF('All Tasks'!$B$2:$B$404,$A44)</f>
        <v>0</v>
      </c>
      <c r="I44" s="118" t="str">
        <f aca="false">IF($H44=0,"No Tasks Yet",IF($L44&gt;0,"Blocked",IF($K44&gt;0,"At Risk",IF($R44=$H44,"Complete",IF($S44&gt;0,"In Progress","Not Started")))))</f>
        <v>No Tasks Yet</v>
      </c>
      <c r="J44" s="33" t="str">
        <f aca="false">IF($H44=0,"",ROUND(SUMIFS('All Tasks'!$U$2:$U$404,'All Tasks'!$B$2:$B$404,$A44)/$H44,2))</f>
        <v/>
      </c>
      <c r="K44" s="32" t="n">
        <f aca="false">SUMIFS('All Tasks'!$R$2:$R$404,'All Tasks'!$B$2:$B$404,$A44)</f>
        <v>0</v>
      </c>
      <c r="L44" s="32" t="n">
        <f aca="false">COUNTIFS('All Tasks'!$B$2:$B$404,$A44,'All Tasks'!$I$2:$I$404,"Blocked")</f>
        <v>0</v>
      </c>
      <c r="M44" s="117" t="str">
        <f aca="false">IF($H44=0,"",IF($L44&gt;0,$L44&amp;" blocked / "&amp;$K44&amp;" overdue",IF($K44&gt;0,$K44&amp;" overdue task(s)",IF($T44&gt;0,$T44&amp;" roadblock(s) flagged","On track"))))</f>
        <v/>
      </c>
      <c r="N44" s="119" t="str">
        <f aca="false">IFERROR(minifs('All Tasks'!$L$2:$L$404,'All Tasks'!$B$2:$B$404,$A44,'All Tasks'!$I$2:$I$404,"&lt;&gt;Complete",'All Tasks'!$L$2:$L$404,"&gt;"&amp;(TODAY()-1)),"")</f>
        <v/>
      </c>
      <c r="O44" s="118" t="str">
        <f aca="false">IF($H44=0,"",IF(OR($I44="Blocked",$I44="At Risk"),"R",IF(OR($I44="Complete",$I44="In Progress"),"G","Y")))</f>
        <v/>
      </c>
      <c r="P44" s="120" t="str">
        <f aca="false">HYPERLINK("#'Project Review'!C3","Open")</f>
        <v>Open</v>
      </c>
      <c r="R44" s="121" t="n">
        <f aca="false">COUNTIFS('All Tasks'!$B$2:$B$404,$A44,'All Tasks'!$I$2:$I$404,"Complete")</f>
        <v>0</v>
      </c>
      <c r="S44" s="121" t="n">
        <f aca="false">COUNTIFS('All Tasks'!$B$2:$B$404,$A44,'All Tasks'!$I$2:$I$404,"In Progress")+COUNTIFS('All Tasks'!$B$2:$B$404,$A44,'All Tasks'!$I$2:$I$404,"Waiting on Someone")</f>
        <v>0</v>
      </c>
      <c r="T44" s="121" t="n">
        <f aca="false">SUMIFS('All Tasks'!$V$2:$V$404,'All Tasks'!$B$2:$B$404,$A44)</f>
        <v>0</v>
      </c>
    </row>
    <row r="45" customFormat="false" ht="32.8" hidden="false" customHeight="false" outlineLevel="0" collapsed="false">
      <c r="A45" s="116" t="s">
        <v>228</v>
      </c>
      <c r="B45" s="117" t="s">
        <v>38</v>
      </c>
      <c r="C45" s="117" t="s">
        <v>170</v>
      </c>
      <c r="D45" s="117" t="s">
        <v>149</v>
      </c>
      <c r="E45" s="117" t="s">
        <v>56</v>
      </c>
      <c r="F45" s="117" t="s">
        <v>171</v>
      </c>
      <c r="G45" s="117" t="s">
        <v>57</v>
      </c>
      <c r="H45" s="32" t="n">
        <f aca="false">COUNTIF('All Tasks'!$B$2:$B$404,$A45)</f>
        <v>0</v>
      </c>
      <c r="I45" s="118" t="str">
        <f aca="false">IF($H45=0,"No Tasks Yet",IF($L45&gt;0,"Blocked",IF($K45&gt;0,"At Risk",IF($R45=$H45,"Complete",IF($S45&gt;0,"In Progress","Not Started")))))</f>
        <v>No Tasks Yet</v>
      </c>
      <c r="J45" s="33" t="str">
        <f aca="false">IF($H45=0,"",ROUND(SUMIFS('All Tasks'!$U$2:$U$404,'All Tasks'!$B$2:$B$404,$A45)/$H45,2))</f>
        <v/>
      </c>
      <c r="K45" s="32" t="n">
        <f aca="false">SUMIFS('All Tasks'!$R$2:$R$404,'All Tasks'!$B$2:$B$404,$A45)</f>
        <v>0</v>
      </c>
      <c r="L45" s="32" t="n">
        <f aca="false">COUNTIFS('All Tasks'!$B$2:$B$404,$A45,'All Tasks'!$I$2:$I$404,"Blocked")</f>
        <v>0</v>
      </c>
      <c r="M45" s="117" t="str">
        <f aca="false">IF($H45=0,"",IF($L45&gt;0,$L45&amp;" blocked / "&amp;$K45&amp;" overdue",IF($K45&gt;0,$K45&amp;" overdue task(s)",IF($T45&gt;0,$T45&amp;" roadblock(s) flagged","On track"))))</f>
        <v/>
      </c>
      <c r="N45" s="119" t="str">
        <f aca="false">IFERROR(minifs('All Tasks'!$L$2:$L$404,'All Tasks'!$B$2:$B$404,$A45,'All Tasks'!$I$2:$I$404,"&lt;&gt;Complete",'All Tasks'!$L$2:$L$404,"&gt;"&amp;(TODAY()-1)),"")</f>
        <v/>
      </c>
      <c r="O45" s="118" t="str">
        <f aca="false">IF($H45=0,"",IF(OR($I45="Blocked",$I45="At Risk"),"R",IF(OR($I45="Complete",$I45="In Progress"),"G","Y")))</f>
        <v/>
      </c>
      <c r="P45" s="120" t="str">
        <f aca="false">HYPERLINK("#'Project Review'!C3","Open")</f>
        <v>Open</v>
      </c>
      <c r="R45" s="121" t="n">
        <f aca="false">COUNTIFS('All Tasks'!$B$2:$B$404,$A45,'All Tasks'!$I$2:$I$404,"Complete")</f>
        <v>0</v>
      </c>
      <c r="S45" s="121" t="n">
        <f aca="false">COUNTIFS('All Tasks'!$B$2:$B$404,$A45,'All Tasks'!$I$2:$I$404,"In Progress")+COUNTIFS('All Tasks'!$B$2:$B$404,$A45,'All Tasks'!$I$2:$I$404,"Waiting on Someone")</f>
        <v>0</v>
      </c>
      <c r="T45" s="121" t="n">
        <f aca="false">SUMIFS('All Tasks'!$V$2:$V$404,'All Tasks'!$B$2:$B$404,$A45)</f>
        <v>0</v>
      </c>
    </row>
    <row r="46" customFormat="false" ht="32.8" hidden="false" customHeight="false" outlineLevel="0" collapsed="false">
      <c r="A46" s="116" t="s">
        <v>229</v>
      </c>
      <c r="B46" s="117" t="s">
        <v>38</v>
      </c>
      <c r="C46" s="117" t="s">
        <v>172</v>
      </c>
      <c r="D46" s="117" t="s">
        <v>149</v>
      </c>
      <c r="E46" s="117" t="s">
        <v>56</v>
      </c>
      <c r="F46" s="117" t="s">
        <v>173</v>
      </c>
      <c r="G46" s="117" t="s">
        <v>57</v>
      </c>
      <c r="H46" s="32" t="n">
        <f aca="false">COUNTIF('All Tasks'!$B$2:$B$404,$A46)</f>
        <v>0</v>
      </c>
      <c r="I46" s="118" t="str">
        <f aca="false">IF($H46=0,"No Tasks Yet",IF($L46&gt;0,"Blocked",IF($K46&gt;0,"At Risk",IF($R46=$H46,"Complete",IF($S46&gt;0,"In Progress","Not Started")))))</f>
        <v>No Tasks Yet</v>
      </c>
      <c r="J46" s="33" t="str">
        <f aca="false">IF($H46=0,"",ROUND(SUMIFS('All Tasks'!$U$2:$U$404,'All Tasks'!$B$2:$B$404,$A46)/$H46,2))</f>
        <v/>
      </c>
      <c r="K46" s="32" t="n">
        <f aca="false">SUMIFS('All Tasks'!$R$2:$R$404,'All Tasks'!$B$2:$B$404,$A46)</f>
        <v>0</v>
      </c>
      <c r="L46" s="32" t="n">
        <f aca="false">COUNTIFS('All Tasks'!$B$2:$B$404,$A46,'All Tasks'!$I$2:$I$404,"Blocked")</f>
        <v>0</v>
      </c>
      <c r="M46" s="117" t="str">
        <f aca="false">IF($H46=0,"",IF($L46&gt;0,$L46&amp;" blocked / "&amp;$K46&amp;" overdue",IF($K46&gt;0,$K46&amp;" overdue task(s)",IF($T46&gt;0,$T46&amp;" roadblock(s) flagged","On track"))))</f>
        <v/>
      </c>
      <c r="N46" s="119" t="str">
        <f aca="false">IFERROR(minifs('All Tasks'!$L$2:$L$404,'All Tasks'!$B$2:$B$404,$A46,'All Tasks'!$I$2:$I$404,"&lt;&gt;Complete",'All Tasks'!$L$2:$L$404,"&gt;"&amp;(TODAY()-1)),"")</f>
        <v/>
      </c>
      <c r="O46" s="118" t="str">
        <f aca="false">IF($H46=0,"",IF(OR($I46="Blocked",$I46="At Risk"),"R",IF(OR($I46="Complete",$I46="In Progress"),"G","Y")))</f>
        <v/>
      </c>
      <c r="P46" s="120" t="str">
        <f aca="false">HYPERLINK("#'Project Review'!C3","Open")</f>
        <v>Open</v>
      </c>
      <c r="R46" s="121" t="n">
        <f aca="false">COUNTIFS('All Tasks'!$B$2:$B$404,$A46,'All Tasks'!$I$2:$I$404,"Complete")</f>
        <v>0</v>
      </c>
      <c r="S46" s="121" t="n">
        <f aca="false">COUNTIFS('All Tasks'!$B$2:$B$404,$A46,'All Tasks'!$I$2:$I$404,"In Progress")+COUNTIFS('All Tasks'!$B$2:$B$404,$A46,'All Tasks'!$I$2:$I$404,"Waiting on Someone")</f>
        <v>0</v>
      </c>
      <c r="T46" s="121" t="n">
        <f aca="false">SUMIFS('All Tasks'!$V$2:$V$404,'All Tasks'!$B$2:$B$404,$A46)</f>
        <v>0</v>
      </c>
    </row>
    <row r="47" customFormat="false" ht="32.8" hidden="false" customHeight="false" outlineLevel="0" collapsed="false">
      <c r="A47" s="116" t="s">
        <v>230</v>
      </c>
      <c r="B47" s="117" t="s">
        <v>38</v>
      </c>
      <c r="C47" s="117" t="s">
        <v>174</v>
      </c>
      <c r="D47" s="117" t="s">
        <v>149</v>
      </c>
      <c r="E47" s="117" t="s">
        <v>56</v>
      </c>
      <c r="F47" s="117" t="s">
        <v>175</v>
      </c>
      <c r="G47" s="117" t="s">
        <v>57</v>
      </c>
      <c r="H47" s="32" t="n">
        <f aca="false">COUNTIF('All Tasks'!$B$2:$B$404,$A47)</f>
        <v>0</v>
      </c>
      <c r="I47" s="118" t="str">
        <f aca="false">IF($H47=0,"No Tasks Yet",IF($L47&gt;0,"Blocked",IF($K47&gt;0,"At Risk",IF($R47=$H47,"Complete",IF($S47&gt;0,"In Progress","Not Started")))))</f>
        <v>No Tasks Yet</v>
      </c>
      <c r="J47" s="33" t="str">
        <f aca="false">IF($H47=0,"",ROUND(SUMIFS('All Tasks'!$U$2:$U$404,'All Tasks'!$B$2:$B$404,$A47)/$H47,2))</f>
        <v/>
      </c>
      <c r="K47" s="32" t="n">
        <f aca="false">SUMIFS('All Tasks'!$R$2:$R$404,'All Tasks'!$B$2:$B$404,$A47)</f>
        <v>0</v>
      </c>
      <c r="L47" s="32" t="n">
        <f aca="false">COUNTIFS('All Tasks'!$B$2:$B$404,$A47,'All Tasks'!$I$2:$I$404,"Blocked")</f>
        <v>0</v>
      </c>
      <c r="M47" s="117" t="str">
        <f aca="false">IF($H47=0,"",IF($L47&gt;0,$L47&amp;" blocked / "&amp;$K47&amp;" overdue",IF($K47&gt;0,$K47&amp;" overdue task(s)",IF($T47&gt;0,$T47&amp;" roadblock(s) flagged","On track"))))</f>
        <v/>
      </c>
      <c r="N47" s="119" t="str">
        <f aca="false">IFERROR(minifs('All Tasks'!$L$2:$L$404,'All Tasks'!$B$2:$B$404,$A47,'All Tasks'!$I$2:$I$404,"&lt;&gt;Complete",'All Tasks'!$L$2:$L$404,"&gt;"&amp;(TODAY()-1)),"")</f>
        <v/>
      </c>
      <c r="O47" s="118" t="str">
        <f aca="false">IF($H47=0,"",IF(OR($I47="Blocked",$I47="At Risk"),"R",IF(OR($I47="Complete",$I47="In Progress"),"G","Y")))</f>
        <v/>
      </c>
      <c r="P47" s="120" t="str">
        <f aca="false">HYPERLINK("#'Project Review'!C3","Open")</f>
        <v>Open</v>
      </c>
      <c r="R47" s="121" t="n">
        <f aca="false">COUNTIFS('All Tasks'!$B$2:$B$404,$A47,'All Tasks'!$I$2:$I$404,"Complete")</f>
        <v>0</v>
      </c>
      <c r="S47" s="121" t="n">
        <f aca="false">COUNTIFS('All Tasks'!$B$2:$B$404,$A47,'All Tasks'!$I$2:$I$404,"In Progress")+COUNTIFS('All Tasks'!$B$2:$B$404,$A47,'All Tasks'!$I$2:$I$404,"Waiting on Someone")</f>
        <v>0</v>
      </c>
      <c r="T47" s="121" t="n">
        <f aca="false">SUMIFS('All Tasks'!$V$2:$V$404,'All Tasks'!$B$2:$B$404,$A47)</f>
        <v>0</v>
      </c>
    </row>
  </sheetData>
  <mergeCells count="2">
    <mergeCell ref="A1:P1"/>
    <mergeCell ref="A2:P2"/>
  </mergeCells>
  <conditionalFormatting sqref="I5:I47">
    <cfRule type="cellIs" priority="2" operator="equal" aboveAverage="0" equalAverage="0" bottom="0" percent="0" rank="0" text="" dxfId="29">
      <formula>"Complete"</formula>
    </cfRule>
    <cfRule type="cellIs" priority="3" operator="equal" aboveAverage="0" equalAverage="0" bottom="0" percent="0" rank="0" text="" dxfId="30">
      <formula>"In Progress"</formula>
    </cfRule>
    <cfRule type="cellIs" priority="4" operator="equal" aboveAverage="0" equalAverage="0" bottom="0" percent="0" rank="0" text="" dxfId="31">
      <formula>"At Risk"</formula>
    </cfRule>
    <cfRule type="cellIs" priority="5" operator="equal" aboveAverage="0" equalAverage="0" bottom="0" percent="0" rank="0" text="" dxfId="4">
      <formula>"Blocked"</formula>
    </cfRule>
    <cfRule type="cellIs" priority="6" operator="equal" aboveAverage="0" equalAverage="0" bottom="0" percent="0" rank="0" text="" dxfId="32">
      <formula>"Not Started"</formula>
    </cfRule>
  </conditionalFormatting>
  <conditionalFormatting sqref="O5:O47">
    <cfRule type="cellIs" priority="7" operator="equal" aboveAverage="0" equalAverage="0" bottom="0" percent="0" rank="0" text="" dxfId="1">
      <formula>"G"</formula>
    </cfRule>
    <cfRule type="cellIs" priority="8" operator="equal" aboveAverage="0" equalAverage="0" bottom="0" percent="0" rank="0" text="" dxfId="2">
      <formula>"Y"</formula>
    </cfRule>
    <cfRule type="cellIs" priority="9" operator="equal" aboveAverage="0" equalAverage="0" bottom="0" percent="0" rank="0" text="" dxfId="3">
      <formula>"R"</formula>
    </cfRule>
  </conditionalFormatting>
  <conditionalFormatting sqref="K5:K47">
    <cfRule type="cellIs" priority="10" operator="greaterThan" aboveAverage="0" equalAverage="0" bottom="0" percent="0" rank="0" text="" dxfId="0">
      <formula>0</formula>
    </cfRule>
  </conditionalFormatting>
  <conditionalFormatting sqref="J5:J47">
    <cfRule type="dataBar" priority="11">
      <dataBar showValue="1" minLength="10" maxLength="90">
        <cfvo type="num" val="0"/>
        <cfvo type="num" val="1"/>
        <color rgb="FF2E75B6"/>
      </dataBar>
      <extLst>
        <ext xmlns:x14="http://schemas.microsoft.com/office/spreadsheetml/2009/9/main" uri="{B025F937-C7B1-47D3-B67F-A62EFF666E3E}">
          <x14:id>{DE3B4B2A-AA9B-4795-80BB-B46F4BF0CA70}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DE3B4B2A-AA9B-4795-80BB-B46F4BF0CA70}">
            <x14:dataBar minLength="10" maxLength="90" axisPosition="none" gradient="true">
              <x14:cfvo type="num">
                <xm:f>0</xm:f>
              </x14:cfvo>
              <x14:cfvo type="num">
                <xm:f>1</xm:f>
              </x14:cfvo>
              <x14:negativeFillColor rgb="FF2E75B6"/>
              <x14:axisColor rgb="FF000000"/>
            </x14:dataBar>
          </x14:cfRule>
          <xm:sqref>J5:J47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false"/>
  </sheetPr>
  <dimension ref="A1:N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8.5390625" defaultRowHeight="15" zeroHeight="false" outlineLevelRow="0" outlineLevelCol="0"/>
  <cols>
    <col collapsed="false" customWidth="true" hidden="true" outlineLevel="0" max="1" min="1" style="0" width="13"/>
    <col collapsed="false" customWidth="true" hidden="false" outlineLevel="0" max="2" min="2" style="0" width="9"/>
    <col collapsed="false" customWidth="true" hidden="false" outlineLevel="0" max="3" min="3" style="0" width="34"/>
    <col collapsed="false" customWidth="true" hidden="false" outlineLevel="0" max="4" min="4" style="0" width="11"/>
    <col collapsed="false" customWidth="true" hidden="false" outlineLevel="0" max="5" min="5" style="0" width="10"/>
    <col collapsed="false" customWidth="true" hidden="false" outlineLevel="0" max="6" min="6" style="0" width="15"/>
    <col collapsed="false" customWidth="true" hidden="false" outlineLevel="0" max="7" min="7" style="0" width="8"/>
    <col collapsed="false" customWidth="true" hidden="false" outlineLevel="0" max="9" min="8" style="0" width="10"/>
    <col collapsed="false" customWidth="true" hidden="false" outlineLevel="0" max="10" min="10" style="0" width="9"/>
    <col collapsed="false" customWidth="true" hidden="false" outlineLevel="0" max="11" min="11" style="0" width="24"/>
    <col collapsed="false" customWidth="true" hidden="false" outlineLevel="0" max="12" min="12" style="0" width="11"/>
    <col collapsed="false" customWidth="true" hidden="false" outlineLevel="0" max="13" min="13" style="0" width="28"/>
  </cols>
  <sheetData>
    <row r="1" customFormat="false" ht="30" hidden="false" customHeight="true" outlineLevel="0" collapsed="false">
      <c r="B1" s="114" t="s">
        <v>231</v>
      </c>
      <c r="C1" s="114"/>
      <c r="D1" s="114"/>
      <c r="E1" s="114"/>
      <c r="F1" s="114"/>
      <c r="G1" s="114"/>
      <c r="H1" s="114"/>
      <c r="I1" s="114"/>
      <c r="J1" s="114"/>
      <c r="K1" s="114"/>
      <c r="L1" s="114"/>
      <c r="M1" s="114"/>
      <c r="N1" s="114"/>
    </row>
    <row r="2" customFormat="false" ht="15" hidden="false" customHeight="false" outlineLevel="0" collapsed="false">
      <c r="B2" s="2" t="s">
        <v>232</v>
      </c>
      <c r="C2" s="2"/>
      <c r="D2" s="2"/>
      <c r="E2" s="2"/>
      <c r="F2" s="2"/>
      <c r="G2" s="2"/>
      <c r="H2" s="2"/>
      <c r="I2" s="2"/>
      <c r="J2" s="2"/>
      <c r="K2" s="2"/>
      <c r="L2" s="2"/>
      <c r="M2" s="2"/>
      <c r="N2" s="2"/>
    </row>
    <row r="3" customFormat="false" ht="15" hidden="false" customHeight="false" outlineLevel="0" collapsed="false">
      <c r="B3" s="122" t="s">
        <v>233</v>
      </c>
      <c r="C3" s="123" t="s">
        <v>187</v>
      </c>
    </row>
    <row r="5" customFormat="false" ht="19.5" hidden="false" customHeight="true" outlineLevel="0" collapsed="false">
      <c r="B5" s="124" t="s">
        <v>179</v>
      </c>
      <c r="C5" s="125" t="str">
        <f aca="false">IFERROR(VLOOKUP($C$3,Projects!$A:$C,3,FALSE()),"")</f>
        <v>Implement standardized Mutual Evaluation Process (MEP) across all brands</v>
      </c>
      <c r="D5" s="125"/>
      <c r="E5" s="125"/>
      <c r="F5" s="125"/>
      <c r="G5" s="125"/>
      <c r="H5" s="125"/>
    </row>
    <row r="6" customFormat="false" ht="19.5" hidden="false" customHeight="true" outlineLevel="0" collapsed="false">
      <c r="B6" s="124" t="s">
        <v>16</v>
      </c>
      <c r="C6" s="125" t="str">
        <f aca="false">IFERROR(VLOOKUP($C$3,Projects!$A:$B,2,FALSE()),"")</f>
        <v>1 – Unified Development System</v>
      </c>
      <c r="D6" s="125"/>
      <c r="E6" s="125"/>
      <c r="F6" s="125"/>
      <c r="G6" s="125"/>
      <c r="H6" s="125"/>
    </row>
    <row r="7" customFormat="false" ht="19.5" hidden="false" customHeight="true" outlineLevel="0" collapsed="false">
      <c r="B7" s="124" t="s">
        <v>234</v>
      </c>
      <c r="C7" s="125" t="str">
        <f aca="false">IFERROR(VLOOKUP($C$3,Projects!$A:$D,4,FALSE()),"")</f>
        <v>Dobelbower</v>
      </c>
      <c r="D7" s="125"/>
      <c r="E7" s="125"/>
      <c r="F7" s="125"/>
      <c r="G7" s="125"/>
      <c r="H7" s="125"/>
    </row>
    <row r="8" customFormat="false" ht="19.5" hidden="false" customHeight="true" outlineLevel="0" collapsed="false">
      <c r="B8" s="124" t="s">
        <v>181</v>
      </c>
      <c r="C8" s="125" t="str">
        <f aca="false">IFERROR(VLOOKUP($C$3,Projects!$A:$E,5,FALSE()),"")</f>
        <v>Developers</v>
      </c>
      <c r="D8" s="125"/>
      <c r="E8" s="125"/>
      <c r="F8" s="125"/>
      <c r="G8" s="125"/>
      <c r="H8" s="125"/>
    </row>
    <row r="9" customFormat="false" ht="19.5" hidden="false" customHeight="true" outlineLevel="0" collapsed="false">
      <c r="B9" s="124" t="s">
        <v>49</v>
      </c>
      <c r="C9" s="125" t="str">
        <f aca="false">IFERROR(VLOOKUP($C$3,Lists!$A:$F,6,FALSE()),"")</f>
        <v>Short (90)</v>
      </c>
      <c r="D9" s="125"/>
      <c r="E9" s="125"/>
      <c r="F9" s="125"/>
      <c r="G9" s="125"/>
      <c r="H9" s="125"/>
    </row>
    <row r="10" customFormat="false" ht="19.5" hidden="false" customHeight="true" outlineLevel="0" collapsed="false">
      <c r="B10" s="124" t="s">
        <v>182</v>
      </c>
      <c r="C10" s="125" t="str">
        <f aca="false">IFERROR(VLOOKUP($C$3,Lists!$A:$E,5,FALSE()),"")</f>
        <v>Current franchise development processes vary significantly by brand, creating inconsistent candidate experiences and reducing scalability.</v>
      </c>
      <c r="D10" s="125"/>
      <c r="E10" s="125"/>
      <c r="F10" s="125"/>
      <c r="G10" s="125"/>
      <c r="H10" s="125"/>
    </row>
    <row r="11" customFormat="false" ht="19.5" hidden="false" customHeight="true" outlineLevel="0" collapsed="false">
      <c r="B11" s="124" t="s">
        <v>183</v>
      </c>
      <c r="C11" s="125" t="str">
        <f aca="false">IFERROR(VLOOKUP($C$3,Projects!$A:$I,9,FALSE()),"")</f>
        <v>In Progress</v>
      </c>
      <c r="D11" s="125"/>
      <c r="E11" s="125"/>
      <c r="F11" s="125"/>
      <c r="G11" s="125"/>
      <c r="H11" s="125"/>
    </row>
    <row r="12" customFormat="false" ht="19.5" hidden="false" customHeight="true" outlineLevel="0" collapsed="false">
      <c r="B12" s="124" t="s">
        <v>20</v>
      </c>
      <c r="C12" s="126" t="n">
        <f aca="false">IFERROR(VLOOKUP($C$3,Projects!$A:$J,10,FALSE()),"")</f>
        <v>0.5</v>
      </c>
      <c r="D12" s="126"/>
      <c r="E12" s="126"/>
      <c r="F12" s="126"/>
      <c r="G12" s="126"/>
      <c r="H12" s="126"/>
    </row>
    <row r="13" customFormat="false" ht="19.5" hidden="false" customHeight="true" outlineLevel="0" collapsed="false">
      <c r="B13" s="124" t="s">
        <v>9</v>
      </c>
      <c r="C13" s="125" t="n">
        <f aca="false">IFERROR(VLOOKUP($C$3,Projects!$A:$K,11,FALSE()),"")</f>
        <v>0</v>
      </c>
      <c r="D13" s="125"/>
      <c r="E13" s="125"/>
      <c r="F13" s="125"/>
      <c r="G13" s="125"/>
      <c r="H13" s="125"/>
    </row>
    <row r="14" customFormat="false" ht="19.5" hidden="false" customHeight="true" outlineLevel="0" collapsed="false">
      <c r="B14" s="124" t="s">
        <v>235</v>
      </c>
      <c r="C14" s="125" t="n">
        <f aca="false">IFERROR(VLOOKUP($C$3,Projects!$A:$L,12,FALSE()),"")</f>
        <v>0</v>
      </c>
      <c r="D14" s="125"/>
      <c r="E14" s="125"/>
      <c r="F14" s="125"/>
      <c r="G14" s="125"/>
      <c r="H14" s="125"/>
    </row>
    <row r="15" customFormat="false" ht="19.5" hidden="false" customHeight="true" outlineLevel="0" collapsed="false">
      <c r="B15" s="124" t="s">
        <v>184</v>
      </c>
      <c r="C15" s="125" t="str">
        <f aca="false">IFERROR(VLOOKUP($C$3,Projects!$A:$M,13,FALSE()),"")</f>
        <v>On track</v>
      </c>
      <c r="D15" s="125"/>
      <c r="E15" s="125"/>
      <c r="F15" s="125"/>
      <c r="G15" s="125"/>
      <c r="H15" s="125"/>
    </row>
    <row r="16" customFormat="false" ht="19.5" hidden="false" customHeight="true" outlineLevel="0" collapsed="false">
      <c r="B16" s="124" t="s">
        <v>185</v>
      </c>
      <c r="C16" s="127" t="str">
        <f aca="false">IFERROR(VLOOKUP($C$3,Projects!$A:$N,14,FALSE()),"")</f>
        <v/>
      </c>
      <c r="D16" s="127"/>
      <c r="E16" s="127"/>
      <c r="F16" s="127"/>
      <c r="G16" s="127"/>
      <c r="H16" s="127"/>
    </row>
    <row r="18" customFormat="false" ht="21.75" hidden="false" customHeight="true" outlineLevel="0" collapsed="false">
      <c r="B18" s="128" t="s">
        <v>236</v>
      </c>
      <c r="C18" s="128"/>
      <c r="D18" s="128"/>
      <c r="E18" s="128"/>
      <c r="F18" s="128"/>
      <c r="G18" s="128"/>
      <c r="H18" s="128"/>
      <c r="I18" s="128"/>
      <c r="J18" s="128"/>
      <c r="K18" s="128"/>
      <c r="L18" s="128"/>
      <c r="M18" s="128"/>
      <c r="N18" s="128"/>
    </row>
    <row r="19" customFormat="false" ht="25.5" hidden="false" customHeight="true" outlineLevel="0" collapsed="false">
      <c r="B19" s="129" t="s">
        <v>237</v>
      </c>
      <c r="C19" s="129" t="s">
        <v>238</v>
      </c>
      <c r="D19" s="129" t="s">
        <v>239</v>
      </c>
      <c r="E19" s="129" t="s">
        <v>240</v>
      </c>
      <c r="F19" s="129" t="s">
        <v>241</v>
      </c>
      <c r="G19" s="129" t="s">
        <v>50</v>
      </c>
      <c r="H19" s="129" t="s">
        <v>242</v>
      </c>
      <c r="I19" s="129" t="s">
        <v>243</v>
      </c>
      <c r="J19" s="129" t="s">
        <v>244</v>
      </c>
      <c r="K19" s="129" t="s">
        <v>245</v>
      </c>
      <c r="L19" s="129" t="s">
        <v>246</v>
      </c>
      <c r="M19" s="129" t="s">
        <v>247</v>
      </c>
      <c r="N19" s="129" t="s">
        <v>248</v>
      </c>
    </row>
    <row r="20" customFormat="false" ht="25.5" hidden="false" customHeight="true" outlineLevel="0" collapsed="false">
      <c r="A20" s="0" t="str">
        <f aca="false">IFERROR(aggregate(15,6,ROW('All Tasks'!$B$2:$B$404)/('All Tasks'!$B$2:$B$404=$C$3),ROWS($A$20:$A20)),"")</f>
        <v/>
      </c>
      <c r="B20" s="32" t="str">
        <f aca="false">IF($A20="","",INDEX('All Tasks'!$A:$A,$A20))</f>
        <v/>
      </c>
      <c r="C20" s="117" t="str">
        <f aca="false">IF($A20="","",INDEX('All Tasks'!$E:$E,$A20))</f>
        <v/>
      </c>
      <c r="D20" s="117" t="str">
        <f aca="false">IF($A20="","",INDEX('All Tasks'!$G:$G,$A20))</f>
        <v/>
      </c>
      <c r="E20" s="32" t="str">
        <f aca="false">IF($A20="","",INDEX('All Tasks'!$F:$F,$A20))</f>
        <v/>
      </c>
      <c r="F20" s="32" t="str">
        <f aca="false">IF($A20="","",INDEX('All Tasks'!$H:$H,$A20))</f>
        <v/>
      </c>
      <c r="G20" s="33" t="str">
        <f aca="false">IF($A20="","",INDEX('All Tasks'!$I:$I,$A20))</f>
        <v/>
      </c>
      <c r="H20" s="32" t="str">
        <f aca="false">IF($A20="","",INDEX('All Tasks'!$J:$J,$A20))</f>
        <v/>
      </c>
      <c r="I20" s="119" t="str">
        <f aca="false">IF($A20="","",INDEX('All Tasks'!$K:$K,$A20))</f>
        <v/>
      </c>
      <c r="J20" s="119" t="str">
        <f aca="false">IF($A20="","",INDEX('All Tasks'!$L:$L,$A20))</f>
        <v/>
      </c>
      <c r="K20" s="117" t="str">
        <f aca="false">IF($A20="","",INDEX('All Tasks'!$T:$T,$A20))</f>
        <v/>
      </c>
      <c r="L20" s="117" t="str">
        <f aca="false">IF($A20="","",INDEX('All Tasks'!$N:$N,$A20))</f>
        <v/>
      </c>
      <c r="M20" s="117" t="str">
        <f aca="false">IF($A20="","",INDEX('All Tasks'!$O:$O,$A20))</f>
        <v/>
      </c>
      <c r="N20" s="117" t="str">
        <f aca="false">IF($A20="","",INDEX('All Tasks'!$P:$P,$A20))</f>
        <v/>
      </c>
    </row>
    <row r="21" customFormat="false" ht="25.5" hidden="false" customHeight="true" outlineLevel="0" collapsed="false">
      <c r="A21" s="0" t="str">
        <f aca="false">IFERROR(aggregate(15,6,ROW('All Tasks'!$B$2:$B$404)/('All Tasks'!$B$2:$B$404=$C$3),ROWS($A$20:$A21)),"")</f>
        <v/>
      </c>
      <c r="B21" s="32" t="str">
        <f aca="false">IF($A21="","",INDEX('All Tasks'!$A:$A,$A21))</f>
        <v/>
      </c>
      <c r="C21" s="117" t="str">
        <f aca="false">IF($A21="","",INDEX('All Tasks'!$E:$E,$A21))</f>
        <v/>
      </c>
      <c r="D21" s="117" t="str">
        <f aca="false">IF($A21="","",INDEX('All Tasks'!$G:$G,$A21))</f>
        <v/>
      </c>
      <c r="E21" s="32" t="str">
        <f aca="false">IF($A21="","",INDEX('All Tasks'!$F:$F,$A21))</f>
        <v/>
      </c>
      <c r="F21" s="32" t="str">
        <f aca="false">IF($A21="","",INDEX('All Tasks'!$H:$H,$A21))</f>
        <v/>
      </c>
      <c r="G21" s="33" t="str">
        <f aca="false">IF($A21="","",INDEX('All Tasks'!$I:$I,$A21))</f>
        <v/>
      </c>
      <c r="H21" s="32" t="str">
        <f aca="false">IF($A21="","",INDEX('All Tasks'!$J:$J,$A21))</f>
        <v/>
      </c>
      <c r="I21" s="119" t="str">
        <f aca="false">IF($A21="","",INDEX('All Tasks'!$K:$K,$A21))</f>
        <v/>
      </c>
      <c r="J21" s="119" t="str">
        <f aca="false">IF($A21="","",INDEX('All Tasks'!$L:$L,$A21))</f>
        <v/>
      </c>
      <c r="K21" s="117" t="str">
        <f aca="false">IF($A21="","",INDEX('All Tasks'!$T:$T,$A21))</f>
        <v/>
      </c>
      <c r="L21" s="117" t="str">
        <f aca="false">IF($A21="","",INDEX('All Tasks'!$N:$N,$A21))</f>
        <v/>
      </c>
      <c r="M21" s="117" t="str">
        <f aca="false">IF($A21="","",INDEX('All Tasks'!$O:$O,$A21))</f>
        <v/>
      </c>
      <c r="N21" s="117" t="str">
        <f aca="false">IF($A21="","",INDEX('All Tasks'!$P:$P,$A21))</f>
        <v/>
      </c>
    </row>
    <row r="22" customFormat="false" ht="25.5" hidden="false" customHeight="true" outlineLevel="0" collapsed="false">
      <c r="A22" s="0" t="str">
        <f aca="false">IFERROR(aggregate(15,6,ROW('All Tasks'!$B$2:$B$404)/('All Tasks'!$B$2:$B$404=$C$3),ROWS($A$20:$A22)),"")</f>
        <v/>
      </c>
      <c r="B22" s="32" t="str">
        <f aca="false">IF($A22="","",INDEX('All Tasks'!$A:$A,$A22))</f>
        <v/>
      </c>
      <c r="C22" s="117" t="str">
        <f aca="false">IF($A22="","",INDEX('All Tasks'!$E:$E,$A22))</f>
        <v/>
      </c>
      <c r="D22" s="117" t="str">
        <f aca="false">IF($A22="","",INDEX('All Tasks'!$G:$G,$A22))</f>
        <v/>
      </c>
      <c r="E22" s="32" t="str">
        <f aca="false">IF($A22="","",INDEX('All Tasks'!$F:$F,$A22))</f>
        <v/>
      </c>
      <c r="F22" s="32" t="str">
        <f aca="false">IF($A22="","",INDEX('All Tasks'!$H:$H,$A22))</f>
        <v/>
      </c>
      <c r="G22" s="33" t="str">
        <f aca="false">IF($A22="","",INDEX('All Tasks'!$I:$I,$A22))</f>
        <v/>
      </c>
      <c r="H22" s="32" t="str">
        <f aca="false">IF($A22="","",INDEX('All Tasks'!$J:$J,$A22))</f>
        <v/>
      </c>
      <c r="I22" s="119" t="str">
        <f aca="false">IF($A22="","",INDEX('All Tasks'!$K:$K,$A22))</f>
        <v/>
      </c>
      <c r="J22" s="119" t="str">
        <f aca="false">IF($A22="","",INDEX('All Tasks'!$L:$L,$A22))</f>
        <v/>
      </c>
      <c r="K22" s="117" t="str">
        <f aca="false">IF($A22="","",INDEX('All Tasks'!$T:$T,$A22))</f>
        <v/>
      </c>
      <c r="L22" s="117" t="str">
        <f aca="false">IF($A22="","",INDEX('All Tasks'!$N:$N,$A22))</f>
        <v/>
      </c>
      <c r="M22" s="117" t="str">
        <f aca="false">IF($A22="","",INDEX('All Tasks'!$O:$O,$A22))</f>
        <v/>
      </c>
      <c r="N22" s="117" t="str">
        <f aca="false">IF($A22="","",INDEX('All Tasks'!$P:$P,$A22))</f>
        <v/>
      </c>
    </row>
    <row r="23" customFormat="false" ht="25.5" hidden="false" customHeight="true" outlineLevel="0" collapsed="false">
      <c r="A23" s="0" t="str">
        <f aca="false">IFERROR(aggregate(15,6,ROW('All Tasks'!$B$2:$B$404)/('All Tasks'!$B$2:$B$404=$C$3),ROWS($A$20:$A23)),"")</f>
        <v/>
      </c>
      <c r="B23" s="32" t="str">
        <f aca="false">IF($A23="","",INDEX('All Tasks'!$A:$A,$A23))</f>
        <v/>
      </c>
      <c r="C23" s="117" t="str">
        <f aca="false">IF($A23="","",INDEX('All Tasks'!$E:$E,$A23))</f>
        <v/>
      </c>
      <c r="D23" s="117" t="str">
        <f aca="false">IF($A23="","",INDEX('All Tasks'!$G:$G,$A23))</f>
        <v/>
      </c>
      <c r="E23" s="32" t="str">
        <f aca="false">IF($A23="","",INDEX('All Tasks'!$F:$F,$A23))</f>
        <v/>
      </c>
      <c r="F23" s="32" t="str">
        <f aca="false">IF($A23="","",INDEX('All Tasks'!$H:$H,$A23))</f>
        <v/>
      </c>
      <c r="G23" s="33" t="str">
        <f aca="false">IF($A23="","",INDEX('All Tasks'!$I:$I,$A23))</f>
        <v/>
      </c>
      <c r="H23" s="32" t="str">
        <f aca="false">IF($A23="","",INDEX('All Tasks'!$J:$J,$A23))</f>
        <v/>
      </c>
      <c r="I23" s="119" t="str">
        <f aca="false">IF($A23="","",INDEX('All Tasks'!$K:$K,$A23))</f>
        <v/>
      </c>
      <c r="J23" s="119" t="str">
        <f aca="false">IF($A23="","",INDEX('All Tasks'!$L:$L,$A23))</f>
        <v/>
      </c>
      <c r="K23" s="117" t="str">
        <f aca="false">IF($A23="","",INDEX('All Tasks'!$T:$T,$A23))</f>
        <v/>
      </c>
      <c r="L23" s="117" t="str">
        <f aca="false">IF($A23="","",INDEX('All Tasks'!$N:$N,$A23))</f>
        <v/>
      </c>
      <c r="M23" s="117" t="str">
        <f aca="false">IF($A23="","",INDEX('All Tasks'!$O:$O,$A23))</f>
        <v/>
      </c>
      <c r="N23" s="117" t="str">
        <f aca="false">IF($A23="","",INDEX('All Tasks'!$P:$P,$A23))</f>
        <v/>
      </c>
    </row>
    <row r="24" customFormat="false" ht="25.5" hidden="false" customHeight="true" outlineLevel="0" collapsed="false">
      <c r="A24" s="0" t="str">
        <f aca="false">IFERROR(aggregate(15,6,ROW('All Tasks'!$B$2:$B$404)/('All Tasks'!$B$2:$B$404=$C$3),ROWS($A$20:$A24)),"")</f>
        <v/>
      </c>
      <c r="B24" s="32" t="str">
        <f aca="false">IF($A24="","",INDEX('All Tasks'!$A:$A,$A24))</f>
        <v/>
      </c>
      <c r="C24" s="117" t="str">
        <f aca="false">IF($A24="","",INDEX('All Tasks'!$E:$E,$A24))</f>
        <v/>
      </c>
      <c r="D24" s="117" t="str">
        <f aca="false">IF($A24="","",INDEX('All Tasks'!$G:$G,$A24))</f>
        <v/>
      </c>
      <c r="E24" s="32" t="str">
        <f aca="false">IF($A24="","",INDEX('All Tasks'!$F:$F,$A24))</f>
        <v/>
      </c>
      <c r="F24" s="32" t="str">
        <f aca="false">IF($A24="","",INDEX('All Tasks'!$H:$H,$A24))</f>
        <v/>
      </c>
      <c r="G24" s="33" t="str">
        <f aca="false">IF($A24="","",INDEX('All Tasks'!$I:$I,$A24))</f>
        <v/>
      </c>
      <c r="H24" s="32" t="str">
        <f aca="false">IF($A24="","",INDEX('All Tasks'!$J:$J,$A24))</f>
        <v/>
      </c>
      <c r="I24" s="119" t="str">
        <f aca="false">IF($A24="","",INDEX('All Tasks'!$K:$K,$A24))</f>
        <v/>
      </c>
      <c r="J24" s="119" t="str">
        <f aca="false">IF($A24="","",INDEX('All Tasks'!$L:$L,$A24))</f>
        <v/>
      </c>
      <c r="K24" s="117" t="str">
        <f aca="false">IF($A24="","",INDEX('All Tasks'!$T:$T,$A24))</f>
        <v/>
      </c>
      <c r="L24" s="117" t="str">
        <f aca="false">IF($A24="","",INDEX('All Tasks'!$N:$N,$A24))</f>
        <v/>
      </c>
      <c r="M24" s="117" t="str">
        <f aca="false">IF($A24="","",INDEX('All Tasks'!$O:$O,$A24))</f>
        <v/>
      </c>
      <c r="N24" s="117" t="str">
        <f aca="false">IF($A24="","",INDEX('All Tasks'!$P:$P,$A24))</f>
        <v/>
      </c>
    </row>
    <row r="25" customFormat="false" ht="25.5" hidden="false" customHeight="true" outlineLevel="0" collapsed="false">
      <c r="A25" s="0" t="str">
        <f aca="false">IFERROR(aggregate(15,6,ROW('All Tasks'!$B$2:$B$404)/('All Tasks'!$B$2:$B$404=$C$3),ROWS($A$20:$A25)),"")</f>
        <v/>
      </c>
      <c r="B25" s="32" t="str">
        <f aca="false">IF($A25="","",INDEX('All Tasks'!$A:$A,$A25))</f>
        <v/>
      </c>
      <c r="C25" s="117" t="str">
        <f aca="false">IF($A25="","",INDEX('All Tasks'!$E:$E,$A25))</f>
        <v/>
      </c>
      <c r="D25" s="117" t="str">
        <f aca="false">IF($A25="","",INDEX('All Tasks'!$G:$G,$A25))</f>
        <v/>
      </c>
      <c r="E25" s="32" t="str">
        <f aca="false">IF($A25="","",INDEX('All Tasks'!$F:$F,$A25))</f>
        <v/>
      </c>
      <c r="F25" s="32" t="str">
        <f aca="false">IF($A25="","",INDEX('All Tasks'!$H:$H,$A25))</f>
        <v/>
      </c>
      <c r="G25" s="33" t="str">
        <f aca="false">IF($A25="","",INDEX('All Tasks'!$I:$I,$A25))</f>
        <v/>
      </c>
      <c r="H25" s="32" t="str">
        <f aca="false">IF($A25="","",INDEX('All Tasks'!$J:$J,$A25))</f>
        <v/>
      </c>
      <c r="I25" s="119" t="str">
        <f aca="false">IF($A25="","",INDEX('All Tasks'!$K:$K,$A25))</f>
        <v/>
      </c>
      <c r="J25" s="119" t="str">
        <f aca="false">IF($A25="","",INDEX('All Tasks'!$L:$L,$A25))</f>
        <v/>
      </c>
      <c r="K25" s="117" t="str">
        <f aca="false">IF($A25="","",INDEX('All Tasks'!$T:$T,$A25))</f>
        <v/>
      </c>
      <c r="L25" s="117" t="str">
        <f aca="false">IF($A25="","",INDEX('All Tasks'!$N:$N,$A25))</f>
        <v/>
      </c>
      <c r="M25" s="117" t="str">
        <f aca="false">IF($A25="","",INDEX('All Tasks'!$O:$O,$A25))</f>
        <v/>
      </c>
      <c r="N25" s="117" t="str">
        <f aca="false">IF($A25="","",INDEX('All Tasks'!$P:$P,$A25))</f>
        <v/>
      </c>
    </row>
    <row r="26" customFormat="false" ht="25.5" hidden="false" customHeight="true" outlineLevel="0" collapsed="false">
      <c r="A26" s="0" t="str">
        <f aca="false">IFERROR(aggregate(15,6,ROW('All Tasks'!$B$2:$B$404)/('All Tasks'!$B$2:$B$404=$C$3),ROWS($A$20:$A26)),"")</f>
        <v/>
      </c>
      <c r="B26" s="32" t="str">
        <f aca="false">IF($A26="","",INDEX('All Tasks'!$A:$A,$A26))</f>
        <v/>
      </c>
      <c r="C26" s="117" t="str">
        <f aca="false">IF($A26="","",INDEX('All Tasks'!$E:$E,$A26))</f>
        <v/>
      </c>
      <c r="D26" s="117" t="str">
        <f aca="false">IF($A26="","",INDEX('All Tasks'!$G:$G,$A26))</f>
        <v/>
      </c>
      <c r="E26" s="32" t="str">
        <f aca="false">IF($A26="","",INDEX('All Tasks'!$F:$F,$A26))</f>
        <v/>
      </c>
      <c r="F26" s="32" t="str">
        <f aca="false">IF($A26="","",INDEX('All Tasks'!$H:$H,$A26))</f>
        <v/>
      </c>
      <c r="G26" s="33" t="str">
        <f aca="false">IF($A26="","",INDEX('All Tasks'!$I:$I,$A26))</f>
        <v/>
      </c>
      <c r="H26" s="32" t="str">
        <f aca="false">IF($A26="","",INDEX('All Tasks'!$J:$J,$A26))</f>
        <v/>
      </c>
      <c r="I26" s="119" t="str">
        <f aca="false">IF($A26="","",INDEX('All Tasks'!$K:$K,$A26))</f>
        <v/>
      </c>
      <c r="J26" s="119" t="str">
        <f aca="false">IF($A26="","",INDEX('All Tasks'!$L:$L,$A26))</f>
        <v/>
      </c>
      <c r="K26" s="117" t="str">
        <f aca="false">IF($A26="","",INDEX('All Tasks'!$T:$T,$A26))</f>
        <v/>
      </c>
      <c r="L26" s="117" t="str">
        <f aca="false">IF($A26="","",INDEX('All Tasks'!$N:$N,$A26))</f>
        <v/>
      </c>
      <c r="M26" s="117" t="str">
        <f aca="false">IF($A26="","",INDEX('All Tasks'!$O:$O,$A26))</f>
        <v/>
      </c>
      <c r="N26" s="117" t="str">
        <f aca="false">IF($A26="","",INDEX('All Tasks'!$P:$P,$A26))</f>
        <v/>
      </c>
    </row>
    <row r="27" customFormat="false" ht="25.5" hidden="false" customHeight="true" outlineLevel="0" collapsed="false">
      <c r="A27" s="0" t="str">
        <f aca="false">IFERROR(aggregate(15,6,ROW('All Tasks'!$B$2:$B$404)/('All Tasks'!$B$2:$B$404=$C$3),ROWS($A$20:$A27)),"")</f>
        <v/>
      </c>
      <c r="B27" s="32" t="str">
        <f aca="false">IF($A27="","",INDEX('All Tasks'!$A:$A,$A27))</f>
        <v/>
      </c>
      <c r="C27" s="117" t="str">
        <f aca="false">IF($A27="","",INDEX('All Tasks'!$E:$E,$A27))</f>
        <v/>
      </c>
      <c r="D27" s="117" t="str">
        <f aca="false">IF($A27="","",INDEX('All Tasks'!$G:$G,$A27))</f>
        <v/>
      </c>
      <c r="E27" s="32" t="str">
        <f aca="false">IF($A27="","",INDEX('All Tasks'!$F:$F,$A27))</f>
        <v/>
      </c>
      <c r="F27" s="32" t="str">
        <f aca="false">IF($A27="","",INDEX('All Tasks'!$H:$H,$A27))</f>
        <v/>
      </c>
      <c r="G27" s="33" t="str">
        <f aca="false">IF($A27="","",INDEX('All Tasks'!$I:$I,$A27))</f>
        <v/>
      </c>
      <c r="H27" s="32" t="str">
        <f aca="false">IF($A27="","",INDEX('All Tasks'!$J:$J,$A27))</f>
        <v/>
      </c>
      <c r="I27" s="119" t="str">
        <f aca="false">IF($A27="","",INDEX('All Tasks'!$K:$K,$A27))</f>
        <v/>
      </c>
      <c r="J27" s="119" t="str">
        <f aca="false">IF($A27="","",INDEX('All Tasks'!$L:$L,$A27))</f>
        <v/>
      </c>
      <c r="K27" s="117" t="str">
        <f aca="false">IF($A27="","",INDEX('All Tasks'!$T:$T,$A27))</f>
        <v/>
      </c>
      <c r="L27" s="117" t="str">
        <f aca="false">IF($A27="","",INDEX('All Tasks'!$N:$N,$A27))</f>
        <v/>
      </c>
      <c r="M27" s="117" t="str">
        <f aca="false">IF($A27="","",INDEX('All Tasks'!$O:$O,$A27))</f>
        <v/>
      </c>
      <c r="N27" s="117" t="str">
        <f aca="false">IF($A27="","",INDEX('All Tasks'!$P:$P,$A27))</f>
        <v/>
      </c>
    </row>
    <row r="28" customFormat="false" ht="25.5" hidden="false" customHeight="true" outlineLevel="0" collapsed="false">
      <c r="A28" s="0" t="str">
        <f aca="false">IFERROR(aggregate(15,6,ROW('All Tasks'!$B$2:$B$404)/('All Tasks'!$B$2:$B$404=$C$3),ROWS($A$20:$A28)),"")</f>
        <v/>
      </c>
      <c r="B28" s="32" t="str">
        <f aca="false">IF($A28="","",INDEX('All Tasks'!$A:$A,$A28))</f>
        <v/>
      </c>
      <c r="C28" s="117" t="str">
        <f aca="false">IF($A28="","",INDEX('All Tasks'!$E:$E,$A28))</f>
        <v/>
      </c>
      <c r="D28" s="117" t="str">
        <f aca="false">IF($A28="","",INDEX('All Tasks'!$G:$G,$A28))</f>
        <v/>
      </c>
      <c r="E28" s="32" t="str">
        <f aca="false">IF($A28="","",INDEX('All Tasks'!$F:$F,$A28))</f>
        <v/>
      </c>
      <c r="F28" s="32" t="str">
        <f aca="false">IF($A28="","",INDEX('All Tasks'!$H:$H,$A28))</f>
        <v/>
      </c>
      <c r="G28" s="33" t="str">
        <f aca="false">IF($A28="","",INDEX('All Tasks'!$I:$I,$A28))</f>
        <v/>
      </c>
      <c r="H28" s="32" t="str">
        <f aca="false">IF($A28="","",INDEX('All Tasks'!$J:$J,$A28))</f>
        <v/>
      </c>
      <c r="I28" s="119" t="str">
        <f aca="false">IF($A28="","",INDEX('All Tasks'!$K:$K,$A28))</f>
        <v/>
      </c>
      <c r="J28" s="119" t="str">
        <f aca="false">IF($A28="","",INDEX('All Tasks'!$L:$L,$A28))</f>
        <v/>
      </c>
      <c r="K28" s="117" t="str">
        <f aca="false">IF($A28="","",INDEX('All Tasks'!$T:$T,$A28))</f>
        <v/>
      </c>
      <c r="L28" s="117" t="str">
        <f aca="false">IF($A28="","",INDEX('All Tasks'!$N:$N,$A28))</f>
        <v/>
      </c>
      <c r="M28" s="117" t="str">
        <f aca="false">IF($A28="","",INDEX('All Tasks'!$O:$O,$A28))</f>
        <v/>
      </c>
      <c r="N28" s="117" t="str">
        <f aca="false">IF($A28="","",INDEX('All Tasks'!$P:$P,$A28))</f>
        <v/>
      </c>
    </row>
    <row r="29" customFormat="false" ht="25.5" hidden="false" customHeight="true" outlineLevel="0" collapsed="false">
      <c r="A29" s="0" t="str">
        <f aca="false">IFERROR(aggregate(15,6,ROW('All Tasks'!$B$2:$B$404)/('All Tasks'!$B$2:$B$404=$C$3),ROWS($A$20:$A29)),"")</f>
        <v/>
      </c>
      <c r="B29" s="32" t="str">
        <f aca="false">IF($A29="","",INDEX('All Tasks'!$A:$A,$A29))</f>
        <v/>
      </c>
      <c r="C29" s="117" t="str">
        <f aca="false">IF($A29="","",INDEX('All Tasks'!$E:$E,$A29))</f>
        <v/>
      </c>
      <c r="D29" s="117" t="str">
        <f aca="false">IF($A29="","",INDEX('All Tasks'!$G:$G,$A29))</f>
        <v/>
      </c>
      <c r="E29" s="32" t="str">
        <f aca="false">IF($A29="","",INDEX('All Tasks'!$F:$F,$A29))</f>
        <v/>
      </c>
      <c r="F29" s="32" t="str">
        <f aca="false">IF($A29="","",INDEX('All Tasks'!$H:$H,$A29))</f>
        <v/>
      </c>
      <c r="G29" s="33" t="str">
        <f aca="false">IF($A29="","",INDEX('All Tasks'!$I:$I,$A29))</f>
        <v/>
      </c>
      <c r="H29" s="32" t="str">
        <f aca="false">IF($A29="","",INDEX('All Tasks'!$J:$J,$A29))</f>
        <v/>
      </c>
      <c r="I29" s="119" t="str">
        <f aca="false">IF($A29="","",INDEX('All Tasks'!$K:$K,$A29))</f>
        <v/>
      </c>
      <c r="J29" s="119" t="str">
        <f aca="false">IF($A29="","",INDEX('All Tasks'!$L:$L,$A29))</f>
        <v/>
      </c>
      <c r="K29" s="117" t="str">
        <f aca="false">IF($A29="","",INDEX('All Tasks'!$T:$T,$A29))</f>
        <v/>
      </c>
      <c r="L29" s="117" t="str">
        <f aca="false">IF($A29="","",INDEX('All Tasks'!$N:$N,$A29))</f>
        <v/>
      </c>
      <c r="M29" s="117" t="str">
        <f aca="false">IF($A29="","",INDEX('All Tasks'!$O:$O,$A29))</f>
        <v/>
      </c>
      <c r="N29" s="117" t="str">
        <f aca="false">IF($A29="","",INDEX('All Tasks'!$P:$P,$A29))</f>
        <v/>
      </c>
    </row>
    <row r="30" customFormat="false" ht="25.5" hidden="false" customHeight="true" outlineLevel="0" collapsed="false">
      <c r="A30" s="0" t="str">
        <f aca="false">IFERROR(aggregate(15,6,ROW('All Tasks'!$B$2:$B$404)/('All Tasks'!$B$2:$B$404=$C$3),ROWS($A$20:$A30)),"")</f>
        <v/>
      </c>
      <c r="B30" s="32" t="str">
        <f aca="false">IF($A30="","",INDEX('All Tasks'!$A:$A,$A30))</f>
        <v/>
      </c>
      <c r="C30" s="117" t="str">
        <f aca="false">IF($A30="","",INDEX('All Tasks'!$E:$E,$A30))</f>
        <v/>
      </c>
      <c r="D30" s="117" t="str">
        <f aca="false">IF($A30="","",INDEX('All Tasks'!$G:$G,$A30))</f>
        <v/>
      </c>
      <c r="E30" s="32" t="str">
        <f aca="false">IF($A30="","",INDEX('All Tasks'!$F:$F,$A30))</f>
        <v/>
      </c>
      <c r="F30" s="32" t="str">
        <f aca="false">IF($A30="","",INDEX('All Tasks'!$H:$H,$A30))</f>
        <v/>
      </c>
      <c r="G30" s="33" t="str">
        <f aca="false">IF($A30="","",INDEX('All Tasks'!$I:$I,$A30))</f>
        <v/>
      </c>
      <c r="H30" s="32" t="str">
        <f aca="false">IF($A30="","",INDEX('All Tasks'!$J:$J,$A30))</f>
        <v/>
      </c>
      <c r="I30" s="119" t="str">
        <f aca="false">IF($A30="","",INDEX('All Tasks'!$K:$K,$A30))</f>
        <v/>
      </c>
      <c r="J30" s="119" t="str">
        <f aca="false">IF($A30="","",INDEX('All Tasks'!$L:$L,$A30))</f>
        <v/>
      </c>
      <c r="K30" s="117" t="str">
        <f aca="false">IF($A30="","",INDEX('All Tasks'!$T:$T,$A30))</f>
        <v/>
      </c>
      <c r="L30" s="117" t="str">
        <f aca="false">IF($A30="","",INDEX('All Tasks'!$N:$N,$A30))</f>
        <v/>
      </c>
      <c r="M30" s="117" t="str">
        <f aca="false">IF($A30="","",INDEX('All Tasks'!$O:$O,$A30))</f>
        <v/>
      </c>
      <c r="N30" s="117" t="str">
        <f aca="false">IF($A30="","",INDEX('All Tasks'!$P:$P,$A30))</f>
        <v/>
      </c>
    </row>
    <row r="31" customFormat="false" ht="25.5" hidden="false" customHeight="true" outlineLevel="0" collapsed="false">
      <c r="A31" s="0" t="str">
        <f aca="false">IFERROR(aggregate(15,6,ROW('All Tasks'!$B$2:$B$404)/('All Tasks'!$B$2:$B$404=$C$3),ROWS($A$20:$A31)),"")</f>
        <v/>
      </c>
      <c r="B31" s="32" t="str">
        <f aca="false">IF($A31="","",INDEX('All Tasks'!$A:$A,$A31))</f>
        <v/>
      </c>
      <c r="C31" s="117" t="str">
        <f aca="false">IF($A31="","",INDEX('All Tasks'!$E:$E,$A31))</f>
        <v/>
      </c>
      <c r="D31" s="117" t="str">
        <f aca="false">IF($A31="","",INDEX('All Tasks'!$G:$G,$A31))</f>
        <v/>
      </c>
      <c r="E31" s="32" t="str">
        <f aca="false">IF($A31="","",INDEX('All Tasks'!$F:$F,$A31))</f>
        <v/>
      </c>
      <c r="F31" s="32" t="str">
        <f aca="false">IF($A31="","",INDEX('All Tasks'!$H:$H,$A31))</f>
        <v/>
      </c>
      <c r="G31" s="33" t="str">
        <f aca="false">IF($A31="","",INDEX('All Tasks'!$I:$I,$A31))</f>
        <v/>
      </c>
      <c r="H31" s="32" t="str">
        <f aca="false">IF($A31="","",INDEX('All Tasks'!$J:$J,$A31))</f>
        <v/>
      </c>
      <c r="I31" s="119" t="str">
        <f aca="false">IF($A31="","",INDEX('All Tasks'!$K:$K,$A31))</f>
        <v/>
      </c>
      <c r="J31" s="119" t="str">
        <f aca="false">IF($A31="","",INDEX('All Tasks'!$L:$L,$A31))</f>
        <v/>
      </c>
      <c r="K31" s="117" t="str">
        <f aca="false">IF($A31="","",INDEX('All Tasks'!$T:$T,$A31))</f>
        <v/>
      </c>
      <c r="L31" s="117" t="str">
        <f aca="false">IF($A31="","",INDEX('All Tasks'!$N:$N,$A31))</f>
        <v/>
      </c>
      <c r="M31" s="117" t="str">
        <f aca="false">IF($A31="","",INDEX('All Tasks'!$O:$O,$A31))</f>
        <v/>
      </c>
      <c r="N31" s="117" t="str">
        <f aca="false">IF($A31="","",INDEX('All Tasks'!$P:$P,$A31))</f>
        <v/>
      </c>
    </row>
    <row r="32" customFormat="false" ht="25.5" hidden="false" customHeight="true" outlineLevel="0" collapsed="false">
      <c r="A32" s="0" t="str">
        <f aca="false">IFERROR(aggregate(15,6,ROW('All Tasks'!$B$2:$B$404)/('All Tasks'!$B$2:$B$404=$C$3),ROWS($A$20:$A32)),"")</f>
        <v/>
      </c>
      <c r="B32" s="32" t="str">
        <f aca="false">IF($A32="","",INDEX('All Tasks'!$A:$A,$A32))</f>
        <v/>
      </c>
      <c r="C32" s="117" t="str">
        <f aca="false">IF($A32="","",INDEX('All Tasks'!$E:$E,$A32))</f>
        <v/>
      </c>
      <c r="D32" s="117" t="str">
        <f aca="false">IF($A32="","",INDEX('All Tasks'!$G:$G,$A32))</f>
        <v/>
      </c>
      <c r="E32" s="32" t="str">
        <f aca="false">IF($A32="","",INDEX('All Tasks'!$F:$F,$A32))</f>
        <v/>
      </c>
      <c r="F32" s="32" t="str">
        <f aca="false">IF($A32="","",INDEX('All Tasks'!$H:$H,$A32))</f>
        <v/>
      </c>
      <c r="G32" s="33" t="str">
        <f aca="false">IF($A32="","",INDEX('All Tasks'!$I:$I,$A32))</f>
        <v/>
      </c>
      <c r="H32" s="32" t="str">
        <f aca="false">IF($A32="","",INDEX('All Tasks'!$J:$J,$A32))</f>
        <v/>
      </c>
      <c r="I32" s="119" t="str">
        <f aca="false">IF($A32="","",INDEX('All Tasks'!$K:$K,$A32))</f>
        <v/>
      </c>
      <c r="J32" s="119" t="str">
        <f aca="false">IF($A32="","",INDEX('All Tasks'!$L:$L,$A32))</f>
        <v/>
      </c>
      <c r="K32" s="117" t="str">
        <f aca="false">IF($A32="","",INDEX('All Tasks'!$T:$T,$A32))</f>
        <v/>
      </c>
      <c r="L32" s="117" t="str">
        <f aca="false">IF($A32="","",INDEX('All Tasks'!$N:$N,$A32))</f>
        <v/>
      </c>
      <c r="M32" s="117" t="str">
        <f aca="false">IF($A32="","",INDEX('All Tasks'!$O:$O,$A32))</f>
        <v/>
      </c>
      <c r="N32" s="117" t="str">
        <f aca="false">IF($A32="","",INDEX('All Tasks'!$P:$P,$A32))</f>
        <v/>
      </c>
    </row>
    <row r="33" customFormat="false" ht="25.5" hidden="false" customHeight="true" outlineLevel="0" collapsed="false">
      <c r="A33" s="0" t="str">
        <f aca="false">IFERROR(aggregate(15,6,ROW('All Tasks'!$B$2:$B$404)/('All Tasks'!$B$2:$B$404=$C$3),ROWS($A$20:$A33)),"")</f>
        <v/>
      </c>
      <c r="B33" s="32" t="str">
        <f aca="false">IF($A33="","",INDEX('All Tasks'!$A:$A,$A33))</f>
        <v/>
      </c>
      <c r="C33" s="117" t="str">
        <f aca="false">IF($A33="","",INDEX('All Tasks'!$E:$E,$A33))</f>
        <v/>
      </c>
      <c r="D33" s="117" t="str">
        <f aca="false">IF($A33="","",INDEX('All Tasks'!$G:$G,$A33))</f>
        <v/>
      </c>
      <c r="E33" s="32" t="str">
        <f aca="false">IF($A33="","",INDEX('All Tasks'!$F:$F,$A33))</f>
        <v/>
      </c>
      <c r="F33" s="32" t="str">
        <f aca="false">IF($A33="","",INDEX('All Tasks'!$H:$H,$A33))</f>
        <v/>
      </c>
      <c r="G33" s="33" t="str">
        <f aca="false">IF($A33="","",INDEX('All Tasks'!$I:$I,$A33))</f>
        <v/>
      </c>
      <c r="H33" s="32" t="str">
        <f aca="false">IF($A33="","",INDEX('All Tasks'!$J:$J,$A33))</f>
        <v/>
      </c>
      <c r="I33" s="119" t="str">
        <f aca="false">IF($A33="","",INDEX('All Tasks'!$K:$K,$A33))</f>
        <v/>
      </c>
      <c r="J33" s="119" t="str">
        <f aca="false">IF($A33="","",INDEX('All Tasks'!$L:$L,$A33))</f>
        <v/>
      </c>
      <c r="K33" s="117" t="str">
        <f aca="false">IF($A33="","",INDEX('All Tasks'!$T:$T,$A33))</f>
        <v/>
      </c>
      <c r="L33" s="117" t="str">
        <f aca="false">IF($A33="","",INDEX('All Tasks'!$N:$N,$A33))</f>
        <v/>
      </c>
      <c r="M33" s="117" t="str">
        <f aca="false">IF($A33="","",INDEX('All Tasks'!$O:$O,$A33))</f>
        <v/>
      </c>
      <c r="N33" s="117" t="str">
        <f aca="false">IF($A33="","",INDEX('All Tasks'!$P:$P,$A33))</f>
        <v/>
      </c>
    </row>
    <row r="34" customFormat="false" ht="25.5" hidden="false" customHeight="true" outlineLevel="0" collapsed="false">
      <c r="A34" s="0" t="str">
        <f aca="false">IFERROR(aggregate(15,6,ROW('All Tasks'!$B$2:$B$404)/('All Tasks'!$B$2:$B$404=$C$3),ROWS($A$20:$A34)),"")</f>
        <v/>
      </c>
      <c r="B34" s="32" t="str">
        <f aca="false">IF($A34="","",INDEX('All Tasks'!$A:$A,$A34))</f>
        <v/>
      </c>
      <c r="C34" s="117" t="str">
        <f aca="false">IF($A34="","",INDEX('All Tasks'!$E:$E,$A34))</f>
        <v/>
      </c>
      <c r="D34" s="117" t="str">
        <f aca="false">IF($A34="","",INDEX('All Tasks'!$G:$G,$A34))</f>
        <v/>
      </c>
      <c r="E34" s="32" t="str">
        <f aca="false">IF($A34="","",INDEX('All Tasks'!$F:$F,$A34))</f>
        <v/>
      </c>
      <c r="F34" s="32" t="str">
        <f aca="false">IF($A34="","",INDEX('All Tasks'!$H:$H,$A34))</f>
        <v/>
      </c>
      <c r="G34" s="33" t="str">
        <f aca="false">IF($A34="","",INDEX('All Tasks'!$I:$I,$A34))</f>
        <v/>
      </c>
      <c r="H34" s="32" t="str">
        <f aca="false">IF($A34="","",INDEX('All Tasks'!$J:$J,$A34))</f>
        <v/>
      </c>
      <c r="I34" s="119" t="str">
        <f aca="false">IF($A34="","",INDEX('All Tasks'!$K:$K,$A34))</f>
        <v/>
      </c>
      <c r="J34" s="119" t="str">
        <f aca="false">IF($A34="","",INDEX('All Tasks'!$L:$L,$A34))</f>
        <v/>
      </c>
      <c r="K34" s="117" t="str">
        <f aca="false">IF($A34="","",INDEX('All Tasks'!$T:$T,$A34))</f>
        <v/>
      </c>
      <c r="L34" s="117" t="str">
        <f aca="false">IF($A34="","",INDEX('All Tasks'!$N:$N,$A34))</f>
        <v/>
      </c>
      <c r="M34" s="117" t="str">
        <f aca="false">IF($A34="","",INDEX('All Tasks'!$O:$O,$A34))</f>
        <v/>
      </c>
      <c r="N34" s="117" t="str">
        <f aca="false">IF($A34="","",INDEX('All Tasks'!$P:$P,$A34))</f>
        <v/>
      </c>
    </row>
    <row r="35" customFormat="false" ht="25.5" hidden="false" customHeight="true" outlineLevel="0" collapsed="false">
      <c r="A35" s="0" t="str">
        <f aca="false">IFERROR(aggregate(15,6,ROW('All Tasks'!$B$2:$B$404)/('All Tasks'!$B$2:$B$404=$C$3),ROWS($A$20:$A35)),"")</f>
        <v/>
      </c>
      <c r="B35" s="32" t="str">
        <f aca="false">IF($A35="","",INDEX('All Tasks'!$A:$A,$A35))</f>
        <v/>
      </c>
      <c r="C35" s="117" t="str">
        <f aca="false">IF($A35="","",INDEX('All Tasks'!$E:$E,$A35))</f>
        <v/>
      </c>
      <c r="D35" s="117" t="str">
        <f aca="false">IF($A35="","",INDEX('All Tasks'!$G:$G,$A35))</f>
        <v/>
      </c>
      <c r="E35" s="32" t="str">
        <f aca="false">IF($A35="","",INDEX('All Tasks'!$F:$F,$A35))</f>
        <v/>
      </c>
      <c r="F35" s="32" t="str">
        <f aca="false">IF($A35="","",INDEX('All Tasks'!$H:$H,$A35))</f>
        <v/>
      </c>
      <c r="G35" s="33" t="str">
        <f aca="false">IF($A35="","",INDEX('All Tasks'!$I:$I,$A35))</f>
        <v/>
      </c>
      <c r="H35" s="32" t="str">
        <f aca="false">IF($A35="","",INDEX('All Tasks'!$J:$J,$A35))</f>
        <v/>
      </c>
      <c r="I35" s="119" t="str">
        <f aca="false">IF($A35="","",INDEX('All Tasks'!$K:$K,$A35))</f>
        <v/>
      </c>
      <c r="J35" s="119" t="str">
        <f aca="false">IF($A35="","",INDEX('All Tasks'!$L:$L,$A35))</f>
        <v/>
      </c>
      <c r="K35" s="117" t="str">
        <f aca="false">IF($A35="","",INDEX('All Tasks'!$T:$T,$A35))</f>
        <v/>
      </c>
      <c r="L35" s="117" t="str">
        <f aca="false">IF($A35="","",INDEX('All Tasks'!$N:$N,$A35))</f>
        <v/>
      </c>
      <c r="M35" s="117" t="str">
        <f aca="false">IF($A35="","",INDEX('All Tasks'!$O:$O,$A35))</f>
        <v/>
      </c>
      <c r="N35" s="117" t="str">
        <f aca="false">IF($A35="","",INDEX('All Tasks'!$P:$P,$A35))</f>
        <v/>
      </c>
    </row>
    <row r="36" customFormat="false" ht="25.5" hidden="false" customHeight="true" outlineLevel="0" collapsed="false">
      <c r="A36" s="0" t="str">
        <f aca="false">IFERROR(aggregate(15,6,ROW('All Tasks'!$B$2:$B$404)/('All Tasks'!$B$2:$B$404=$C$3),ROWS($A$20:$A36)),"")</f>
        <v/>
      </c>
      <c r="B36" s="32" t="str">
        <f aca="false">IF($A36="","",INDEX('All Tasks'!$A:$A,$A36))</f>
        <v/>
      </c>
      <c r="C36" s="117" t="str">
        <f aca="false">IF($A36="","",INDEX('All Tasks'!$E:$E,$A36))</f>
        <v/>
      </c>
      <c r="D36" s="117" t="str">
        <f aca="false">IF($A36="","",INDEX('All Tasks'!$G:$G,$A36))</f>
        <v/>
      </c>
      <c r="E36" s="32" t="str">
        <f aca="false">IF($A36="","",INDEX('All Tasks'!$F:$F,$A36))</f>
        <v/>
      </c>
      <c r="F36" s="32" t="str">
        <f aca="false">IF($A36="","",INDEX('All Tasks'!$H:$H,$A36))</f>
        <v/>
      </c>
      <c r="G36" s="33" t="str">
        <f aca="false">IF($A36="","",INDEX('All Tasks'!$I:$I,$A36))</f>
        <v/>
      </c>
      <c r="H36" s="32" t="str">
        <f aca="false">IF($A36="","",INDEX('All Tasks'!$J:$J,$A36))</f>
        <v/>
      </c>
      <c r="I36" s="119" t="str">
        <f aca="false">IF($A36="","",INDEX('All Tasks'!$K:$K,$A36))</f>
        <v/>
      </c>
      <c r="J36" s="119" t="str">
        <f aca="false">IF($A36="","",INDEX('All Tasks'!$L:$L,$A36))</f>
        <v/>
      </c>
      <c r="K36" s="117" t="str">
        <f aca="false">IF($A36="","",INDEX('All Tasks'!$T:$T,$A36))</f>
        <v/>
      </c>
      <c r="L36" s="117" t="str">
        <f aca="false">IF($A36="","",INDEX('All Tasks'!$N:$N,$A36))</f>
        <v/>
      </c>
      <c r="M36" s="117" t="str">
        <f aca="false">IF($A36="","",INDEX('All Tasks'!$O:$O,$A36))</f>
        <v/>
      </c>
      <c r="N36" s="117" t="str">
        <f aca="false">IF($A36="","",INDEX('All Tasks'!$P:$P,$A36))</f>
        <v/>
      </c>
    </row>
    <row r="37" customFormat="false" ht="25.5" hidden="false" customHeight="true" outlineLevel="0" collapsed="false">
      <c r="A37" s="0" t="str">
        <f aca="false">IFERROR(aggregate(15,6,ROW('All Tasks'!$B$2:$B$404)/('All Tasks'!$B$2:$B$404=$C$3),ROWS($A$20:$A37)),"")</f>
        <v/>
      </c>
      <c r="B37" s="32" t="str">
        <f aca="false">IF($A37="","",INDEX('All Tasks'!$A:$A,$A37))</f>
        <v/>
      </c>
      <c r="C37" s="117" t="str">
        <f aca="false">IF($A37="","",INDEX('All Tasks'!$E:$E,$A37))</f>
        <v/>
      </c>
      <c r="D37" s="117" t="str">
        <f aca="false">IF($A37="","",INDEX('All Tasks'!$G:$G,$A37))</f>
        <v/>
      </c>
      <c r="E37" s="32" t="str">
        <f aca="false">IF($A37="","",INDEX('All Tasks'!$F:$F,$A37))</f>
        <v/>
      </c>
      <c r="F37" s="32" t="str">
        <f aca="false">IF($A37="","",INDEX('All Tasks'!$H:$H,$A37))</f>
        <v/>
      </c>
      <c r="G37" s="33" t="str">
        <f aca="false">IF($A37="","",INDEX('All Tasks'!$I:$I,$A37))</f>
        <v/>
      </c>
      <c r="H37" s="32" t="str">
        <f aca="false">IF($A37="","",INDEX('All Tasks'!$J:$J,$A37))</f>
        <v/>
      </c>
      <c r="I37" s="119" t="str">
        <f aca="false">IF($A37="","",INDEX('All Tasks'!$K:$K,$A37))</f>
        <v/>
      </c>
      <c r="J37" s="119" t="str">
        <f aca="false">IF($A37="","",INDEX('All Tasks'!$L:$L,$A37))</f>
        <v/>
      </c>
      <c r="K37" s="117" t="str">
        <f aca="false">IF($A37="","",INDEX('All Tasks'!$T:$T,$A37))</f>
        <v/>
      </c>
      <c r="L37" s="117" t="str">
        <f aca="false">IF($A37="","",INDEX('All Tasks'!$N:$N,$A37))</f>
        <v/>
      </c>
      <c r="M37" s="117" t="str">
        <f aca="false">IF($A37="","",INDEX('All Tasks'!$O:$O,$A37))</f>
        <v/>
      </c>
      <c r="N37" s="117" t="str">
        <f aca="false">IF($A37="","",INDEX('All Tasks'!$P:$P,$A37))</f>
        <v/>
      </c>
    </row>
    <row r="38" customFormat="false" ht="25.5" hidden="false" customHeight="true" outlineLevel="0" collapsed="false">
      <c r="A38" s="0" t="str">
        <f aca="false">IFERROR(aggregate(15,6,ROW('All Tasks'!$B$2:$B$404)/('All Tasks'!$B$2:$B$404=$C$3),ROWS($A$20:$A38)),"")</f>
        <v/>
      </c>
      <c r="B38" s="32" t="str">
        <f aca="false">IF($A38="","",INDEX('All Tasks'!$A:$A,$A38))</f>
        <v/>
      </c>
      <c r="C38" s="117" t="str">
        <f aca="false">IF($A38="","",INDEX('All Tasks'!$E:$E,$A38))</f>
        <v/>
      </c>
      <c r="D38" s="117" t="str">
        <f aca="false">IF($A38="","",INDEX('All Tasks'!$G:$G,$A38))</f>
        <v/>
      </c>
      <c r="E38" s="32" t="str">
        <f aca="false">IF($A38="","",INDEX('All Tasks'!$F:$F,$A38))</f>
        <v/>
      </c>
      <c r="F38" s="32" t="str">
        <f aca="false">IF($A38="","",INDEX('All Tasks'!$H:$H,$A38))</f>
        <v/>
      </c>
      <c r="G38" s="33" t="str">
        <f aca="false">IF($A38="","",INDEX('All Tasks'!$I:$I,$A38))</f>
        <v/>
      </c>
      <c r="H38" s="32" t="str">
        <f aca="false">IF($A38="","",INDEX('All Tasks'!$J:$J,$A38))</f>
        <v/>
      </c>
      <c r="I38" s="119" t="str">
        <f aca="false">IF($A38="","",INDEX('All Tasks'!$K:$K,$A38))</f>
        <v/>
      </c>
      <c r="J38" s="119" t="str">
        <f aca="false">IF($A38="","",INDEX('All Tasks'!$L:$L,$A38))</f>
        <v/>
      </c>
      <c r="K38" s="117" t="str">
        <f aca="false">IF($A38="","",INDEX('All Tasks'!$T:$T,$A38))</f>
        <v/>
      </c>
      <c r="L38" s="117" t="str">
        <f aca="false">IF($A38="","",INDEX('All Tasks'!$N:$N,$A38))</f>
        <v/>
      </c>
      <c r="M38" s="117" t="str">
        <f aca="false">IF($A38="","",INDEX('All Tasks'!$O:$O,$A38))</f>
        <v/>
      </c>
      <c r="N38" s="117" t="str">
        <f aca="false">IF($A38="","",INDEX('All Tasks'!$P:$P,$A38))</f>
        <v/>
      </c>
    </row>
    <row r="39" customFormat="false" ht="25.5" hidden="false" customHeight="true" outlineLevel="0" collapsed="false">
      <c r="A39" s="0" t="str">
        <f aca="false">IFERROR(aggregate(15,6,ROW('All Tasks'!$B$2:$B$404)/('All Tasks'!$B$2:$B$404=$C$3),ROWS($A$20:$A39)),"")</f>
        <v/>
      </c>
      <c r="B39" s="32" t="str">
        <f aca="false">IF($A39="","",INDEX('All Tasks'!$A:$A,$A39))</f>
        <v/>
      </c>
      <c r="C39" s="117" t="str">
        <f aca="false">IF($A39="","",INDEX('All Tasks'!$E:$E,$A39))</f>
        <v/>
      </c>
      <c r="D39" s="117" t="str">
        <f aca="false">IF($A39="","",INDEX('All Tasks'!$G:$G,$A39))</f>
        <v/>
      </c>
      <c r="E39" s="32" t="str">
        <f aca="false">IF($A39="","",INDEX('All Tasks'!$F:$F,$A39))</f>
        <v/>
      </c>
      <c r="F39" s="32" t="str">
        <f aca="false">IF($A39="","",INDEX('All Tasks'!$H:$H,$A39))</f>
        <v/>
      </c>
      <c r="G39" s="33" t="str">
        <f aca="false">IF($A39="","",INDEX('All Tasks'!$I:$I,$A39))</f>
        <v/>
      </c>
      <c r="H39" s="32" t="str">
        <f aca="false">IF($A39="","",INDEX('All Tasks'!$J:$J,$A39))</f>
        <v/>
      </c>
      <c r="I39" s="119" t="str">
        <f aca="false">IF($A39="","",INDEX('All Tasks'!$K:$K,$A39))</f>
        <v/>
      </c>
      <c r="J39" s="119" t="str">
        <f aca="false">IF($A39="","",INDEX('All Tasks'!$L:$L,$A39))</f>
        <v/>
      </c>
      <c r="K39" s="117" t="str">
        <f aca="false">IF($A39="","",INDEX('All Tasks'!$T:$T,$A39))</f>
        <v/>
      </c>
      <c r="L39" s="117" t="str">
        <f aca="false">IF($A39="","",INDEX('All Tasks'!$N:$N,$A39))</f>
        <v/>
      </c>
      <c r="M39" s="117" t="str">
        <f aca="false">IF($A39="","",INDEX('All Tasks'!$O:$O,$A39))</f>
        <v/>
      </c>
      <c r="N39" s="117" t="str">
        <f aca="false">IF($A39="","",INDEX('All Tasks'!$P:$P,$A39))</f>
        <v/>
      </c>
    </row>
    <row r="40" customFormat="false" ht="25.5" hidden="false" customHeight="true" outlineLevel="0" collapsed="false">
      <c r="A40" s="0" t="str">
        <f aca="false">IFERROR(aggregate(15,6,ROW('All Tasks'!$B$2:$B$404)/('All Tasks'!$B$2:$B$404=$C$3),ROWS($A$20:$A40)),"")</f>
        <v/>
      </c>
      <c r="B40" s="32" t="str">
        <f aca="false">IF($A40="","",INDEX('All Tasks'!$A:$A,$A40))</f>
        <v/>
      </c>
      <c r="C40" s="117" t="str">
        <f aca="false">IF($A40="","",INDEX('All Tasks'!$E:$E,$A40))</f>
        <v/>
      </c>
      <c r="D40" s="117" t="str">
        <f aca="false">IF($A40="","",INDEX('All Tasks'!$G:$G,$A40))</f>
        <v/>
      </c>
      <c r="E40" s="32" t="str">
        <f aca="false">IF($A40="","",INDEX('All Tasks'!$F:$F,$A40))</f>
        <v/>
      </c>
      <c r="F40" s="32" t="str">
        <f aca="false">IF($A40="","",INDEX('All Tasks'!$H:$H,$A40))</f>
        <v/>
      </c>
      <c r="G40" s="33" t="str">
        <f aca="false">IF($A40="","",INDEX('All Tasks'!$I:$I,$A40))</f>
        <v/>
      </c>
      <c r="H40" s="32" t="str">
        <f aca="false">IF($A40="","",INDEX('All Tasks'!$J:$J,$A40))</f>
        <v/>
      </c>
      <c r="I40" s="119" t="str">
        <f aca="false">IF($A40="","",INDEX('All Tasks'!$K:$K,$A40))</f>
        <v/>
      </c>
      <c r="J40" s="119" t="str">
        <f aca="false">IF($A40="","",INDEX('All Tasks'!$L:$L,$A40))</f>
        <v/>
      </c>
      <c r="K40" s="117" t="str">
        <f aca="false">IF($A40="","",INDEX('All Tasks'!$T:$T,$A40))</f>
        <v/>
      </c>
      <c r="L40" s="117" t="str">
        <f aca="false">IF($A40="","",INDEX('All Tasks'!$N:$N,$A40))</f>
        <v/>
      </c>
      <c r="M40" s="117" t="str">
        <f aca="false">IF($A40="","",INDEX('All Tasks'!$O:$O,$A40))</f>
        <v/>
      </c>
      <c r="N40" s="117" t="str">
        <f aca="false">IF($A40="","",INDEX('All Tasks'!$P:$P,$A40))</f>
        <v/>
      </c>
    </row>
    <row r="41" customFormat="false" ht="25.5" hidden="false" customHeight="true" outlineLevel="0" collapsed="false">
      <c r="A41" s="0" t="str">
        <f aca="false">IFERROR(aggregate(15,6,ROW('All Tasks'!$B$2:$B$404)/('All Tasks'!$B$2:$B$404=$C$3),ROWS($A$20:$A41)),"")</f>
        <v/>
      </c>
      <c r="B41" s="32" t="str">
        <f aca="false">IF($A41="","",INDEX('All Tasks'!$A:$A,$A41))</f>
        <v/>
      </c>
      <c r="C41" s="117" t="str">
        <f aca="false">IF($A41="","",INDEX('All Tasks'!$E:$E,$A41))</f>
        <v/>
      </c>
      <c r="D41" s="117" t="str">
        <f aca="false">IF($A41="","",INDEX('All Tasks'!$G:$G,$A41))</f>
        <v/>
      </c>
      <c r="E41" s="32" t="str">
        <f aca="false">IF($A41="","",INDEX('All Tasks'!$F:$F,$A41))</f>
        <v/>
      </c>
      <c r="F41" s="32" t="str">
        <f aca="false">IF($A41="","",INDEX('All Tasks'!$H:$H,$A41))</f>
        <v/>
      </c>
      <c r="G41" s="33" t="str">
        <f aca="false">IF($A41="","",INDEX('All Tasks'!$I:$I,$A41))</f>
        <v/>
      </c>
      <c r="H41" s="32" t="str">
        <f aca="false">IF($A41="","",INDEX('All Tasks'!$J:$J,$A41))</f>
        <v/>
      </c>
      <c r="I41" s="119" t="str">
        <f aca="false">IF($A41="","",INDEX('All Tasks'!$K:$K,$A41))</f>
        <v/>
      </c>
      <c r="J41" s="119" t="str">
        <f aca="false">IF($A41="","",INDEX('All Tasks'!$L:$L,$A41))</f>
        <v/>
      </c>
      <c r="K41" s="117" t="str">
        <f aca="false">IF($A41="","",INDEX('All Tasks'!$T:$T,$A41))</f>
        <v/>
      </c>
      <c r="L41" s="117" t="str">
        <f aca="false">IF($A41="","",INDEX('All Tasks'!$N:$N,$A41))</f>
        <v/>
      </c>
      <c r="M41" s="117" t="str">
        <f aca="false">IF($A41="","",INDEX('All Tasks'!$O:$O,$A41))</f>
        <v/>
      </c>
      <c r="N41" s="117" t="str">
        <f aca="false">IF($A41="","",INDEX('All Tasks'!$P:$P,$A41))</f>
        <v/>
      </c>
    </row>
    <row r="42" customFormat="false" ht="25.5" hidden="false" customHeight="true" outlineLevel="0" collapsed="false">
      <c r="A42" s="0" t="str">
        <f aca="false">IFERROR(aggregate(15,6,ROW('All Tasks'!$B$2:$B$404)/('All Tasks'!$B$2:$B$404=$C$3),ROWS($A$20:$A42)),"")</f>
        <v/>
      </c>
      <c r="B42" s="32" t="str">
        <f aca="false">IF($A42="","",INDEX('All Tasks'!$A:$A,$A42))</f>
        <v/>
      </c>
      <c r="C42" s="117" t="str">
        <f aca="false">IF($A42="","",INDEX('All Tasks'!$E:$E,$A42))</f>
        <v/>
      </c>
      <c r="D42" s="117" t="str">
        <f aca="false">IF($A42="","",INDEX('All Tasks'!$G:$G,$A42))</f>
        <v/>
      </c>
      <c r="E42" s="32" t="str">
        <f aca="false">IF($A42="","",INDEX('All Tasks'!$F:$F,$A42))</f>
        <v/>
      </c>
      <c r="F42" s="32" t="str">
        <f aca="false">IF($A42="","",INDEX('All Tasks'!$H:$H,$A42))</f>
        <v/>
      </c>
      <c r="G42" s="33" t="str">
        <f aca="false">IF($A42="","",INDEX('All Tasks'!$I:$I,$A42))</f>
        <v/>
      </c>
      <c r="H42" s="32" t="str">
        <f aca="false">IF($A42="","",INDEX('All Tasks'!$J:$J,$A42))</f>
        <v/>
      </c>
      <c r="I42" s="119" t="str">
        <f aca="false">IF($A42="","",INDEX('All Tasks'!$K:$K,$A42))</f>
        <v/>
      </c>
      <c r="J42" s="119" t="str">
        <f aca="false">IF($A42="","",INDEX('All Tasks'!$L:$L,$A42))</f>
        <v/>
      </c>
      <c r="K42" s="117" t="str">
        <f aca="false">IF($A42="","",INDEX('All Tasks'!$T:$T,$A42))</f>
        <v/>
      </c>
      <c r="L42" s="117" t="str">
        <f aca="false">IF($A42="","",INDEX('All Tasks'!$N:$N,$A42))</f>
        <v/>
      </c>
      <c r="M42" s="117" t="str">
        <f aca="false">IF($A42="","",INDEX('All Tasks'!$O:$O,$A42))</f>
        <v/>
      </c>
      <c r="N42" s="117" t="str">
        <f aca="false">IF($A42="","",INDEX('All Tasks'!$P:$P,$A42))</f>
        <v/>
      </c>
    </row>
    <row r="43" customFormat="false" ht="25.5" hidden="false" customHeight="true" outlineLevel="0" collapsed="false">
      <c r="A43" s="0" t="str">
        <f aca="false">IFERROR(aggregate(15,6,ROW('All Tasks'!$B$2:$B$404)/('All Tasks'!$B$2:$B$404=$C$3),ROWS($A$20:$A43)),"")</f>
        <v/>
      </c>
      <c r="B43" s="32" t="str">
        <f aca="false">IF($A43="","",INDEX('All Tasks'!$A:$A,$A43))</f>
        <v/>
      </c>
      <c r="C43" s="117" t="str">
        <f aca="false">IF($A43="","",INDEX('All Tasks'!$E:$E,$A43))</f>
        <v/>
      </c>
      <c r="D43" s="117" t="str">
        <f aca="false">IF($A43="","",INDEX('All Tasks'!$G:$G,$A43))</f>
        <v/>
      </c>
      <c r="E43" s="32" t="str">
        <f aca="false">IF($A43="","",INDEX('All Tasks'!$F:$F,$A43))</f>
        <v/>
      </c>
      <c r="F43" s="32" t="str">
        <f aca="false">IF($A43="","",INDEX('All Tasks'!$H:$H,$A43))</f>
        <v/>
      </c>
      <c r="G43" s="33" t="str">
        <f aca="false">IF($A43="","",INDEX('All Tasks'!$I:$I,$A43))</f>
        <v/>
      </c>
      <c r="H43" s="32" t="str">
        <f aca="false">IF($A43="","",INDEX('All Tasks'!$J:$J,$A43))</f>
        <v/>
      </c>
      <c r="I43" s="119" t="str">
        <f aca="false">IF($A43="","",INDEX('All Tasks'!$K:$K,$A43))</f>
        <v/>
      </c>
      <c r="J43" s="119" t="str">
        <f aca="false">IF($A43="","",INDEX('All Tasks'!$L:$L,$A43))</f>
        <v/>
      </c>
      <c r="K43" s="117" t="str">
        <f aca="false">IF($A43="","",INDEX('All Tasks'!$T:$T,$A43))</f>
        <v/>
      </c>
      <c r="L43" s="117" t="str">
        <f aca="false">IF($A43="","",INDEX('All Tasks'!$N:$N,$A43))</f>
        <v/>
      </c>
      <c r="M43" s="117" t="str">
        <f aca="false">IF($A43="","",INDEX('All Tasks'!$O:$O,$A43))</f>
        <v/>
      </c>
      <c r="N43" s="117" t="str">
        <f aca="false">IF($A43="","",INDEX('All Tasks'!$P:$P,$A43))</f>
        <v/>
      </c>
    </row>
    <row r="44" customFormat="false" ht="25.5" hidden="false" customHeight="true" outlineLevel="0" collapsed="false">
      <c r="A44" s="0" t="str">
        <f aca="false">IFERROR(aggregate(15,6,ROW('All Tasks'!$B$2:$B$404)/('All Tasks'!$B$2:$B$404=$C$3),ROWS($A$20:$A44)),"")</f>
        <v/>
      </c>
      <c r="B44" s="32" t="str">
        <f aca="false">IF($A44="","",INDEX('All Tasks'!$A:$A,$A44))</f>
        <v/>
      </c>
      <c r="C44" s="117" t="str">
        <f aca="false">IF($A44="","",INDEX('All Tasks'!$E:$E,$A44))</f>
        <v/>
      </c>
      <c r="D44" s="117" t="str">
        <f aca="false">IF($A44="","",INDEX('All Tasks'!$G:$G,$A44))</f>
        <v/>
      </c>
      <c r="E44" s="32" t="str">
        <f aca="false">IF($A44="","",INDEX('All Tasks'!$F:$F,$A44))</f>
        <v/>
      </c>
      <c r="F44" s="32" t="str">
        <f aca="false">IF($A44="","",INDEX('All Tasks'!$H:$H,$A44))</f>
        <v/>
      </c>
      <c r="G44" s="33" t="str">
        <f aca="false">IF($A44="","",INDEX('All Tasks'!$I:$I,$A44))</f>
        <v/>
      </c>
      <c r="H44" s="32" t="str">
        <f aca="false">IF($A44="","",INDEX('All Tasks'!$J:$J,$A44))</f>
        <v/>
      </c>
      <c r="I44" s="119" t="str">
        <f aca="false">IF($A44="","",INDEX('All Tasks'!$K:$K,$A44))</f>
        <v/>
      </c>
      <c r="J44" s="119" t="str">
        <f aca="false">IF($A44="","",INDEX('All Tasks'!$L:$L,$A44))</f>
        <v/>
      </c>
      <c r="K44" s="117" t="str">
        <f aca="false">IF($A44="","",INDEX('All Tasks'!$T:$T,$A44))</f>
        <v/>
      </c>
      <c r="L44" s="117" t="str">
        <f aca="false">IF($A44="","",INDEX('All Tasks'!$N:$N,$A44))</f>
        <v/>
      </c>
      <c r="M44" s="117" t="str">
        <f aca="false">IF($A44="","",INDEX('All Tasks'!$O:$O,$A44))</f>
        <v/>
      </c>
      <c r="N44" s="117" t="str">
        <f aca="false">IF($A44="","",INDEX('All Tasks'!$P:$P,$A44))</f>
        <v/>
      </c>
    </row>
    <row r="45" customFormat="false" ht="25.5" hidden="false" customHeight="true" outlineLevel="0" collapsed="false">
      <c r="A45" s="0" t="str">
        <f aca="false">IFERROR(aggregate(15,6,ROW('All Tasks'!$B$2:$B$404)/('All Tasks'!$B$2:$B$404=$C$3),ROWS($A$20:$A45)),"")</f>
        <v/>
      </c>
      <c r="B45" s="32" t="str">
        <f aca="false">IF($A45="","",INDEX('All Tasks'!$A:$A,$A45))</f>
        <v/>
      </c>
      <c r="C45" s="117" t="str">
        <f aca="false">IF($A45="","",INDEX('All Tasks'!$E:$E,$A45))</f>
        <v/>
      </c>
      <c r="D45" s="117" t="str">
        <f aca="false">IF($A45="","",INDEX('All Tasks'!$G:$G,$A45))</f>
        <v/>
      </c>
      <c r="E45" s="32" t="str">
        <f aca="false">IF($A45="","",INDEX('All Tasks'!$F:$F,$A45))</f>
        <v/>
      </c>
      <c r="F45" s="32" t="str">
        <f aca="false">IF($A45="","",INDEX('All Tasks'!$H:$H,$A45))</f>
        <v/>
      </c>
      <c r="G45" s="33" t="str">
        <f aca="false">IF($A45="","",INDEX('All Tasks'!$I:$I,$A45))</f>
        <v/>
      </c>
      <c r="H45" s="32" t="str">
        <f aca="false">IF($A45="","",INDEX('All Tasks'!$J:$J,$A45))</f>
        <v/>
      </c>
      <c r="I45" s="119" t="str">
        <f aca="false">IF($A45="","",INDEX('All Tasks'!$K:$K,$A45))</f>
        <v/>
      </c>
      <c r="J45" s="119" t="str">
        <f aca="false">IF($A45="","",INDEX('All Tasks'!$L:$L,$A45))</f>
        <v/>
      </c>
      <c r="K45" s="117" t="str">
        <f aca="false">IF($A45="","",INDEX('All Tasks'!$T:$T,$A45))</f>
        <v/>
      </c>
      <c r="L45" s="117" t="str">
        <f aca="false">IF($A45="","",INDEX('All Tasks'!$N:$N,$A45))</f>
        <v/>
      </c>
      <c r="M45" s="117" t="str">
        <f aca="false">IF($A45="","",INDEX('All Tasks'!$O:$O,$A45))</f>
        <v/>
      </c>
      <c r="N45" s="117" t="str">
        <f aca="false">IF($A45="","",INDEX('All Tasks'!$P:$P,$A45))</f>
        <v/>
      </c>
    </row>
    <row r="46" customFormat="false" ht="25.5" hidden="false" customHeight="true" outlineLevel="0" collapsed="false">
      <c r="A46" s="0" t="str">
        <f aca="false">IFERROR(aggregate(15,6,ROW('All Tasks'!$B$2:$B$404)/('All Tasks'!$B$2:$B$404=$C$3),ROWS($A$20:$A46)),"")</f>
        <v/>
      </c>
      <c r="B46" s="32" t="str">
        <f aca="false">IF($A46="","",INDEX('All Tasks'!$A:$A,$A46))</f>
        <v/>
      </c>
      <c r="C46" s="117" t="str">
        <f aca="false">IF($A46="","",INDEX('All Tasks'!$E:$E,$A46))</f>
        <v/>
      </c>
      <c r="D46" s="117" t="str">
        <f aca="false">IF($A46="","",INDEX('All Tasks'!$G:$G,$A46))</f>
        <v/>
      </c>
      <c r="E46" s="32" t="str">
        <f aca="false">IF($A46="","",INDEX('All Tasks'!$F:$F,$A46))</f>
        <v/>
      </c>
      <c r="F46" s="32" t="str">
        <f aca="false">IF($A46="","",INDEX('All Tasks'!$H:$H,$A46))</f>
        <v/>
      </c>
      <c r="G46" s="33" t="str">
        <f aca="false">IF($A46="","",INDEX('All Tasks'!$I:$I,$A46))</f>
        <v/>
      </c>
      <c r="H46" s="32" t="str">
        <f aca="false">IF($A46="","",INDEX('All Tasks'!$J:$J,$A46))</f>
        <v/>
      </c>
      <c r="I46" s="119" t="str">
        <f aca="false">IF($A46="","",INDEX('All Tasks'!$K:$K,$A46))</f>
        <v/>
      </c>
      <c r="J46" s="119" t="str">
        <f aca="false">IF($A46="","",INDEX('All Tasks'!$L:$L,$A46))</f>
        <v/>
      </c>
      <c r="K46" s="117" t="str">
        <f aca="false">IF($A46="","",INDEX('All Tasks'!$T:$T,$A46))</f>
        <v/>
      </c>
      <c r="L46" s="117" t="str">
        <f aca="false">IF($A46="","",INDEX('All Tasks'!$N:$N,$A46))</f>
        <v/>
      </c>
      <c r="M46" s="117" t="str">
        <f aca="false">IF($A46="","",INDEX('All Tasks'!$O:$O,$A46))</f>
        <v/>
      </c>
      <c r="N46" s="117" t="str">
        <f aca="false">IF($A46="","",INDEX('All Tasks'!$P:$P,$A46))</f>
        <v/>
      </c>
    </row>
    <row r="47" customFormat="false" ht="25.5" hidden="false" customHeight="true" outlineLevel="0" collapsed="false">
      <c r="A47" s="0" t="str">
        <f aca="false">IFERROR(aggregate(15,6,ROW('All Tasks'!$B$2:$B$404)/('All Tasks'!$B$2:$B$404=$C$3),ROWS($A$20:$A47)),"")</f>
        <v/>
      </c>
      <c r="B47" s="32" t="str">
        <f aca="false">IF($A47="","",INDEX('All Tasks'!$A:$A,$A47))</f>
        <v/>
      </c>
      <c r="C47" s="117" t="str">
        <f aca="false">IF($A47="","",INDEX('All Tasks'!$E:$E,$A47))</f>
        <v/>
      </c>
      <c r="D47" s="117" t="str">
        <f aca="false">IF($A47="","",INDEX('All Tasks'!$G:$G,$A47))</f>
        <v/>
      </c>
      <c r="E47" s="32" t="str">
        <f aca="false">IF($A47="","",INDEX('All Tasks'!$F:$F,$A47))</f>
        <v/>
      </c>
      <c r="F47" s="32" t="str">
        <f aca="false">IF($A47="","",INDEX('All Tasks'!$H:$H,$A47))</f>
        <v/>
      </c>
      <c r="G47" s="33" t="str">
        <f aca="false">IF($A47="","",INDEX('All Tasks'!$I:$I,$A47))</f>
        <v/>
      </c>
      <c r="H47" s="32" t="str">
        <f aca="false">IF($A47="","",INDEX('All Tasks'!$J:$J,$A47))</f>
        <v/>
      </c>
      <c r="I47" s="119" t="str">
        <f aca="false">IF($A47="","",INDEX('All Tasks'!$K:$K,$A47))</f>
        <v/>
      </c>
      <c r="J47" s="119" t="str">
        <f aca="false">IF($A47="","",INDEX('All Tasks'!$L:$L,$A47))</f>
        <v/>
      </c>
      <c r="K47" s="117" t="str">
        <f aca="false">IF($A47="","",INDEX('All Tasks'!$T:$T,$A47))</f>
        <v/>
      </c>
      <c r="L47" s="117" t="str">
        <f aca="false">IF($A47="","",INDEX('All Tasks'!$N:$N,$A47))</f>
        <v/>
      </c>
      <c r="M47" s="117" t="str">
        <f aca="false">IF($A47="","",INDEX('All Tasks'!$O:$O,$A47))</f>
        <v/>
      </c>
      <c r="N47" s="117" t="str">
        <f aca="false">IF($A47="","",INDEX('All Tasks'!$P:$P,$A47))</f>
        <v/>
      </c>
    </row>
    <row r="48" customFormat="false" ht="25.5" hidden="false" customHeight="true" outlineLevel="0" collapsed="false">
      <c r="A48" s="0" t="str">
        <f aca="false">IFERROR(aggregate(15,6,ROW('All Tasks'!$B$2:$B$404)/('All Tasks'!$B$2:$B$404=$C$3),ROWS($A$20:$A48)),"")</f>
        <v/>
      </c>
      <c r="B48" s="32" t="str">
        <f aca="false">IF($A48="","",INDEX('All Tasks'!$A:$A,$A48))</f>
        <v/>
      </c>
      <c r="C48" s="117" t="str">
        <f aca="false">IF($A48="","",INDEX('All Tasks'!$E:$E,$A48))</f>
        <v/>
      </c>
      <c r="D48" s="117" t="str">
        <f aca="false">IF($A48="","",INDEX('All Tasks'!$G:$G,$A48))</f>
        <v/>
      </c>
      <c r="E48" s="32" t="str">
        <f aca="false">IF($A48="","",INDEX('All Tasks'!$F:$F,$A48))</f>
        <v/>
      </c>
      <c r="F48" s="32" t="str">
        <f aca="false">IF($A48="","",INDEX('All Tasks'!$H:$H,$A48))</f>
        <v/>
      </c>
      <c r="G48" s="33" t="str">
        <f aca="false">IF($A48="","",INDEX('All Tasks'!$I:$I,$A48))</f>
        <v/>
      </c>
      <c r="H48" s="32" t="str">
        <f aca="false">IF($A48="","",INDEX('All Tasks'!$J:$J,$A48))</f>
        <v/>
      </c>
      <c r="I48" s="119" t="str">
        <f aca="false">IF($A48="","",INDEX('All Tasks'!$K:$K,$A48))</f>
        <v/>
      </c>
      <c r="J48" s="119" t="str">
        <f aca="false">IF($A48="","",INDEX('All Tasks'!$L:$L,$A48))</f>
        <v/>
      </c>
      <c r="K48" s="117" t="str">
        <f aca="false">IF($A48="","",INDEX('All Tasks'!$T:$T,$A48))</f>
        <v/>
      </c>
      <c r="L48" s="117" t="str">
        <f aca="false">IF($A48="","",INDEX('All Tasks'!$N:$N,$A48))</f>
        <v/>
      </c>
      <c r="M48" s="117" t="str">
        <f aca="false">IF($A48="","",INDEX('All Tasks'!$O:$O,$A48))</f>
        <v/>
      </c>
      <c r="N48" s="117" t="str">
        <f aca="false">IF($A48="","",INDEX('All Tasks'!$P:$P,$A48))</f>
        <v/>
      </c>
    </row>
    <row r="49" customFormat="false" ht="25.5" hidden="false" customHeight="true" outlineLevel="0" collapsed="false">
      <c r="A49" s="0" t="str">
        <f aca="false">IFERROR(aggregate(15,6,ROW('All Tasks'!$B$2:$B$404)/('All Tasks'!$B$2:$B$404=$C$3),ROWS($A$20:$A49)),"")</f>
        <v/>
      </c>
      <c r="B49" s="32" t="str">
        <f aca="false">IF($A49="","",INDEX('All Tasks'!$A:$A,$A49))</f>
        <v/>
      </c>
      <c r="C49" s="117" t="str">
        <f aca="false">IF($A49="","",INDEX('All Tasks'!$E:$E,$A49))</f>
        <v/>
      </c>
      <c r="D49" s="117" t="str">
        <f aca="false">IF($A49="","",INDEX('All Tasks'!$G:$G,$A49))</f>
        <v/>
      </c>
      <c r="E49" s="32" t="str">
        <f aca="false">IF($A49="","",INDEX('All Tasks'!$F:$F,$A49))</f>
        <v/>
      </c>
      <c r="F49" s="32" t="str">
        <f aca="false">IF($A49="","",INDEX('All Tasks'!$H:$H,$A49))</f>
        <v/>
      </c>
      <c r="G49" s="33" t="str">
        <f aca="false">IF($A49="","",INDEX('All Tasks'!$I:$I,$A49))</f>
        <v/>
      </c>
      <c r="H49" s="32" t="str">
        <f aca="false">IF($A49="","",INDEX('All Tasks'!$J:$J,$A49))</f>
        <v/>
      </c>
      <c r="I49" s="119" t="str">
        <f aca="false">IF($A49="","",INDEX('All Tasks'!$K:$K,$A49))</f>
        <v/>
      </c>
      <c r="J49" s="119" t="str">
        <f aca="false">IF($A49="","",INDEX('All Tasks'!$L:$L,$A49))</f>
        <v/>
      </c>
      <c r="K49" s="117" t="str">
        <f aca="false">IF($A49="","",INDEX('All Tasks'!$T:$T,$A49))</f>
        <v/>
      </c>
      <c r="L49" s="117" t="str">
        <f aca="false">IF($A49="","",INDEX('All Tasks'!$N:$N,$A49))</f>
        <v/>
      </c>
      <c r="M49" s="117" t="str">
        <f aca="false">IF($A49="","",INDEX('All Tasks'!$O:$O,$A49))</f>
        <v/>
      </c>
      <c r="N49" s="117" t="str">
        <f aca="false">IF($A49="","",INDEX('All Tasks'!$P:$P,$A49))</f>
        <v/>
      </c>
    </row>
  </sheetData>
  <mergeCells count="15">
    <mergeCell ref="B1:N1"/>
    <mergeCell ref="B2:N2"/>
    <mergeCell ref="C5:H5"/>
    <mergeCell ref="C6:H6"/>
    <mergeCell ref="C7:H7"/>
    <mergeCell ref="C8:H8"/>
    <mergeCell ref="C9:H9"/>
    <mergeCell ref="C10:H10"/>
    <mergeCell ref="C11:H11"/>
    <mergeCell ref="C12:H12"/>
    <mergeCell ref="C13:H13"/>
    <mergeCell ref="C14:H14"/>
    <mergeCell ref="C15:H15"/>
    <mergeCell ref="C16:H16"/>
    <mergeCell ref="B18:N18"/>
  </mergeCells>
  <conditionalFormatting sqref="G20:G49">
    <cfRule type="cellIs" priority="2" operator="equal" aboveAverage="0" equalAverage="0" bottom="0" percent="0" rank="0" text="" dxfId="29">
      <formula>"Complete"</formula>
    </cfRule>
    <cfRule type="cellIs" priority="3" operator="equal" aboveAverage="0" equalAverage="0" bottom="0" percent="0" rank="0" text="" dxfId="4">
      <formula>"Blocked"</formula>
    </cfRule>
    <cfRule type="cellIs" priority="4" operator="equal" aboveAverage="0" equalAverage="0" bottom="0" percent="0" rank="0" text="" dxfId="33">
      <formula>"In Progress"</formula>
    </cfRule>
    <cfRule type="cellIs" priority="5" operator="equal" aboveAverage="0" equalAverage="0" bottom="0" percent="0" rank="0" text="" dxfId="34">
      <formula>"Waiting on Someone"</formula>
    </cfRule>
  </conditionalFormatting>
  <conditionalFormatting sqref="J20:J49">
    <cfRule type="expression" priority="6" aboveAverage="0" equalAverage="0" bottom="0" percent="0" rank="0" text="" dxfId="4">
      <formula>AND($J20&lt;&gt;"",$J20&lt;TODAY(),$G20&lt;&gt;"Complete")</formula>
    </cfRule>
  </conditionalFormatting>
  <conditionalFormatting sqref="C11">
    <cfRule type="cellIs" priority="7" operator="equal" aboveAverage="0" equalAverage="0" bottom="0" percent="0" rank="0" text="" dxfId="35">
      <formula>"At Risk"</formula>
    </cfRule>
    <cfRule type="cellIs" priority="8" operator="equal" aboveAverage="0" equalAverage="0" bottom="0" percent="0" rank="0" text="" dxfId="36">
      <formula>"Blocked"</formula>
    </cfRule>
    <cfRule type="cellIs" priority="9" operator="equal" aboveAverage="0" equalAverage="0" bottom="0" percent="0" rank="0" text="" dxfId="37">
      <formula>"Complete"</formula>
    </cfRule>
  </conditionalFormatting>
  <dataValidations count="1">
    <dataValidation allowBlank="false" errorStyle="stop" operator="between" showDropDown="false" showErrorMessage="false" showInputMessage="false" sqref="C3" type="list">
      <formula1>ProjectIDList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W4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22"/>
    <col collapsed="false" customWidth="true" hidden="false" outlineLevel="0" max="4" min="4" style="0" width="30"/>
    <col collapsed="false" customWidth="true" hidden="false" outlineLevel="0" max="5" min="5" style="0" width="16"/>
    <col collapsed="false" customWidth="true" hidden="false" outlineLevel="0" max="6" min="6" style="0" width="11"/>
    <col collapsed="false" customWidth="true" hidden="false" outlineLevel="0" max="7" min="7" style="0" width="32"/>
    <col collapsed="false" customWidth="true" hidden="false" outlineLevel="0" max="8" min="8" style="0" width="9"/>
    <col collapsed="false" customWidth="true" hidden="false" outlineLevel="0" max="9" min="9" style="0" width="15"/>
    <col collapsed="false" customWidth="true" hidden="false" outlineLevel="0" max="10" min="10" style="0" width="8"/>
    <col collapsed="false" customWidth="true" hidden="false" outlineLevel="0" max="12" min="11" style="0" width="10"/>
    <col collapsed="false" customWidth="true" hidden="false" outlineLevel="0" max="13" min="13" style="0" width="18"/>
    <col collapsed="false" customWidth="true" hidden="false" outlineLevel="0" max="14" min="14" style="0" width="22"/>
    <col collapsed="false" customWidth="true" hidden="false" outlineLevel="0" max="15" min="15" style="0" width="11"/>
    <col collapsed="false" customWidth="true" hidden="false" outlineLevel="0" max="16" min="16" style="0" width="26"/>
    <col collapsed="false" customWidth="true" hidden="false" outlineLevel="0" max="17" min="17" style="0" width="16"/>
    <col collapsed="false" customWidth="true" hidden="false" outlineLevel="0" max="19" min="18" style="0" width="7"/>
    <col collapsed="false" customWidth="true" hidden="false" outlineLevel="0" max="20" min="20" style="0" width="8"/>
    <col collapsed="false" customWidth="true" hidden="true" outlineLevel="0" max="22" min="21" style="0" width="7"/>
    <col collapsed="false" customWidth="true" hidden="true" outlineLevel="0" max="23" min="23" style="0" width="6"/>
  </cols>
  <sheetData>
    <row r="1" customFormat="false" ht="30" hidden="false" customHeight="true" outlineLevel="0" collapsed="false">
      <c r="A1" s="114" t="s">
        <v>249</v>
      </c>
      <c r="B1" s="114"/>
      <c r="C1" s="114"/>
      <c r="D1" s="114"/>
      <c r="E1" s="114"/>
      <c r="F1" s="114"/>
      <c r="G1" s="114"/>
      <c r="H1" s="114"/>
      <c r="I1" s="114"/>
      <c r="J1" s="114"/>
      <c r="K1" s="114"/>
      <c r="L1" s="114"/>
      <c r="M1" s="114"/>
      <c r="N1" s="114"/>
      <c r="O1" s="114"/>
      <c r="P1" s="114"/>
      <c r="Q1" s="114"/>
      <c r="R1" s="114"/>
      <c r="S1" s="114"/>
      <c r="T1" s="114"/>
      <c r="U1" s="114"/>
      <c r="V1" s="114"/>
      <c r="W1" s="114"/>
    </row>
    <row r="2" customFormat="false" ht="24" hidden="false" customHeight="true" outlineLevel="0" collapsed="false">
      <c r="A2" s="115" t="s">
        <v>250</v>
      </c>
      <c r="B2" s="115"/>
      <c r="C2" s="115"/>
      <c r="D2" s="115"/>
      <c r="E2" s="115"/>
      <c r="F2" s="115"/>
      <c r="G2" s="115"/>
      <c r="H2" s="115"/>
      <c r="I2" s="115"/>
      <c r="J2" s="115"/>
      <c r="K2" s="115"/>
      <c r="L2" s="115"/>
      <c r="M2" s="115"/>
      <c r="N2" s="115"/>
      <c r="O2" s="115"/>
      <c r="P2" s="115"/>
      <c r="Q2" s="115"/>
      <c r="R2" s="115"/>
      <c r="S2" s="115"/>
      <c r="T2" s="115"/>
      <c r="U2" s="115"/>
      <c r="V2" s="115"/>
      <c r="W2" s="115"/>
    </row>
    <row r="4" customFormat="false" ht="30" hidden="false" customHeight="true" outlineLevel="0" collapsed="false">
      <c r="A4" s="130" t="s">
        <v>237</v>
      </c>
      <c r="B4" s="130" t="s">
        <v>178</v>
      </c>
      <c r="C4" s="130" t="s">
        <v>16</v>
      </c>
      <c r="D4" s="130" t="s">
        <v>251</v>
      </c>
      <c r="E4" s="130" t="s">
        <v>238</v>
      </c>
      <c r="F4" s="130" t="s">
        <v>240</v>
      </c>
      <c r="G4" s="130" t="s">
        <v>239</v>
      </c>
      <c r="H4" s="130" t="s">
        <v>241</v>
      </c>
      <c r="I4" s="130" t="s">
        <v>50</v>
      </c>
      <c r="J4" s="130" t="s">
        <v>252</v>
      </c>
      <c r="K4" s="130" t="s">
        <v>253</v>
      </c>
      <c r="L4" s="130" t="s">
        <v>254</v>
      </c>
      <c r="M4" s="130" t="s">
        <v>255</v>
      </c>
      <c r="N4" s="130" t="s">
        <v>246</v>
      </c>
      <c r="O4" s="130" t="s">
        <v>247</v>
      </c>
      <c r="P4" s="130" t="s">
        <v>248</v>
      </c>
      <c r="Q4" s="130" t="s">
        <v>256</v>
      </c>
      <c r="R4" s="130" t="s">
        <v>19</v>
      </c>
      <c r="S4" s="130" t="s">
        <v>257</v>
      </c>
      <c r="T4" s="130" t="s">
        <v>258</v>
      </c>
      <c r="U4" s="130" t="s">
        <v>259</v>
      </c>
      <c r="V4" s="130" t="s">
        <v>260</v>
      </c>
      <c r="W4" s="130" t="s">
        <v>261</v>
      </c>
    </row>
    <row r="5" customFormat="false" ht="28.35" hidden="false" customHeight="false" outlineLevel="0" collapsed="false">
      <c r="A5" s="131" t="str">
        <f aca="false">IF('Quick Chadwick'!$B5="","",'Quick Chadwick'!$A5)</f>
        <v>QC-001</v>
      </c>
      <c r="B5" s="131" t="str">
        <f aca="false">IF('Quick Chadwick'!$B5="","",'Quick Chadwick'!$B5)</f>
        <v>P2-2</v>
      </c>
      <c r="C5" s="132" t="str">
        <f aca="false">IF('Quick Chadwick'!$B5="","",'Quick Chadwick'!$C5)</f>
        <v>2 – Top-of-Funnel Lead Gen</v>
      </c>
      <c r="D5" s="132" t="str">
        <f aca="false">IF('Quick Chadwick'!$B5="","",'Quick Chadwick'!$D5)</f>
        <v>Reallocate spend toward non-broker sourced channels</v>
      </c>
      <c r="E5" s="132" t="str">
        <f aca="false">IF('Quick Chadwick'!$B5="","",'Quick Chadwick'!$E5)</f>
        <v>Quick Chadwick</v>
      </c>
      <c r="F5" s="132" t="str">
        <f aca="false">IF('Quick Chadwick'!$B5="","",'Quick Chadwick'!$F5)</f>
        <v>Owner</v>
      </c>
      <c r="G5" s="132" t="str">
        <f aca="false">IF('Quick Chadwick'!$B5="","",'Quick Chadwick'!$G5)</f>
        <v>Develop Marketing Spend Reallocation Plan</v>
      </c>
      <c r="H5" s="131" t="str">
        <f aca="false">IF('Quick Chadwick'!$B5="","",'Quick Chadwick'!$H5)</f>
        <v>High</v>
      </c>
      <c r="I5" s="131" t="str">
        <f aca="false">IF('Quick Chadwick'!$B5="","",'Quick Chadwick'!$I5)</f>
        <v>Complete</v>
      </c>
      <c r="J5" s="133" t="n">
        <f aca="false">IF('Quick Chadwick'!$B5="","",'Quick Chadwick'!$J5)</f>
        <v>1</v>
      </c>
      <c r="K5" s="134" t="n">
        <f aca="false">IF('Quick Chadwick'!$B5="","",'Quick Chadwick'!$K5)</f>
        <v>46147</v>
      </c>
      <c r="L5" s="134" t="n">
        <f aca="false">IF('Quick Chadwick'!$B5="","",'Quick Chadwick'!$L5)</f>
        <v>46164</v>
      </c>
      <c r="M5" s="132" t="n">
        <f aca="false">IF('Quick Chadwick'!$B5="","",'Quick Chadwick'!$M5)</f>
        <v>0</v>
      </c>
      <c r="N5" s="132" t="n">
        <f aca="false">IF('Quick Chadwick'!$B5="","",'Quick Chadwick'!$N5)</f>
        <v>0</v>
      </c>
      <c r="O5" s="134" t="str">
        <f aca="false">IF('Quick Chadwick'!$B5="","",'Quick Chadwick'!$O5)</f>
        <v>Reviewed plan; edits suggested &amp; incorporated</v>
      </c>
      <c r="P5" s="132" t="str">
        <f aca="false">IF('Quick Chadwick'!$B5="","",'Quick Chadwick'!$P5)</f>
        <v>Monitor reallocated spend vs broker channels</v>
      </c>
      <c r="Q5" s="131" t="str">
        <f aca="false">IF('Quick Chadwick'!$B5="","","Quick Chadwick")</f>
        <v>Quick Chadwick</v>
      </c>
      <c r="R5" s="131" t="n">
        <f aca="true">IF(OR($B5="",$I5="Complete",$L5=""),0,IF($L5&lt;TODAY(),1,0))</f>
        <v>0</v>
      </c>
      <c r="S5" s="131" t="n">
        <f aca="true">IF(OR($B5="",$I5="Complete",$L5=""),0,IF(AND($L5&gt;=TODAY(),$L5&lt;=TODAY()+7),1,0))</f>
        <v>0</v>
      </c>
      <c r="T5" s="131" t="n">
        <f aca="true">IF(OR($B5="",$L5=""),"",$L5-TODAY())</f>
        <v>-6</v>
      </c>
      <c r="U5" s="135" t="n">
        <f aca="false">IF($B5="","",IF($I5="Complete",1,IF($J5="",0,$J5)))</f>
        <v>1</v>
      </c>
      <c r="V5" s="131" t="n">
        <f aca="false">IF($B5="",0,IF($N5="",0,1))</f>
        <v>0</v>
      </c>
      <c r="W5" s="131" t="n">
        <f aca="false">IF($B5="",0,1)</f>
        <v>1</v>
      </c>
    </row>
    <row r="6" customFormat="false" ht="19.4" hidden="false" customHeight="false" outlineLevel="0" collapsed="false">
      <c r="A6" s="131" t="str">
        <f aca="false">IF('Quick Chadwick'!$B6="","",'Quick Chadwick'!$A6)</f>
        <v>QC-002</v>
      </c>
      <c r="B6" s="131" t="str">
        <f aca="false">IF('Quick Chadwick'!$B6="","",'Quick Chadwick'!$B6)</f>
        <v>P1-1</v>
      </c>
      <c r="C6" s="132" t="str">
        <f aca="false">IF('Quick Chadwick'!$B6="","",'Quick Chadwick'!$C6)</f>
        <v>1 – Unified Development System</v>
      </c>
      <c r="D6" s="132" t="str">
        <f aca="false">IF('Quick Chadwick'!$B6="","",'Quick Chadwick'!$D6)</f>
        <v>Implement standardized Mutual Evaluation Process (MEP) across all brands</v>
      </c>
      <c r="E6" s="132" t="str">
        <f aca="false">IF('Quick Chadwick'!$B6="","",'Quick Chadwick'!$E6)</f>
        <v>Quick Chadwick</v>
      </c>
      <c r="F6" s="132" t="str">
        <f aca="false">IF('Quick Chadwick'!$B6="","",'Quick Chadwick'!$F6)</f>
        <v>Contributor</v>
      </c>
      <c r="G6" s="132" t="str">
        <f aca="false">IF('Quick Chadwick'!$B6="","",'Quick Chadwick'!$G6)</f>
        <v>Training Section 1-3 in Fran Dev 101</v>
      </c>
      <c r="H6" s="131" t="str">
        <f aca="false">IF('Quick Chadwick'!$B6="","",'Quick Chadwick'!$H6)</f>
        <v>Medium</v>
      </c>
      <c r="I6" s="131" t="str">
        <f aca="false">IF('Quick Chadwick'!$B6="","",'Quick Chadwick'!$I6)</f>
        <v>In Progress</v>
      </c>
      <c r="J6" s="133" t="n">
        <f aca="false">IF('Quick Chadwick'!$B6="","",'Quick Chadwick'!$J6)</f>
        <v>0.5</v>
      </c>
      <c r="K6" s="134" t="n">
        <f aca="false">IF('Quick Chadwick'!$B6="","",'Quick Chadwick'!$K6)</f>
        <v>46162</v>
      </c>
      <c r="L6" s="134" t="n">
        <f aca="false">IF('Quick Chadwick'!$B6="","",'Quick Chadwick'!$L6)</f>
        <v>46186</v>
      </c>
      <c r="M6" s="132" t="n">
        <f aca="false">IF('Quick Chadwick'!$B6="","",'Quick Chadwick'!$M6)</f>
        <v>0</v>
      </c>
      <c r="N6" s="132" t="n">
        <f aca="false">IF('Quick Chadwick'!$B6="","",'Quick Chadwick'!$N6)</f>
        <v>0</v>
      </c>
      <c r="O6" s="134" t="str">
        <f aca="false">IF('Quick Chadwick'!$B6="","",'Quick Chadwick'!$O6)</f>
        <v>Assigned 5/20</v>
      </c>
      <c r="P6" s="132" t="str">
        <f aca="false">IF('Quick Chadwick'!$B6="","",'Quick Chadwick'!$P6)</f>
        <v>Complete sections 2-3</v>
      </c>
      <c r="Q6" s="131" t="str">
        <f aca="false">IF('Quick Chadwick'!$B6="","","Quick Chadwick")</f>
        <v>Quick Chadwick</v>
      </c>
      <c r="R6" s="131" t="n">
        <f aca="true">IF(OR($B6="",$I6="Complete",$L6=""),0,IF($L6&lt;TODAY(),1,0))</f>
        <v>0</v>
      </c>
      <c r="S6" s="131" t="n">
        <f aca="true">IF(OR($B6="",$I6="Complete",$L6=""),0,IF(AND($L6&gt;=TODAY(),$L6&lt;=TODAY()+7),1,0))</f>
        <v>0</v>
      </c>
      <c r="T6" s="131" t="n">
        <f aca="true">IF(OR($B6="",$L6=""),"",$L6-TODAY())</f>
        <v>16</v>
      </c>
      <c r="U6" s="135" t="n">
        <f aca="false">IF($B6="","",IF($I6="Complete",1,IF($J6="",0,$J6)))</f>
        <v>0.5</v>
      </c>
      <c r="V6" s="131" t="n">
        <f aca="false">IF($B6="",0,IF($N6="",0,1))</f>
        <v>0</v>
      </c>
      <c r="W6" s="131" t="n">
        <f aca="false">IF($B6="",0,1)</f>
        <v>1</v>
      </c>
    </row>
    <row r="7" customFormat="false" ht="19.4" hidden="false" customHeight="false" outlineLevel="0" collapsed="false">
      <c r="A7" s="131" t="str">
        <f aca="false">IF('Quick Chadwick'!$B7="","",'Quick Chadwick'!$A7)</f>
        <v>QC-003</v>
      </c>
      <c r="B7" s="131" t="str">
        <f aca="false">IF('Quick Chadwick'!$B7="","",'Quick Chadwick'!$B7)</f>
        <v>P2-3</v>
      </c>
      <c r="C7" s="132" t="str">
        <f aca="false">IF('Quick Chadwick'!$B7="","",'Quick Chadwick'!$C7)</f>
        <v>2 – Top-of-Funnel Lead Gen</v>
      </c>
      <c r="D7" s="132" t="str">
        <f aca="false">IF('Quick Chadwick'!$B7="","",'Quick Chadwick'!$D7)</f>
        <v>Build video-first funnel</v>
      </c>
      <c r="E7" s="132" t="str">
        <f aca="false">IF('Quick Chadwick'!$B7="","",'Quick Chadwick'!$E7)</f>
        <v>Quick Chadwick</v>
      </c>
      <c r="F7" s="132" t="str">
        <f aca="false">IF('Quick Chadwick'!$B7="","",'Quick Chadwick'!$F7)</f>
        <v>Owner</v>
      </c>
      <c r="G7" s="132" t="str">
        <f aca="false">IF('Quick Chadwick'!$B7="","",'Quick Chadwick'!$G7)</f>
        <v>Video Coordination with Madsen Anderson</v>
      </c>
      <c r="H7" s="131" t="str">
        <f aca="false">IF('Quick Chadwick'!$B7="","",'Quick Chadwick'!$H7)</f>
        <v>High</v>
      </c>
      <c r="I7" s="131" t="str">
        <f aca="false">IF('Quick Chadwick'!$B7="","",'Quick Chadwick'!$I7)</f>
        <v>In Progress</v>
      </c>
      <c r="J7" s="133" t="n">
        <f aca="false">IF('Quick Chadwick'!$B7="","",'Quick Chadwick'!$J7)</f>
        <v>0.3</v>
      </c>
      <c r="K7" s="134" t="n">
        <f aca="false">IF('Quick Chadwick'!$B7="","",'Quick Chadwick'!$K7)</f>
        <v>46157</v>
      </c>
      <c r="L7" s="134" t="n">
        <f aca="false">IF('Quick Chadwick'!$B7="","",'Quick Chadwick'!$L7)</f>
        <v>46193</v>
      </c>
      <c r="M7" s="132" t="n">
        <f aca="false">IF('Quick Chadwick'!$B7="","",'Quick Chadwick'!$M7)</f>
        <v>0</v>
      </c>
      <c r="N7" s="132" t="n">
        <f aca="false">IF('Quick Chadwick'!$B7="","",'Quick Chadwick'!$N7)</f>
        <v>0</v>
      </c>
      <c r="O7" s="134" t="str">
        <f aca="false">IF('Quick Chadwick'!$B7="","",'Quick Chadwick'!$O7)</f>
        <v>Coordinating shoot schedule</v>
      </c>
      <c r="P7" s="132" t="str">
        <f aca="false">IF('Quick Chadwick'!$B7="","",'Quick Chadwick'!$P7)</f>
        <v>Lock production calendar</v>
      </c>
      <c r="Q7" s="131" t="str">
        <f aca="false">IF('Quick Chadwick'!$B7="","","Quick Chadwick")</f>
        <v>Quick Chadwick</v>
      </c>
      <c r="R7" s="131" t="n">
        <f aca="true">IF(OR($B7="",$I7="Complete",$L7=""),0,IF($L7&lt;TODAY(),1,0))</f>
        <v>0</v>
      </c>
      <c r="S7" s="131" t="n">
        <f aca="true">IF(OR($B7="",$I7="Complete",$L7=""),0,IF(AND($L7&gt;=TODAY(),$L7&lt;=TODAY()+7),1,0))</f>
        <v>0</v>
      </c>
      <c r="T7" s="131" t="n">
        <f aca="true">IF(OR($B7="",$L7=""),"",$L7-TODAY())</f>
        <v>23</v>
      </c>
      <c r="U7" s="135" t="n">
        <f aca="false">IF($B7="","",IF($I7="Complete",1,IF($J7="",0,$J7)))</f>
        <v>0.3</v>
      </c>
      <c r="V7" s="131" t="n">
        <f aca="false">IF($B7="",0,IF($N7="",0,1))</f>
        <v>0</v>
      </c>
      <c r="W7" s="131" t="n">
        <f aca="false">IF($B7="",0,1)</f>
        <v>1</v>
      </c>
    </row>
    <row r="8" customFormat="false" ht="15" hidden="false" customHeight="false" outlineLevel="0" collapsed="false">
      <c r="A8" s="131" t="str">
        <f aca="false">IF('Quick Chadwick'!$B8="","",'Quick Chadwick'!$A8)</f>
        <v>QC-004</v>
      </c>
      <c r="B8" s="131" t="str">
        <f aca="false">IF('Quick Chadwick'!$B8="","",'Quick Chadwick'!$B8)</f>
        <v>P6-1</v>
      </c>
      <c r="C8" s="132" t="str">
        <f aca="false">IF('Quick Chadwick'!$B8="","",'Quick Chadwick'!$C8)</f>
        <v>6 – Automation &amp; Content</v>
      </c>
      <c r="D8" s="132" t="str">
        <f aca="false">IF('Quick Chadwick'!$B8="","",'Quick Chadwick'!$D8)</f>
        <v>Develop standardized brand overview videos</v>
      </c>
      <c r="E8" s="132" t="str">
        <f aca="false">IF('Quick Chadwick'!$B8="","",'Quick Chadwick'!$E8)</f>
        <v>Quick Chadwick</v>
      </c>
      <c r="F8" s="132" t="str">
        <f aca="false">IF('Quick Chadwick'!$B8="","",'Quick Chadwick'!$F8)</f>
        <v>Owner</v>
      </c>
      <c r="G8" s="132" t="str">
        <f aca="false">IF('Quick Chadwick'!$B8="","",'Quick Chadwick'!$G8)</f>
        <v>Video Project (Signature 7 – 1-Tom)</v>
      </c>
      <c r="H8" s="131" t="str">
        <f aca="false">IF('Quick Chadwick'!$B8="","",'Quick Chadwick'!$H8)</f>
        <v>High</v>
      </c>
      <c r="I8" s="131" t="str">
        <f aca="false">IF('Quick Chadwick'!$B8="","",'Quick Chadwick'!$I8)</f>
        <v>Complete</v>
      </c>
      <c r="J8" s="133" t="n">
        <f aca="false">IF('Quick Chadwick'!$B8="","",'Quick Chadwick'!$J8)</f>
        <v>1</v>
      </c>
      <c r="K8" s="134" t="n">
        <f aca="false">IF('Quick Chadwick'!$B8="","",'Quick Chadwick'!$K8)</f>
        <v>46143</v>
      </c>
      <c r="L8" s="134" t="n">
        <f aca="false">IF('Quick Chadwick'!$B8="","",'Quick Chadwick'!$L8)</f>
        <v>46162</v>
      </c>
      <c r="M8" s="132" t="n">
        <f aca="false">IF('Quick Chadwick'!$B8="","",'Quick Chadwick'!$M8)</f>
        <v>0</v>
      </c>
      <c r="N8" s="132" t="n">
        <f aca="false">IF('Quick Chadwick'!$B8="","",'Quick Chadwick'!$N8)</f>
        <v>0</v>
      </c>
      <c r="O8" s="134" t="str">
        <f aca="false">IF('Quick Chadwick'!$B8="","",'Quick Chadwick'!$O8)</f>
        <v>Completed</v>
      </c>
      <c r="P8" s="132" t="str">
        <f aca="false">IF('Quick Chadwick'!$B8="","",'Quick Chadwick'!$P8)</f>
        <v>Publish to content library</v>
      </c>
      <c r="Q8" s="131" t="str">
        <f aca="false">IF('Quick Chadwick'!$B8="","","Quick Chadwick")</f>
        <v>Quick Chadwick</v>
      </c>
      <c r="R8" s="131" t="n">
        <f aca="true">IF(OR($B8="",$I8="Complete",$L8=""),0,IF($L8&lt;TODAY(),1,0))</f>
        <v>0</v>
      </c>
      <c r="S8" s="131" t="n">
        <f aca="true">IF(OR($B8="",$I8="Complete",$L8=""),0,IF(AND($L8&gt;=TODAY(),$L8&lt;=TODAY()+7),1,0))</f>
        <v>0</v>
      </c>
      <c r="T8" s="131" t="n">
        <f aca="true">IF(OR($B8="",$L8=""),"",$L8-TODAY())</f>
        <v>-8</v>
      </c>
      <c r="U8" s="135" t="n">
        <f aca="false">IF($B8="","",IF($I8="Complete",1,IF($J8="",0,$J8)))</f>
        <v>1</v>
      </c>
      <c r="V8" s="131" t="n">
        <f aca="false">IF($B8="",0,IF($N8="",0,1))</f>
        <v>0</v>
      </c>
      <c r="W8" s="131" t="n">
        <f aca="false">IF($B8="",0,1)</f>
        <v>1</v>
      </c>
    </row>
    <row r="9" customFormat="false" ht="28.35" hidden="false" customHeight="false" outlineLevel="0" collapsed="false">
      <c r="A9" s="131" t="str">
        <f aca="false">IF('Quick Chadwick'!$B9="","",'Quick Chadwick'!$A9)</f>
        <v>QC-005</v>
      </c>
      <c r="B9" s="131" t="str">
        <f aca="false">IF('Quick Chadwick'!$B9="","",'Quick Chadwick'!$B9)</f>
        <v>P6-1</v>
      </c>
      <c r="C9" s="132" t="str">
        <f aca="false">IF('Quick Chadwick'!$B9="","",'Quick Chadwick'!$C9)</f>
        <v>6 – Automation &amp; Content</v>
      </c>
      <c r="D9" s="132" t="str">
        <f aca="false">IF('Quick Chadwick'!$B9="","",'Quick Chadwick'!$D9)</f>
        <v>Develop standardized brand overview videos</v>
      </c>
      <c r="E9" s="132" t="str">
        <f aca="false">IF('Quick Chadwick'!$B9="","",'Quick Chadwick'!$E9)</f>
        <v>Quick Chadwick</v>
      </c>
      <c r="F9" s="132" t="str">
        <f aca="false">IF('Quick Chadwick'!$B9="","",'Quick Chadwick'!$F9)</f>
        <v>Owner</v>
      </c>
      <c r="G9" s="132" t="str">
        <f aca="false">IF('Quick Chadwick'!$B9="","",'Quick Chadwick'!$G9)</f>
        <v>Video Project (Signature 7 – The Seals)</v>
      </c>
      <c r="H9" s="131" t="str">
        <f aca="false">IF('Quick Chadwick'!$B9="","",'Quick Chadwick'!$H9)</f>
        <v>Medium</v>
      </c>
      <c r="I9" s="131" t="str">
        <f aca="false">IF('Quick Chadwick'!$B9="","",'Quick Chadwick'!$I9)</f>
        <v>In Progress</v>
      </c>
      <c r="J9" s="133" t="n">
        <f aca="false">IF('Quick Chadwick'!$B9="","",'Quick Chadwick'!$J9)</f>
        <v>0.4</v>
      </c>
      <c r="K9" s="134" t="n">
        <f aca="false">IF('Quick Chadwick'!$B9="","",'Quick Chadwick'!$K9)</f>
        <v>46152</v>
      </c>
      <c r="L9" s="134" t="n">
        <f aca="false">IF('Quick Chadwick'!$B9="","",'Quick Chadwick'!$L9)</f>
        <v>46203</v>
      </c>
      <c r="M9" s="132" t="n">
        <f aca="false">IF('Quick Chadwick'!$B9="","",'Quick Chadwick'!$M9)</f>
        <v>0</v>
      </c>
      <c r="N9" s="132" t="n">
        <f aca="false">IF('Quick Chadwick'!$B9="","",'Quick Chadwick'!$N9)</f>
        <v>0</v>
      </c>
      <c r="O9" s="134" t="str">
        <f aca="false">IF('Quick Chadwick'!$B9="","",'Quick Chadwick'!$O9)</f>
        <v>JL has sample; could be used as sub</v>
      </c>
      <c r="P9" s="132" t="str">
        <f aca="false">IF('Quick Chadwick'!$B9="","",'Quick Chadwick'!$P9)</f>
        <v>Confirm sub footage with Jamie</v>
      </c>
      <c r="Q9" s="131" t="str">
        <f aca="false">IF('Quick Chadwick'!$B9="","","Quick Chadwick")</f>
        <v>Quick Chadwick</v>
      </c>
      <c r="R9" s="131" t="n">
        <f aca="true">IF(OR($B9="",$I9="Complete",$L9=""),0,IF($L9&lt;TODAY(),1,0))</f>
        <v>0</v>
      </c>
      <c r="S9" s="131" t="n">
        <f aca="true">IF(OR($B9="",$I9="Complete",$L9=""),0,IF(AND($L9&gt;=TODAY(),$L9&lt;=TODAY()+7),1,0))</f>
        <v>0</v>
      </c>
      <c r="T9" s="131" t="n">
        <f aca="true">IF(OR($B9="",$L9=""),"",$L9-TODAY())</f>
        <v>33</v>
      </c>
      <c r="U9" s="135" t="n">
        <f aca="false">IF($B9="","",IF($I9="Complete",1,IF($J9="",0,$J9)))</f>
        <v>0.4</v>
      </c>
      <c r="V9" s="131" t="n">
        <f aca="false">IF($B9="",0,IF($N9="",0,1))</f>
        <v>0</v>
      </c>
      <c r="W9" s="131" t="n">
        <f aca="false">IF($B9="",0,1)</f>
        <v>1</v>
      </c>
    </row>
    <row r="10" customFormat="false" ht="19.4" hidden="false" customHeight="false" outlineLevel="0" collapsed="false">
      <c r="A10" s="131" t="str">
        <f aca="false">IF('Quick Chadwick'!$B10="","",'Quick Chadwick'!$A10)</f>
        <v>QC-006</v>
      </c>
      <c r="B10" s="131" t="str">
        <f aca="false">IF('Quick Chadwick'!$B10="","",'Quick Chadwick'!$B10)</f>
        <v>P6-1</v>
      </c>
      <c r="C10" s="132" t="str">
        <f aca="false">IF('Quick Chadwick'!$B10="","",'Quick Chadwick'!$C10)</f>
        <v>6 – Automation &amp; Content</v>
      </c>
      <c r="D10" s="132" t="str">
        <f aca="false">IF('Quick Chadwick'!$B10="","",'Quick Chadwick'!$D10)</f>
        <v>Develop standardized brand overview videos</v>
      </c>
      <c r="E10" s="132" t="str">
        <f aca="false">IF('Quick Chadwick'!$B10="","",'Quick Chadwick'!$E10)</f>
        <v>Quick Chadwick</v>
      </c>
      <c r="F10" s="132" t="str">
        <f aca="false">IF('Quick Chadwick'!$B10="","",'Quick Chadwick'!$F10)</f>
        <v>Owner</v>
      </c>
      <c r="G10" s="132" t="str">
        <f aca="false">IF('Quick Chadwick'!$B10="","",'Quick Chadwick'!$G10)</f>
        <v>Video Project (Signature 7 – Kitchen Guard)</v>
      </c>
      <c r="H10" s="131" t="str">
        <f aca="false">IF('Quick Chadwick'!$B10="","",'Quick Chadwick'!$H10)</f>
        <v>Medium</v>
      </c>
      <c r="I10" s="131" t="str">
        <f aca="false">IF('Quick Chadwick'!$B10="","",'Quick Chadwick'!$I10)</f>
        <v>In Progress</v>
      </c>
      <c r="J10" s="133" t="n">
        <f aca="false">IF('Quick Chadwick'!$B10="","",'Quick Chadwick'!$J10)</f>
        <v>0.25</v>
      </c>
      <c r="K10" s="134" t="n">
        <f aca="false">IF('Quick Chadwick'!$B10="","",'Quick Chadwick'!$K10)</f>
        <v>46152</v>
      </c>
      <c r="L10" s="134" t="n">
        <f aca="false">IF('Quick Chadwick'!$B10="","",'Quick Chadwick'!$L10)</f>
        <v>46218</v>
      </c>
      <c r="M10" s="132" t="n">
        <f aca="false">IF('Quick Chadwick'!$B10="","",'Quick Chadwick'!$M10)</f>
        <v>0</v>
      </c>
      <c r="N10" s="132" t="n">
        <f aca="false">IF('Quick Chadwick'!$B10="","",'Quick Chadwick'!$N10)</f>
        <v>0</v>
      </c>
      <c r="O10" s="134" t="str">
        <f aca="false">IF('Quick Chadwick'!$B10="","",'Quick Chadwick'!$O10)</f>
        <v>Could use Bytes &amp; Insights for sub</v>
      </c>
      <c r="P10" s="132" t="str">
        <f aca="false">IF('Quick Chadwick'!$B10="","",'Quick Chadwick'!$P10)</f>
        <v>Source sub footage</v>
      </c>
      <c r="Q10" s="131" t="str">
        <f aca="false">IF('Quick Chadwick'!$B10="","","Quick Chadwick")</f>
        <v>Quick Chadwick</v>
      </c>
      <c r="R10" s="131" t="n">
        <f aca="true">IF(OR($B10="",$I10="Complete",$L10=""),0,IF($L10&lt;TODAY(),1,0))</f>
        <v>0</v>
      </c>
      <c r="S10" s="131" t="n">
        <f aca="true">IF(OR($B10="",$I10="Complete",$L10=""),0,IF(AND($L10&gt;=TODAY(),$L10&lt;=TODAY()+7),1,0))</f>
        <v>0</v>
      </c>
      <c r="T10" s="131" t="n">
        <f aca="true">IF(OR($B10="",$L10=""),"",$L10-TODAY())</f>
        <v>48</v>
      </c>
      <c r="U10" s="135" t="n">
        <f aca="false">IF($B10="","",IF($I10="Complete",1,IF($J10="",0,$J10)))</f>
        <v>0.25</v>
      </c>
      <c r="V10" s="131" t="n">
        <f aca="false">IF($B10="",0,IF($N10="",0,1))</f>
        <v>0</v>
      </c>
      <c r="W10" s="131" t="n">
        <f aca="false">IF($B10="",0,1)</f>
        <v>1</v>
      </c>
    </row>
    <row r="11" customFormat="false" ht="15" hidden="false" customHeight="false" outlineLevel="0" collapsed="false">
      <c r="A11" s="131" t="str">
        <f aca="false">IF('Quick Chadwick'!$B11="","",'Quick Chadwick'!$A11)</f>
        <v>QC-007</v>
      </c>
      <c r="B11" s="131" t="str">
        <f aca="false">IF('Quick Chadwick'!$B11="","",'Quick Chadwick'!$B11)</f>
        <v>P6-1</v>
      </c>
      <c r="C11" s="132" t="str">
        <f aca="false">IF('Quick Chadwick'!$B11="","",'Quick Chadwick'!$C11)</f>
        <v>6 – Automation &amp; Content</v>
      </c>
      <c r="D11" s="132" t="str">
        <f aca="false">IF('Quick Chadwick'!$B11="","",'Quick Chadwick'!$D11)</f>
        <v>Develop standardized brand overview videos</v>
      </c>
      <c r="E11" s="132" t="str">
        <f aca="false">IF('Quick Chadwick'!$B11="","",'Quick Chadwick'!$E11)</f>
        <v>Quick Chadwick</v>
      </c>
      <c r="F11" s="132" t="str">
        <f aca="false">IF('Quick Chadwick'!$B11="","",'Quick Chadwick'!$F11)</f>
        <v>Owner</v>
      </c>
      <c r="G11" s="132" t="str">
        <f aca="false">IF('Quick Chadwick'!$B11="","",'Quick Chadwick'!$G11)</f>
        <v>Video Project (Signature 7 – MilliCare)</v>
      </c>
      <c r="H11" s="131" t="str">
        <f aca="false">IF('Quick Chadwick'!$B11="","",'Quick Chadwick'!$H11)</f>
        <v>Medium</v>
      </c>
      <c r="I11" s="131" t="str">
        <f aca="false">IF('Quick Chadwick'!$B11="","",'Quick Chadwick'!$I11)</f>
        <v>Not Started</v>
      </c>
      <c r="J11" s="133" t="n">
        <f aca="false">IF('Quick Chadwick'!$B11="","",'Quick Chadwick'!$J11)</f>
        <v>0</v>
      </c>
      <c r="K11" s="134" t="n">
        <f aca="false">IF('Quick Chadwick'!$B11="","",'Quick Chadwick'!$K11)</f>
        <v>46174</v>
      </c>
      <c r="L11" s="134" t="n">
        <f aca="false">IF('Quick Chadwick'!$B11="","",'Quick Chadwick'!$L11)</f>
        <v>46234</v>
      </c>
      <c r="M11" s="132" t="str">
        <f aca="false">IF('Quick Chadwick'!$B11="","",'Quick Chadwick'!$M11)</f>
        <v>Coordinate with Steve Griffith</v>
      </c>
      <c r="N11" s="132" t="n">
        <f aca="false">IF('Quick Chadwick'!$B11="","",'Quick Chadwick'!$N11)</f>
        <v>0</v>
      </c>
      <c r="O11" s="134" t="n">
        <f aca="false">IF('Quick Chadwick'!$B11="","",'Quick Chadwick'!$O11)</f>
        <v>0</v>
      </c>
      <c r="P11" s="132" t="str">
        <f aca="false">IF('Quick Chadwick'!$B11="","",'Quick Chadwick'!$P11)</f>
        <v>Kickoff with SG</v>
      </c>
      <c r="Q11" s="131" t="str">
        <f aca="false">IF('Quick Chadwick'!$B11="","","Quick Chadwick")</f>
        <v>Quick Chadwick</v>
      </c>
      <c r="R11" s="131" t="n">
        <f aca="true">IF(OR($B11="",$I11="Complete",$L11=""),0,IF($L11&lt;TODAY(),1,0))</f>
        <v>0</v>
      </c>
      <c r="S11" s="131" t="n">
        <f aca="true">IF(OR($B11="",$I11="Complete",$L11=""),0,IF(AND($L11&gt;=TODAY(),$L11&lt;=TODAY()+7),1,0))</f>
        <v>0</v>
      </c>
      <c r="T11" s="131" t="n">
        <f aca="true">IF(OR($B11="",$L11=""),"",$L11-TODAY())</f>
        <v>64</v>
      </c>
      <c r="U11" s="135" t="n">
        <f aca="false">IF($B11="","",IF($I11="Complete",1,IF($J11="",0,$J11)))</f>
        <v>0</v>
      </c>
      <c r="V11" s="131" t="n">
        <f aca="false">IF($B11="",0,IF($N11="",0,1))</f>
        <v>0</v>
      </c>
      <c r="W11" s="131" t="n">
        <f aca="false">IF($B11="",0,1)</f>
        <v>1</v>
      </c>
    </row>
    <row r="12" customFormat="false" ht="15" hidden="false" customHeight="false" outlineLevel="0" collapsed="false">
      <c r="A12" s="131" t="str">
        <f aca="false">IF('Quick Chadwick'!$B12="","",'Quick Chadwick'!$A12)</f>
        <v>QC-008</v>
      </c>
      <c r="B12" s="131" t="str">
        <f aca="false">IF('Quick Chadwick'!$B12="","",'Quick Chadwick'!$B12)</f>
        <v>P6-1</v>
      </c>
      <c r="C12" s="132" t="str">
        <f aca="false">IF('Quick Chadwick'!$B12="","",'Quick Chadwick'!$C12)</f>
        <v>6 – Automation &amp; Content</v>
      </c>
      <c r="D12" s="132" t="str">
        <f aca="false">IF('Quick Chadwick'!$B12="","",'Quick Chadwick'!$D12)</f>
        <v>Develop standardized brand overview videos</v>
      </c>
      <c r="E12" s="132" t="str">
        <f aca="false">IF('Quick Chadwick'!$B12="","",'Quick Chadwick'!$E12)</f>
        <v>Quick Chadwick</v>
      </c>
      <c r="F12" s="132" t="str">
        <f aca="false">IF('Quick Chadwick'!$B12="","",'Quick Chadwick'!$F12)</f>
        <v>Owner</v>
      </c>
      <c r="G12" s="132" t="str">
        <f aca="false">IF('Quick Chadwick'!$B12="","",'Quick Chadwick'!$G12)</f>
        <v>Video Project (Signature 7 – Prism)</v>
      </c>
      <c r="H12" s="131" t="str">
        <f aca="false">IF('Quick Chadwick'!$B12="","",'Quick Chadwick'!$H12)</f>
        <v>Medium</v>
      </c>
      <c r="I12" s="131" t="str">
        <f aca="false">IF('Quick Chadwick'!$B12="","",'Quick Chadwick'!$I12)</f>
        <v>In Progress</v>
      </c>
      <c r="J12" s="133" t="n">
        <f aca="false">IF('Quick Chadwick'!$B12="","",'Quick Chadwick'!$J12)</f>
        <v>0.4</v>
      </c>
      <c r="K12" s="134" t="n">
        <f aca="false">IF('Quick Chadwick'!$B12="","",'Quick Chadwick'!$K12)</f>
        <v>46152</v>
      </c>
      <c r="L12" s="134" t="n">
        <f aca="false">IF('Quick Chadwick'!$B12="","",'Quick Chadwick'!$L12)</f>
        <v>46203</v>
      </c>
      <c r="M12" s="132" t="n">
        <f aca="false">IF('Quick Chadwick'!$B12="","",'Quick Chadwick'!$M12)</f>
        <v>0</v>
      </c>
      <c r="N12" s="132" t="n">
        <f aca="false">IF('Quick Chadwick'!$B12="","",'Quick Chadwick'!$N12)</f>
        <v>0</v>
      </c>
      <c r="O12" s="134" t="str">
        <f aca="false">IF('Quick Chadwick'!$B12="","",'Quick Chadwick'!$O12)</f>
        <v>JL has sample</v>
      </c>
      <c r="P12" s="132" t="str">
        <f aca="false">IF('Quick Chadwick'!$B12="","",'Quick Chadwick'!$P12)</f>
        <v>Confirm sub footage</v>
      </c>
      <c r="Q12" s="131" t="str">
        <f aca="false">IF('Quick Chadwick'!$B12="","","Quick Chadwick")</f>
        <v>Quick Chadwick</v>
      </c>
      <c r="R12" s="131" t="n">
        <f aca="true">IF(OR($B12="",$I12="Complete",$L12=""),0,IF($L12&lt;TODAY(),1,0))</f>
        <v>0</v>
      </c>
      <c r="S12" s="131" t="n">
        <f aca="true">IF(OR($B12="",$I12="Complete",$L12=""),0,IF(AND($L12&gt;=TODAY(),$L12&lt;=TODAY()+7),1,0))</f>
        <v>0</v>
      </c>
      <c r="T12" s="131" t="n">
        <f aca="true">IF(OR($B12="",$L12=""),"",$L12-TODAY())</f>
        <v>33</v>
      </c>
      <c r="U12" s="135" t="n">
        <f aca="false">IF($B12="","",IF($I12="Complete",1,IF($J12="",0,$J12)))</f>
        <v>0.4</v>
      </c>
      <c r="V12" s="131" t="n">
        <f aca="false">IF($B12="",0,IF($N12="",0,1))</f>
        <v>0</v>
      </c>
      <c r="W12" s="131" t="n">
        <f aca="false">IF($B12="",0,1)</f>
        <v>1</v>
      </c>
    </row>
    <row r="13" customFormat="false" ht="19.4" hidden="false" customHeight="false" outlineLevel="0" collapsed="false">
      <c r="A13" s="131" t="str">
        <f aca="false">IF('Quick Chadwick'!$B13="","",'Quick Chadwick'!$A13)</f>
        <v>QC-009</v>
      </c>
      <c r="B13" s="131" t="str">
        <f aca="false">IF('Quick Chadwick'!$B13="","",'Quick Chadwick'!$B13)</f>
        <v>P6-1</v>
      </c>
      <c r="C13" s="132" t="str">
        <f aca="false">IF('Quick Chadwick'!$B13="","",'Quick Chadwick'!$C13)</f>
        <v>6 – Automation &amp; Content</v>
      </c>
      <c r="D13" s="132" t="str">
        <f aca="false">IF('Quick Chadwick'!$B13="","",'Quick Chadwick'!$D13)</f>
        <v>Develop standardized brand overview videos</v>
      </c>
      <c r="E13" s="132" t="str">
        <f aca="false">IF('Quick Chadwick'!$B13="","",'Quick Chadwick'!$E13)</f>
        <v>Quick Chadwick</v>
      </c>
      <c r="F13" s="132" t="str">
        <f aca="false">IF('Quick Chadwick'!$B13="","",'Quick Chadwick'!$F13)</f>
        <v>Owner</v>
      </c>
      <c r="G13" s="132" t="str">
        <f aca="false">IF('Quick Chadwick'!$B13="","",'Quick Chadwick'!$G13)</f>
        <v>Video Project (Signature 7 – Clintar)</v>
      </c>
      <c r="H13" s="131" t="str">
        <f aca="false">IF('Quick Chadwick'!$B13="","",'Quick Chadwick'!$H13)</f>
        <v>Medium</v>
      </c>
      <c r="I13" s="131" t="str">
        <f aca="false">IF('Quick Chadwick'!$B13="","",'Quick Chadwick'!$I13)</f>
        <v>In Progress</v>
      </c>
      <c r="J13" s="133" t="n">
        <f aca="false">IF('Quick Chadwick'!$B13="","",'Quick Chadwick'!$J13)</f>
        <v>0.3</v>
      </c>
      <c r="K13" s="134" t="n">
        <f aca="false">IF('Quick Chadwick'!$B13="","",'Quick Chadwick'!$K13)</f>
        <v>46152</v>
      </c>
      <c r="L13" s="134" t="n">
        <f aca="false">IF('Quick Chadwick'!$B13="","",'Quick Chadwick'!$L13)</f>
        <v>46218</v>
      </c>
      <c r="M13" s="132" t="n">
        <f aca="false">IF('Quick Chadwick'!$B13="","",'Quick Chadwick'!$M13)</f>
        <v>0</v>
      </c>
      <c r="N13" s="132" t="n">
        <f aca="false">IF('Quick Chadwick'!$B13="","",'Quick Chadwick'!$N13)</f>
        <v>0</v>
      </c>
      <c r="O13" s="134" t="str">
        <f aca="false">IF('Quick Chadwick'!$B13="","",'Quick Chadwick'!$O13)</f>
        <v>Could use TES for sub</v>
      </c>
      <c r="P13" s="132" t="str">
        <f aca="false">IF('Quick Chadwick'!$B13="","",'Quick Chadwick'!$P13)</f>
        <v>Source sub footage</v>
      </c>
      <c r="Q13" s="131" t="str">
        <f aca="false">IF('Quick Chadwick'!$B13="","","Quick Chadwick")</f>
        <v>Quick Chadwick</v>
      </c>
      <c r="R13" s="131" t="n">
        <f aca="true">IF(OR($B13="",$I13="Complete",$L13=""),0,IF($L13&lt;TODAY(),1,0))</f>
        <v>0</v>
      </c>
      <c r="S13" s="131" t="n">
        <f aca="true">IF(OR($B13="",$I13="Complete",$L13=""),0,IF(AND($L13&gt;=TODAY(),$L13&lt;=TODAY()+7),1,0))</f>
        <v>0</v>
      </c>
      <c r="T13" s="131" t="n">
        <f aca="true">IF(OR($B13="",$L13=""),"",$L13-TODAY())</f>
        <v>48</v>
      </c>
      <c r="U13" s="135" t="n">
        <f aca="false">IF($B13="","",IF($I13="Complete",1,IF($J13="",0,$J13)))</f>
        <v>0.3</v>
      </c>
      <c r="V13" s="131" t="n">
        <f aca="false">IF($B13="",0,IF($N13="",0,1))</f>
        <v>0</v>
      </c>
      <c r="W13" s="131" t="n">
        <f aca="false">IF($B13="",0,1)</f>
        <v>1</v>
      </c>
    </row>
    <row r="14" customFormat="false" ht="15" hidden="false" customHeight="false" outlineLevel="0" collapsed="false">
      <c r="A14" s="131" t="str">
        <f aca="false">IF('Quick Chadwick'!$B14="","",'Quick Chadwick'!$A14)</f>
        <v>QC-010</v>
      </c>
      <c r="B14" s="131" t="str">
        <f aca="false">IF('Quick Chadwick'!$B14="","",'Quick Chadwick'!$B14)</f>
        <v>P6-1</v>
      </c>
      <c r="C14" s="132" t="str">
        <f aca="false">IF('Quick Chadwick'!$B14="","",'Quick Chadwick'!$C14)</f>
        <v>6 – Automation &amp; Content</v>
      </c>
      <c r="D14" s="132" t="str">
        <f aca="false">IF('Quick Chadwick'!$B14="","",'Quick Chadwick'!$D14)</f>
        <v>Develop standardized brand overview videos</v>
      </c>
      <c r="E14" s="132" t="str">
        <f aca="false">IF('Quick Chadwick'!$B14="","",'Quick Chadwick'!$E14)</f>
        <v>Quick Chadwick</v>
      </c>
      <c r="F14" s="132" t="str">
        <f aca="false">IF('Quick Chadwick'!$B14="","",'Quick Chadwick'!$F14)</f>
        <v>Owner</v>
      </c>
      <c r="G14" s="132" t="str">
        <f aca="false">IF('Quick Chadwick'!$B14="","",'Quick Chadwick'!$G14)</f>
        <v>Video Project (Signature 7 – US Lawns)</v>
      </c>
      <c r="H14" s="131" t="str">
        <f aca="false">IF('Quick Chadwick'!$B14="","",'Quick Chadwick'!$H14)</f>
        <v>Medium</v>
      </c>
      <c r="I14" s="131" t="str">
        <f aca="false">IF('Quick Chadwick'!$B14="","",'Quick Chadwick'!$I14)</f>
        <v>Not Started</v>
      </c>
      <c r="J14" s="133" t="n">
        <f aca="false">IF('Quick Chadwick'!$B14="","",'Quick Chadwick'!$J14)</f>
        <v>0</v>
      </c>
      <c r="K14" s="134" t="n">
        <f aca="false">IF('Quick Chadwick'!$B14="","",'Quick Chadwick'!$K14)</f>
        <v>46174</v>
      </c>
      <c r="L14" s="134" t="n">
        <f aca="false">IF('Quick Chadwick'!$B14="","",'Quick Chadwick'!$L14)</f>
        <v>46234</v>
      </c>
      <c r="M14" s="132" t="str">
        <f aca="false">IF('Quick Chadwick'!$B14="","",'Quick Chadwick'!$M14)</f>
        <v>Coordinate with JS</v>
      </c>
      <c r="N14" s="132" t="n">
        <f aca="false">IF('Quick Chadwick'!$B14="","",'Quick Chadwick'!$N14)</f>
        <v>0</v>
      </c>
      <c r="O14" s="134" t="n">
        <f aca="false">IF('Quick Chadwick'!$B14="","",'Quick Chadwick'!$O14)</f>
        <v>0</v>
      </c>
      <c r="P14" s="132" t="str">
        <f aca="false">IF('Quick Chadwick'!$B14="","",'Quick Chadwick'!$P14)</f>
        <v>Kickoff with JS</v>
      </c>
      <c r="Q14" s="131" t="str">
        <f aca="false">IF('Quick Chadwick'!$B14="","","Quick Chadwick")</f>
        <v>Quick Chadwick</v>
      </c>
      <c r="R14" s="131" t="n">
        <f aca="true">IF(OR($B14="",$I14="Complete",$L14=""),0,IF($L14&lt;TODAY(),1,0))</f>
        <v>0</v>
      </c>
      <c r="S14" s="131" t="n">
        <f aca="true">IF(OR($B14="",$I14="Complete",$L14=""),0,IF(AND($L14&gt;=TODAY(),$L14&lt;=TODAY()+7),1,0))</f>
        <v>0</v>
      </c>
      <c r="T14" s="131" t="n">
        <f aca="true">IF(OR($B14="",$L14=""),"",$L14-TODAY())</f>
        <v>64</v>
      </c>
      <c r="U14" s="135" t="n">
        <f aca="false">IF($B14="","",IF($I14="Complete",1,IF($J14="",0,$J14)))</f>
        <v>0</v>
      </c>
      <c r="V14" s="131" t="n">
        <f aca="false">IF($B14="",0,IF($N14="",0,1))</f>
        <v>0</v>
      </c>
      <c r="W14" s="131" t="n">
        <f aca="false">IF($B14="",0,1)</f>
        <v>1</v>
      </c>
    </row>
    <row r="15" customFormat="false" ht="15" hidden="false" customHeight="false" outlineLevel="0" collapsed="false">
      <c r="A15" s="131" t="str">
        <f aca="false">IF('Quick Chadwick'!$B15="","",'Quick Chadwick'!$A15)</f>
        <v/>
      </c>
      <c r="B15" s="131" t="str">
        <f aca="false">IF('Quick Chadwick'!$B15="","",'Quick Chadwick'!$B15)</f>
        <v/>
      </c>
      <c r="C15" s="132" t="str">
        <f aca="false">IF('Quick Chadwick'!$B15="","",'Quick Chadwick'!$C15)</f>
        <v/>
      </c>
      <c r="D15" s="132" t="str">
        <f aca="false">IF('Quick Chadwick'!$B15="","",'Quick Chadwick'!$D15)</f>
        <v/>
      </c>
      <c r="E15" s="132" t="str">
        <f aca="false">IF('Quick Chadwick'!$B15="","",'Quick Chadwick'!$E15)</f>
        <v/>
      </c>
      <c r="F15" s="132" t="str">
        <f aca="false">IF('Quick Chadwick'!$B15="","",'Quick Chadwick'!$F15)</f>
        <v/>
      </c>
      <c r="G15" s="132" t="str">
        <f aca="false">IF('Quick Chadwick'!$B15="","",'Quick Chadwick'!$G15)</f>
        <v/>
      </c>
      <c r="H15" s="131" t="str">
        <f aca="false">IF('Quick Chadwick'!$B15="","",'Quick Chadwick'!$H15)</f>
        <v/>
      </c>
      <c r="I15" s="131" t="str">
        <f aca="false">IF('Quick Chadwick'!$B15="","",'Quick Chadwick'!$I15)</f>
        <v/>
      </c>
      <c r="J15" s="133" t="str">
        <f aca="false">IF('Quick Chadwick'!$B15="","",'Quick Chadwick'!$J15)</f>
        <v/>
      </c>
      <c r="K15" s="134" t="str">
        <f aca="false">IF('Quick Chadwick'!$B15="","",'Quick Chadwick'!$K15)</f>
        <v/>
      </c>
      <c r="L15" s="134" t="str">
        <f aca="false">IF('Quick Chadwick'!$B15="","",'Quick Chadwick'!$L15)</f>
        <v/>
      </c>
      <c r="M15" s="132" t="str">
        <f aca="false">IF('Quick Chadwick'!$B15="","",'Quick Chadwick'!$M15)</f>
        <v/>
      </c>
      <c r="N15" s="132" t="str">
        <f aca="false">IF('Quick Chadwick'!$B15="","",'Quick Chadwick'!$N15)</f>
        <v/>
      </c>
      <c r="O15" s="134" t="str">
        <f aca="false">IF('Quick Chadwick'!$B15="","",'Quick Chadwick'!$O15)</f>
        <v/>
      </c>
      <c r="P15" s="132" t="str">
        <f aca="false">IF('Quick Chadwick'!$B15="","",'Quick Chadwick'!$P15)</f>
        <v/>
      </c>
      <c r="Q15" s="131" t="str">
        <f aca="false">IF('Quick Chadwick'!$B15="","","Quick Chadwick")</f>
        <v/>
      </c>
      <c r="R15" s="131" t="n">
        <f aca="true">IF(OR($B15="",$I15="Complete",$L15=""),0,IF($L15&lt;TODAY(),1,0))</f>
        <v>0</v>
      </c>
      <c r="S15" s="131" t="n">
        <f aca="true">IF(OR($B15="",$I15="Complete",$L15=""),0,IF(AND($L15&gt;=TODAY(),$L15&lt;=TODAY()+7),1,0))</f>
        <v>0</v>
      </c>
      <c r="T15" s="131" t="str">
        <f aca="true">IF(OR($B15="",$L15=""),"",$L15-TODAY())</f>
        <v/>
      </c>
      <c r="U15" s="135" t="str">
        <f aca="false">IF($B15="","",IF($I15="Complete",1,IF($J15="",0,$J15)))</f>
        <v/>
      </c>
      <c r="V15" s="131" t="n">
        <f aca="false">IF($B15="",0,IF($N15="",0,1))</f>
        <v>0</v>
      </c>
      <c r="W15" s="131" t="n">
        <f aca="false">IF($B15="",0,1)</f>
        <v>0</v>
      </c>
    </row>
    <row r="16" customFormat="false" ht="15" hidden="false" customHeight="false" outlineLevel="0" collapsed="false">
      <c r="A16" s="131" t="str">
        <f aca="false">IF('Quick Chadwick'!$B16="","",'Quick Chadwick'!$A16)</f>
        <v/>
      </c>
      <c r="B16" s="131" t="str">
        <f aca="false">IF('Quick Chadwick'!$B16="","",'Quick Chadwick'!$B16)</f>
        <v/>
      </c>
      <c r="C16" s="132" t="str">
        <f aca="false">IF('Quick Chadwick'!$B16="","",'Quick Chadwick'!$C16)</f>
        <v/>
      </c>
      <c r="D16" s="132" t="str">
        <f aca="false">IF('Quick Chadwick'!$B16="","",'Quick Chadwick'!$D16)</f>
        <v/>
      </c>
      <c r="E16" s="132" t="str">
        <f aca="false">IF('Quick Chadwick'!$B16="","",'Quick Chadwick'!$E16)</f>
        <v/>
      </c>
      <c r="F16" s="132" t="str">
        <f aca="false">IF('Quick Chadwick'!$B16="","",'Quick Chadwick'!$F16)</f>
        <v/>
      </c>
      <c r="G16" s="132" t="str">
        <f aca="false">IF('Quick Chadwick'!$B16="","",'Quick Chadwick'!$G16)</f>
        <v/>
      </c>
      <c r="H16" s="131" t="str">
        <f aca="false">IF('Quick Chadwick'!$B16="","",'Quick Chadwick'!$H16)</f>
        <v/>
      </c>
      <c r="I16" s="131" t="str">
        <f aca="false">IF('Quick Chadwick'!$B16="","",'Quick Chadwick'!$I16)</f>
        <v/>
      </c>
      <c r="J16" s="133" t="str">
        <f aca="false">IF('Quick Chadwick'!$B16="","",'Quick Chadwick'!$J16)</f>
        <v/>
      </c>
      <c r="K16" s="134" t="str">
        <f aca="false">IF('Quick Chadwick'!$B16="","",'Quick Chadwick'!$K16)</f>
        <v/>
      </c>
      <c r="L16" s="134" t="str">
        <f aca="false">IF('Quick Chadwick'!$B16="","",'Quick Chadwick'!$L16)</f>
        <v/>
      </c>
      <c r="M16" s="132" t="str">
        <f aca="false">IF('Quick Chadwick'!$B16="","",'Quick Chadwick'!$M16)</f>
        <v/>
      </c>
      <c r="N16" s="132" t="str">
        <f aca="false">IF('Quick Chadwick'!$B16="","",'Quick Chadwick'!$N16)</f>
        <v/>
      </c>
      <c r="O16" s="134" t="str">
        <f aca="false">IF('Quick Chadwick'!$B16="","",'Quick Chadwick'!$O16)</f>
        <v/>
      </c>
      <c r="P16" s="132" t="str">
        <f aca="false">IF('Quick Chadwick'!$B16="","",'Quick Chadwick'!$P16)</f>
        <v/>
      </c>
      <c r="Q16" s="131" t="str">
        <f aca="false">IF('Quick Chadwick'!$B16="","","Quick Chadwick")</f>
        <v/>
      </c>
      <c r="R16" s="131" t="n">
        <f aca="true">IF(OR($B16="",$I16="Complete",$L16=""),0,IF($L16&lt;TODAY(),1,0))</f>
        <v>0</v>
      </c>
      <c r="S16" s="131" t="n">
        <f aca="true">IF(OR($B16="",$I16="Complete",$L16=""),0,IF(AND($L16&gt;=TODAY(),$L16&lt;=TODAY()+7),1,0))</f>
        <v>0</v>
      </c>
      <c r="T16" s="131" t="str">
        <f aca="true">IF(OR($B16="",$L16=""),"",$L16-TODAY())</f>
        <v/>
      </c>
      <c r="U16" s="135" t="str">
        <f aca="false">IF($B16="","",IF($I16="Complete",1,IF($J16="",0,$J16)))</f>
        <v/>
      </c>
      <c r="V16" s="131" t="n">
        <f aca="false">IF($B16="",0,IF($N16="",0,1))</f>
        <v>0</v>
      </c>
      <c r="W16" s="131" t="n">
        <f aca="false">IF($B16="",0,1)</f>
        <v>0</v>
      </c>
    </row>
    <row r="17" customFormat="false" ht="15" hidden="false" customHeight="false" outlineLevel="0" collapsed="false">
      <c r="A17" s="131" t="str">
        <f aca="false">IF('Quick Chadwick'!$B17="","",'Quick Chadwick'!$A17)</f>
        <v/>
      </c>
      <c r="B17" s="131" t="str">
        <f aca="false">IF('Quick Chadwick'!$B17="","",'Quick Chadwick'!$B17)</f>
        <v/>
      </c>
      <c r="C17" s="132" t="str">
        <f aca="false">IF('Quick Chadwick'!$B17="","",'Quick Chadwick'!$C17)</f>
        <v/>
      </c>
      <c r="D17" s="132" t="str">
        <f aca="false">IF('Quick Chadwick'!$B17="","",'Quick Chadwick'!$D17)</f>
        <v/>
      </c>
      <c r="E17" s="132" t="str">
        <f aca="false">IF('Quick Chadwick'!$B17="","",'Quick Chadwick'!$E17)</f>
        <v/>
      </c>
      <c r="F17" s="132" t="str">
        <f aca="false">IF('Quick Chadwick'!$B17="","",'Quick Chadwick'!$F17)</f>
        <v/>
      </c>
      <c r="G17" s="132" t="str">
        <f aca="false">IF('Quick Chadwick'!$B17="","",'Quick Chadwick'!$G17)</f>
        <v/>
      </c>
      <c r="H17" s="131" t="str">
        <f aca="false">IF('Quick Chadwick'!$B17="","",'Quick Chadwick'!$H17)</f>
        <v/>
      </c>
      <c r="I17" s="131" t="str">
        <f aca="false">IF('Quick Chadwick'!$B17="","",'Quick Chadwick'!$I17)</f>
        <v/>
      </c>
      <c r="J17" s="133" t="str">
        <f aca="false">IF('Quick Chadwick'!$B17="","",'Quick Chadwick'!$J17)</f>
        <v/>
      </c>
      <c r="K17" s="134" t="str">
        <f aca="false">IF('Quick Chadwick'!$B17="","",'Quick Chadwick'!$K17)</f>
        <v/>
      </c>
      <c r="L17" s="134" t="str">
        <f aca="false">IF('Quick Chadwick'!$B17="","",'Quick Chadwick'!$L17)</f>
        <v/>
      </c>
      <c r="M17" s="132" t="str">
        <f aca="false">IF('Quick Chadwick'!$B17="","",'Quick Chadwick'!$M17)</f>
        <v/>
      </c>
      <c r="N17" s="132" t="str">
        <f aca="false">IF('Quick Chadwick'!$B17="","",'Quick Chadwick'!$N17)</f>
        <v/>
      </c>
      <c r="O17" s="134" t="str">
        <f aca="false">IF('Quick Chadwick'!$B17="","",'Quick Chadwick'!$O17)</f>
        <v/>
      </c>
      <c r="P17" s="132" t="str">
        <f aca="false">IF('Quick Chadwick'!$B17="","",'Quick Chadwick'!$P17)</f>
        <v/>
      </c>
      <c r="Q17" s="131" t="str">
        <f aca="false">IF('Quick Chadwick'!$B17="","","Quick Chadwick")</f>
        <v/>
      </c>
      <c r="R17" s="131" t="n">
        <f aca="true">IF(OR($B17="",$I17="Complete",$L17=""),0,IF($L17&lt;TODAY(),1,0))</f>
        <v>0</v>
      </c>
      <c r="S17" s="131" t="n">
        <f aca="true">IF(OR($B17="",$I17="Complete",$L17=""),0,IF(AND($L17&gt;=TODAY(),$L17&lt;=TODAY()+7),1,0))</f>
        <v>0</v>
      </c>
      <c r="T17" s="131" t="str">
        <f aca="true">IF(OR($B17="",$L17=""),"",$L17-TODAY())</f>
        <v/>
      </c>
      <c r="U17" s="135" t="str">
        <f aca="false">IF($B17="","",IF($I17="Complete",1,IF($J17="",0,$J17)))</f>
        <v/>
      </c>
      <c r="V17" s="131" t="n">
        <f aca="false">IF($B17="",0,IF($N17="",0,1))</f>
        <v>0</v>
      </c>
      <c r="W17" s="131" t="n">
        <f aca="false">IF($B17="",0,1)</f>
        <v>0</v>
      </c>
    </row>
    <row r="18" customFormat="false" ht="15" hidden="false" customHeight="false" outlineLevel="0" collapsed="false">
      <c r="A18" s="131" t="str">
        <f aca="false">IF('Quick Chadwick'!$B18="","",'Quick Chadwick'!$A18)</f>
        <v/>
      </c>
      <c r="B18" s="131" t="str">
        <f aca="false">IF('Quick Chadwick'!$B18="","",'Quick Chadwick'!$B18)</f>
        <v/>
      </c>
      <c r="C18" s="132" t="str">
        <f aca="false">IF('Quick Chadwick'!$B18="","",'Quick Chadwick'!$C18)</f>
        <v/>
      </c>
      <c r="D18" s="132" t="str">
        <f aca="false">IF('Quick Chadwick'!$B18="","",'Quick Chadwick'!$D18)</f>
        <v/>
      </c>
      <c r="E18" s="132" t="str">
        <f aca="false">IF('Quick Chadwick'!$B18="","",'Quick Chadwick'!$E18)</f>
        <v/>
      </c>
      <c r="F18" s="132" t="str">
        <f aca="false">IF('Quick Chadwick'!$B18="","",'Quick Chadwick'!$F18)</f>
        <v/>
      </c>
      <c r="G18" s="132" t="str">
        <f aca="false">IF('Quick Chadwick'!$B18="","",'Quick Chadwick'!$G18)</f>
        <v/>
      </c>
      <c r="H18" s="131" t="str">
        <f aca="false">IF('Quick Chadwick'!$B18="","",'Quick Chadwick'!$H18)</f>
        <v/>
      </c>
      <c r="I18" s="131" t="str">
        <f aca="false">IF('Quick Chadwick'!$B18="","",'Quick Chadwick'!$I18)</f>
        <v/>
      </c>
      <c r="J18" s="133" t="str">
        <f aca="false">IF('Quick Chadwick'!$B18="","",'Quick Chadwick'!$J18)</f>
        <v/>
      </c>
      <c r="K18" s="134" t="str">
        <f aca="false">IF('Quick Chadwick'!$B18="","",'Quick Chadwick'!$K18)</f>
        <v/>
      </c>
      <c r="L18" s="134" t="str">
        <f aca="false">IF('Quick Chadwick'!$B18="","",'Quick Chadwick'!$L18)</f>
        <v/>
      </c>
      <c r="M18" s="132" t="str">
        <f aca="false">IF('Quick Chadwick'!$B18="","",'Quick Chadwick'!$M18)</f>
        <v/>
      </c>
      <c r="N18" s="132" t="str">
        <f aca="false">IF('Quick Chadwick'!$B18="","",'Quick Chadwick'!$N18)</f>
        <v/>
      </c>
      <c r="O18" s="134" t="str">
        <f aca="false">IF('Quick Chadwick'!$B18="","",'Quick Chadwick'!$O18)</f>
        <v/>
      </c>
      <c r="P18" s="132" t="str">
        <f aca="false">IF('Quick Chadwick'!$B18="","",'Quick Chadwick'!$P18)</f>
        <v/>
      </c>
      <c r="Q18" s="131" t="str">
        <f aca="false">IF('Quick Chadwick'!$B18="","","Quick Chadwick")</f>
        <v/>
      </c>
      <c r="R18" s="131" t="n">
        <f aca="true">IF(OR($B18="",$I18="Complete",$L18=""),0,IF($L18&lt;TODAY(),1,0))</f>
        <v>0</v>
      </c>
      <c r="S18" s="131" t="n">
        <f aca="true">IF(OR($B18="",$I18="Complete",$L18=""),0,IF(AND($L18&gt;=TODAY(),$L18&lt;=TODAY()+7),1,0))</f>
        <v>0</v>
      </c>
      <c r="T18" s="131" t="str">
        <f aca="true">IF(OR($B18="",$L18=""),"",$L18-TODAY())</f>
        <v/>
      </c>
      <c r="U18" s="135" t="str">
        <f aca="false">IF($B18="","",IF($I18="Complete",1,IF($J18="",0,$J18)))</f>
        <v/>
      </c>
      <c r="V18" s="131" t="n">
        <f aca="false">IF($B18="",0,IF($N18="",0,1))</f>
        <v>0</v>
      </c>
      <c r="W18" s="131" t="n">
        <f aca="false">IF($B18="",0,1)</f>
        <v>0</v>
      </c>
    </row>
    <row r="19" customFormat="false" ht="15" hidden="false" customHeight="false" outlineLevel="0" collapsed="false">
      <c r="A19" s="131" t="str">
        <f aca="false">IF('Quick Chadwick'!$B19="","",'Quick Chadwick'!$A19)</f>
        <v/>
      </c>
      <c r="B19" s="131" t="str">
        <f aca="false">IF('Quick Chadwick'!$B19="","",'Quick Chadwick'!$B19)</f>
        <v/>
      </c>
      <c r="C19" s="132" t="str">
        <f aca="false">IF('Quick Chadwick'!$B19="","",'Quick Chadwick'!$C19)</f>
        <v/>
      </c>
      <c r="D19" s="132" t="str">
        <f aca="false">IF('Quick Chadwick'!$B19="","",'Quick Chadwick'!$D19)</f>
        <v/>
      </c>
      <c r="E19" s="132" t="str">
        <f aca="false">IF('Quick Chadwick'!$B19="","",'Quick Chadwick'!$E19)</f>
        <v/>
      </c>
      <c r="F19" s="132" t="str">
        <f aca="false">IF('Quick Chadwick'!$B19="","",'Quick Chadwick'!$F19)</f>
        <v/>
      </c>
      <c r="G19" s="132" t="str">
        <f aca="false">IF('Quick Chadwick'!$B19="","",'Quick Chadwick'!$G19)</f>
        <v/>
      </c>
      <c r="H19" s="131" t="str">
        <f aca="false">IF('Quick Chadwick'!$B19="","",'Quick Chadwick'!$H19)</f>
        <v/>
      </c>
      <c r="I19" s="131" t="str">
        <f aca="false">IF('Quick Chadwick'!$B19="","",'Quick Chadwick'!$I19)</f>
        <v/>
      </c>
      <c r="J19" s="133" t="str">
        <f aca="false">IF('Quick Chadwick'!$B19="","",'Quick Chadwick'!$J19)</f>
        <v/>
      </c>
      <c r="K19" s="134" t="str">
        <f aca="false">IF('Quick Chadwick'!$B19="","",'Quick Chadwick'!$K19)</f>
        <v/>
      </c>
      <c r="L19" s="134" t="str">
        <f aca="false">IF('Quick Chadwick'!$B19="","",'Quick Chadwick'!$L19)</f>
        <v/>
      </c>
      <c r="M19" s="132" t="str">
        <f aca="false">IF('Quick Chadwick'!$B19="","",'Quick Chadwick'!$M19)</f>
        <v/>
      </c>
      <c r="N19" s="132" t="str">
        <f aca="false">IF('Quick Chadwick'!$B19="","",'Quick Chadwick'!$N19)</f>
        <v/>
      </c>
      <c r="O19" s="134" t="str">
        <f aca="false">IF('Quick Chadwick'!$B19="","",'Quick Chadwick'!$O19)</f>
        <v/>
      </c>
      <c r="P19" s="132" t="str">
        <f aca="false">IF('Quick Chadwick'!$B19="","",'Quick Chadwick'!$P19)</f>
        <v/>
      </c>
      <c r="Q19" s="131" t="str">
        <f aca="false">IF('Quick Chadwick'!$B19="","","Quick Chadwick")</f>
        <v/>
      </c>
      <c r="R19" s="131" t="n">
        <f aca="true">IF(OR($B19="",$I19="Complete",$L19=""),0,IF($L19&lt;TODAY(),1,0))</f>
        <v>0</v>
      </c>
      <c r="S19" s="131" t="n">
        <f aca="true">IF(OR($B19="",$I19="Complete",$L19=""),0,IF(AND($L19&gt;=TODAY(),$L19&lt;=TODAY()+7),1,0))</f>
        <v>0</v>
      </c>
      <c r="T19" s="131" t="str">
        <f aca="true">IF(OR($B19="",$L19=""),"",$L19-TODAY())</f>
        <v/>
      </c>
      <c r="U19" s="135" t="str">
        <f aca="false">IF($B19="","",IF($I19="Complete",1,IF($J19="",0,$J19)))</f>
        <v/>
      </c>
      <c r="V19" s="131" t="n">
        <f aca="false">IF($B19="",0,IF($N19="",0,1))</f>
        <v>0</v>
      </c>
      <c r="W19" s="131" t="n">
        <f aca="false">IF($B19="",0,1)</f>
        <v>0</v>
      </c>
    </row>
    <row r="20" customFormat="false" ht="15" hidden="false" customHeight="false" outlineLevel="0" collapsed="false">
      <c r="A20" s="131" t="str">
        <f aca="false">IF('Quick Chadwick'!$B20="","",'Quick Chadwick'!$A20)</f>
        <v/>
      </c>
      <c r="B20" s="131" t="str">
        <f aca="false">IF('Quick Chadwick'!$B20="","",'Quick Chadwick'!$B20)</f>
        <v/>
      </c>
      <c r="C20" s="132" t="str">
        <f aca="false">IF('Quick Chadwick'!$B20="","",'Quick Chadwick'!$C20)</f>
        <v/>
      </c>
      <c r="D20" s="132" t="str">
        <f aca="false">IF('Quick Chadwick'!$B20="","",'Quick Chadwick'!$D20)</f>
        <v/>
      </c>
      <c r="E20" s="132" t="str">
        <f aca="false">IF('Quick Chadwick'!$B20="","",'Quick Chadwick'!$E20)</f>
        <v/>
      </c>
      <c r="F20" s="132" t="str">
        <f aca="false">IF('Quick Chadwick'!$B20="","",'Quick Chadwick'!$F20)</f>
        <v/>
      </c>
      <c r="G20" s="132" t="str">
        <f aca="false">IF('Quick Chadwick'!$B20="","",'Quick Chadwick'!$G20)</f>
        <v/>
      </c>
      <c r="H20" s="131" t="str">
        <f aca="false">IF('Quick Chadwick'!$B20="","",'Quick Chadwick'!$H20)</f>
        <v/>
      </c>
      <c r="I20" s="131" t="str">
        <f aca="false">IF('Quick Chadwick'!$B20="","",'Quick Chadwick'!$I20)</f>
        <v/>
      </c>
      <c r="J20" s="133" t="str">
        <f aca="false">IF('Quick Chadwick'!$B20="","",'Quick Chadwick'!$J20)</f>
        <v/>
      </c>
      <c r="K20" s="134" t="str">
        <f aca="false">IF('Quick Chadwick'!$B20="","",'Quick Chadwick'!$K20)</f>
        <v/>
      </c>
      <c r="L20" s="134" t="str">
        <f aca="false">IF('Quick Chadwick'!$B20="","",'Quick Chadwick'!$L20)</f>
        <v/>
      </c>
      <c r="M20" s="132" t="str">
        <f aca="false">IF('Quick Chadwick'!$B20="","",'Quick Chadwick'!$M20)</f>
        <v/>
      </c>
      <c r="N20" s="132" t="str">
        <f aca="false">IF('Quick Chadwick'!$B20="","",'Quick Chadwick'!$N20)</f>
        <v/>
      </c>
      <c r="O20" s="134" t="str">
        <f aca="false">IF('Quick Chadwick'!$B20="","",'Quick Chadwick'!$O20)</f>
        <v/>
      </c>
      <c r="P20" s="132" t="str">
        <f aca="false">IF('Quick Chadwick'!$B20="","",'Quick Chadwick'!$P20)</f>
        <v/>
      </c>
      <c r="Q20" s="131" t="str">
        <f aca="false">IF('Quick Chadwick'!$B20="","","Quick Chadwick")</f>
        <v/>
      </c>
      <c r="R20" s="131" t="n">
        <f aca="true">IF(OR($B20="",$I20="Complete",$L20=""),0,IF($L20&lt;TODAY(),1,0))</f>
        <v>0</v>
      </c>
      <c r="S20" s="131" t="n">
        <f aca="true">IF(OR($B20="",$I20="Complete",$L20=""),0,IF(AND($L20&gt;=TODAY(),$L20&lt;=TODAY()+7),1,0))</f>
        <v>0</v>
      </c>
      <c r="T20" s="131" t="str">
        <f aca="true">IF(OR($B20="",$L20=""),"",$L20-TODAY())</f>
        <v/>
      </c>
      <c r="U20" s="135" t="str">
        <f aca="false">IF($B20="","",IF($I20="Complete",1,IF($J20="",0,$J20)))</f>
        <v/>
      </c>
      <c r="V20" s="131" t="n">
        <f aca="false">IF($B20="",0,IF($N20="",0,1))</f>
        <v>0</v>
      </c>
      <c r="W20" s="131" t="n">
        <f aca="false">IF($B20="",0,1)</f>
        <v>0</v>
      </c>
    </row>
    <row r="21" customFormat="false" ht="15" hidden="false" customHeight="false" outlineLevel="0" collapsed="false">
      <c r="A21" s="131" t="str">
        <f aca="false">IF('Quick Chadwick'!$B21="","",'Quick Chadwick'!$A21)</f>
        <v/>
      </c>
      <c r="B21" s="131" t="str">
        <f aca="false">IF('Quick Chadwick'!$B21="","",'Quick Chadwick'!$B21)</f>
        <v/>
      </c>
      <c r="C21" s="132" t="str">
        <f aca="false">IF('Quick Chadwick'!$B21="","",'Quick Chadwick'!$C21)</f>
        <v/>
      </c>
      <c r="D21" s="132" t="str">
        <f aca="false">IF('Quick Chadwick'!$B21="","",'Quick Chadwick'!$D21)</f>
        <v/>
      </c>
      <c r="E21" s="132" t="str">
        <f aca="false">IF('Quick Chadwick'!$B21="","",'Quick Chadwick'!$E21)</f>
        <v/>
      </c>
      <c r="F21" s="132" t="str">
        <f aca="false">IF('Quick Chadwick'!$B21="","",'Quick Chadwick'!$F21)</f>
        <v/>
      </c>
      <c r="G21" s="132" t="str">
        <f aca="false">IF('Quick Chadwick'!$B21="","",'Quick Chadwick'!$G21)</f>
        <v/>
      </c>
      <c r="H21" s="131" t="str">
        <f aca="false">IF('Quick Chadwick'!$B21="","",'Quick Chadwick'!$H21)</f>
        <v/>
      </c>
      <c r="I21" s="131" t="str">
        <f aca="false">IF('Quick Chadwick'!$B21="","",'Quick Chadwick'!$I21)</f>
        <v/>
      </c>
      <c r="J21" s="133" t="str">
        <f aca="false">IF('Quick Chadwick'!$B21="","",'Quick Chadwick'!$J21)</f>
        <v/>
      </c>
      <c r="K21" s="134" t="str">
        <f aca="false">IF('Quick Chadwick'!$B21="","",'Quick Chadwick'!$K21)</f>
        <v/>
      </c>
      <c r="L21" s="134" t="str">
        <f aca="false">IF('Quick Chadwick'!$B21="","",'Quick Chadwick'!$L21)</f>
        <v/>
      </c>
      <c r="M21" s="132" t="str">
        <f aca="false">IF('Quick Chadwick'!$B21="","",'Quick Chadwick'!$M21)</f>
        <v/>
      </c>
      <c r="N21" s="132" t="str">
        <f aca="false">IF('Quick Chadwick'!$B21="","",'Quick Chadwick'!$N21)</f>
        <v/>
      </c>
      <c r="O21" s="134" t="str">
        <f aca="false">IF('Quick Chadwick'!$B21="","",'Quick Chadwick'!$O21)</f>
        <v/>
      </c>
      <c r="P21" s="132" t="str">
        <f aca="false">IF('Quick Chadwick'!$B21="","",'Quick Chadwick'!$P21)</f>
        <v/>
      </c>
      <c r="Q21" s="131" t="str">
        <f aca="false">IF('Quick Chadwick'!$B21="","","Quick Chadwick")</f>
        <v/>
      </c>
      <c r="R21" s="131" t="n">
        <f aca="true">IF(OR($B21="",$I21="Complete",$L21=""),0,IF($L21&lt;TODAY(),1,0))</f>
        <v>0</v>
      </c>
      <c r="S21" s="131" t="n">
        <f aca="true">IF(OR($B21="",$I21="Complete",$L21=""),0,IF(AND($L21&gt;=TODAY(),$L21&lt;=TODAY()+7),1,0))</f>
        <v>0</v>
      </c>
      <c r="T21" s="131" t="str">
        <f aca="true">IF(OR($B21="",$L21=""),"",$L21-TODAY())</f>
        <v/>
      </c>
      <c r="U21" s="135" t="str">
        <f aca="false">IF($B21="","",IF($I21="Complete",1,IF($J21="",0,$J21)))</f>
        <v/>
      </c>
      <c r="V21" s="131" t="n">
        <f aca="false">IF($B21="",0,IF($N21="",0,1))</f>
        <v>0</v>
      </c>
      <c r="W21" s="131" t="n">
        <f aca="false">IF($B21="",0,1)</f>
        <v>0</v>
      </c>
    </row>
    <row r="22" customFormat="false" ht="15" hidden="false" customHeight="false" outlineLevel="0" collapsed="false">
      <c r="A22" s="131" t="str">
        <f aca="false">IF('Quick Chadwick'!$B22="","",'Quick Chadwick'!$A22)</f>
        <v/>
      </c>
      <c r="B22" s="131" t="str">
        <f aca="false">IF('Quick Chadwick'!$B22="","",'Quick Chadwick'!$B22)</f>
        <v/>
      </c>
      <c r="C22" s="132" t="str">
        <f aca="false">IF('Quick Chadwick'!$B22="","",'Quick Chadwick'!$C22)</f>
        <v/>
      </c>
      <c r="D22" s="132" t="str">
        <f aca="false">IF('Quick Chadwick'!$B22="","",'Quick Chadwick'!$D22)</f>
        <v/>
      </c>
      <c r="E22" s="132" t="str">
        <f aca="false">IF('Quick Chadwick'!$B22="","",'Quick Chadwick'!$E22)</f>
        <v/>
      </c>
      <c r="F22" s="132" t="str">
        <f aca="false">IF('Quick Chadwick'!$B22="","",'Quick Chadwick'!$F22)</f>
        <v/>
      </c>
      <c r="G22" s="132" t="str">
        <f aca="false">IF('Quick Chadwick'!$B22="","",'Quick Chadwick'!$G22)</f>
        <v/>
      </c>
      <c r="H22" s="131" t="str">
        <f aca="false">IF('Quick Chadwick'!$B22="","",'Quick Chadwick'!$H22)</f>
        <v/>
      </c>
      <c r="I22" s="131" t="str">
        <f aca="false">IF('Quick Chadwick'!$B22="","",'Quick Chadwick'!$I22)</f>
        <v/>
      </c>
      <c r="J22" s="133" t="str">
        <f aca="false">IF('Quick Chadwick'!$B22="","",'Quick Chadwick'!$J22)</f>
        <v/>
      </c>
      <c r="K22" s="134" t="str">
        <f aca="false">IF('Quick Chadwick'!$B22="","",'Quick Chadwick'!$K22)</f>
        <v/>
      </c>
      <c r="L22" s="134" t="str">
        <f aca="false">IF('Quick Chadwick'!$B22="","",'Quick Chadwick'!$L22)</f>
        <v/>
      </c>
      <c r="M22" s="132" t="str">
        <f aca="false">IF('Quick Chadwick'!$B22="","",'Quick Chadwick'!$M22)</f>
        <v/>
      </c>
      <c r="N22" s="132" t="str">
        <f aca="false">IF('Quick Chadwick'!$B22="","",'Quick Chadwick'!$N22)</f>
        <v/>
      </c>
      <c r="O22" s="134" t="str">
        <f aca="false">IF('Quick Chadwick'!$B22="","",'Quick Chadwick'!$O22)</f>
        <v/>
      </c>
      <c r="P22" s="132" t="str">
        <f aca="false">IF('Quick Chadwick'!$B22="","",'Quick Chadwick'!$P22)</f>
        <v/>
      </c>
      <c r="Q22" s="131" t="str">
        <f aca="false">IF('Quick Chadwick'!$B22="","","Quick Chadwick")</f>
        <v/>
      </c>
      <c r="R22" s="131" t="n">
        <f aca="true">IF(OR($B22="",$I22="Complete",$L22=""),0,IF($L22&lt;TODAY(),1,0))</f>
        <v>0</v>
      </c>
      <c r="S22" s="131" t="n">
        <f aca="true">IF(OR($B22="",$I22="Complete",$L22=""),0,IF(AND($L22&gt;=TODAY(),$L22&lt;=TODAY()+7),1,0))</f>
        <v>0</v>
      </c>
      <c r="T22" s="131" t="str">
        <f aca="true">IF(OR($B22="",$L22=""),"",$L22-TODAY())</f>
        <v/>
      </c>
      <c r="U22" s="135" t="str">
        <f aca="false">IF($B22="","",IF($I22="Complete",1,IF($J22="",0,$J22)))</f>
        <v/>
      </c>
      <c r="V22" s="131" t="n">
        <f aca="false">IF($B22="",0,IF($N22="",0,1))</f>
        <v>0</v>
      </c>
      <c r="W22" s="131" t="n">
        <f aca="false">IF($B22="",0,1)</f>
        <v>0</v>
      </c>
    </row>
    <row r="23" customFormat="false" ht="15" hidden="false" customHeight="false" outlineLevel="0" collapsed="false">
      <c r="A23" s="131" t="str">
        <f aca="false">IF('Quick Chadwick'!$B23="","",'Quick Chadwick'!$A23)</f>
        <v/>
      </c>
      <c r="B23" s="131" t="str">
        <f aca="false">IF('Quick Chadwick'!$B23="","",'Quick Chadwick'!$B23)</f>
        <v/>
      </c>
      <c r="C23" s="132" t="str">
        <f aca="false">IF('Quick Chadwick'!$B23="","",'Quick Chadwick'!$C23)</f>
        <v/>
      </c>
      <c r="D23" s="132" t="str">
        <f aca="false">IF('Quick Chadwick'!$B23="","",'Quick Chadwick'!$D23)</f>
        <v/>
      </c>
      <c r="E23" s="132" t="str">
        <f aca="false">IF('Quick Chadwick'!$B23="","",'Quick Chadwick'!$E23)</f>
        <v/>
      </c>
      <c r="F23" s="132" t="str">
        <f aca="false">IF('Quick Chadwick'!$B23="","",'Quick Chadwick'!$F23)</f>
        <v/>
      </c>
      <c r="G23" s="132" t="str">
        <f aca="false">IF('Quick Chadwick'!$B23="","",'Quick Chadwick'!$G23)</f>
        <v/>
      </c>
      <c r="H23" s="131" t="str">
        <f aca="false">IF('Quick Chadwick'!$B23="","",'Quick Chadwick'!$H23)</f>
        <v/>
      </c>
      <c r="I23" s="131" t="str">
        <f aca="false">IF('Quick Chadwick'!$B23="","",'Quick Chadwick'!$I23)</f>
        <v/>
      </c>
      <c r="J23" s="133" t="str">
        <f aca="false">IF('Quick Chadwick'!$B23="","",'Quick Chadwick'!$J23)</f>
        <v/>
      </c>
      <c r="K23" s="134" t="str">
        <f aca="false">IF('Quick Chadwick'!$B23="","",'Quick Chadwick'!$K23)</f>
        <v/>
      </c>
      <c r="L23" s="134" t="str">
        <f aca="false">IF('Quick Chadwick'!$B23="","",'Quick Chadwick'!$L23)</f>
        <v/>
      </c>
      <c r="M23" s="132" t="str">
        <f aca="false">IF('Quick Chadwick'!$B23="","",'Quick Chadwick'!$M23)</f>
        <v/>
      </c>
      <c r="N23" s="132" t="str">
        <f aca="false">IF('Quick Chadwick'!$B23="","",'Quick Chadwick'!$N23)</f>
        <v/>
      </c>
      <c r="O23" s="134" t="str">
        <f aca="false">IF('Quick Chadwick'!$B23="","",'Quick Chadwick'!$O23)</f>
        <v/>
      </c>
      <c r="P23" s="132" t="str">
        <f aca="false">IF('Quick Chadwick'!$B23="","",'Quick Chadwick'!$P23)</f>
        <v/>
      </c>
      <c r="Q23" s="131" t="str">
        <f aca="false">IF('Quick Chadwick'!$B23="","","Quick Chadwick")</f>
        <v/>
      </c>
      <c r="R23" s="131" t="n">
        <f aca="true">IF(OR($B23="",$I23="Complete",$L23=""),0,IF($L23&lt;TODAY(),1,0))</f>
        <v>0</v>
      </c>
      <c r="S23" s="131" t="n">
        <f aca="true">IF(OR($B23="",$I23="Complete",$L23=""),0,IF(AND($L23&gt;=TODAY(),$L23&lt;=TODAY()+7),1,0))</f>
        <v>0</v>
      </c>
      <c r="T23" s="131" t="str">
        <f aca="true">IF(OR($B23="",$L23=""),"",$L23-TODAY())</f>
        <v/>
      </c>
      <c r="U23" s="135" t="str">
        <f aca="false">IF($B23="","",IF($I23="Complete",1,IF($J23="",0,$J23)))</f>
        <v/>
      </c>
      <c r="V23" s="131" t="n">
        <f aca="false">IF($B23="",0,IF($N23="",0,1))</f>
        <v>0</v>
      </c>
      <c r="W23" s="131" t="n">
        <f aca="false">IF($B23="",0,1)</f>
        <v>0</v>
      </c>
    </row>
    <row r="24" customFormat="false" ht="15" hidden="false" customHeight="false" outlineLevel="0" collapsed="false">
      <c r="A24" s="131" t="str">
        <f aca="false">IF('Quick Chadwick'!$B24="","",'Quick Chadwick'!$A24)</f>
        <v/>
      </c>
      <c r="B24" s="131" t="str">
        <f aca="false">IF('Quick Chadwick'!$B24="","",'Quick Chadwick'!$B24)</f>
        <v/>
      </c>
      <c r="C24" s="132" t="str">
        <f aca="false">IF('Quick Chadwick'!$B24="","",'Quick Chadwick'!$C24)</f>
        <v/>
      </c>
      <c r="D24" s="132" t="str">
        <f aca="false">IF('Quick Chadwick'!$B24="","",'Quick Chadwick'!$D24)</f>
        <v/>
      </c>
      <c r="E24" s="132" t="str">
        <f aca="false">IF('Quick Chadwick'!$B24="","",'Quick Chadwick'!$E24)</f>
        <v/>
      </c>
      <c r="F24" s="132" t="str">
        <f aca="false">IF('Quick Chadwick'!$B24="","",'Quick Chadwick'!$F24)</f>
        <v/>
      </c>
      <c r="G24" s="132" t="str">
        <f aca="false">IF('Quick Chadwick'!$B24="","",'Quick Chadwick'!$G24)</f>
        <v/>
      </c>
      <c r="H24" s="131" t="str">
        <f aca="false">IF('Quick Chadwick'!$B24="","",'Quick Chadwick'!$H24)</f>
        <v/>
      </c>
      <c r="I24" s="131" t="str">
        <f aca="false">IF('Quick Chadwick'!$B24="","",'Quick Chadwick'!$I24)</f>
        <v/>
      </c>
      <c r="J24" s="133" t="str">
        <f aca="false">IF('Quick Chadwick'!$B24="","",'Quick Chadwick'!$J24)</f>
        <v/>
      </c>
      <c r="K24" s="134" t="str">
        <f aca="false">IF('Quick Chadwick'!$B24="","",'Quick Chadwick'!$K24)</f>
        <v/>
      </c>
      <c r="L24" s="134" t="str">
        <f aca="false">IF('Quick Chadwick'!$B24="","",'Quick Chadwick'!$L24)</f>
        <v/>
      </c>
      <c r="M24" s="132" t="str">
        <f aca="false">IF('Quick Chadwick'!$B24="","",'Quick Chadwick'!$M24)</f>
        <v/>
      </c>
      <c r="N24" s="132" t="str">
        <f aca="false">IF('Quick Chadwick'!$B24="","",'Quick Chadwick'!$N24)</f>
        <v/>
      </c>
      <c r="O24" s="134" t="str">
        <f aca="false">IF('Quick Chadwick'!$B24="","",'Quick Chadwick'!$O24)</f>
        <v/>
      </c>
      <c r="P24" s="132" t="str">
        <f aca="false">IF('Quick Chadwick'!$B24="","",'Quick Chadwick'!$P24)</f>
        <v/>
      </c>
      <c r="Q24" s="131" t="str">
        <f aca="false">IF('Quick Chadwick'!$B24="","","Quick Chadwick")</f>
        <v/>
      </c>
      <c r="R24" s="131" t="n">
        <f aca="true">IF(OR($B24="",$I24="Complete",$L24=""),0,IF($L24&lt;TODAY(),1,0))</f>
        <v>0</v>
      </c>
      <c r="S24" s="131" t="n">
        <f aca="true">IF(OR($B24="",$I24="Complete",$L24=""),0,IF(AND($L24&gt;=TODAY(),$L24&lt;=TODAY()+7),1,0))</f>
        <v>0</v>
      </c>
      <c r="T24" s="131" t="str">
        <f aca="true">IF(OR($B24="",$L24=""),"",$L24-TODAY())</f>
        <v/>
      </c>
      <c r="U24" s="135" t="str">
        <f aca="false">IF($B24="","",IF($I24="Complete",1,IF($J24="",0,$J24)))</f>
        <v/>
      </c>
      <c r="V24" s="131" t="n">
        <f aca="false">IF($B24="",0,IF($N24="",0,1))</f>
        <v>0</v>
      </c>
      <c r="W24" s="131" t="n">
        <f aca="false">IF($B24="",0,1)</f>
        <v>0</v>
      </c>
    </row>
    <row r="25" customFormat="false" ht="15" hidden="false" customHeight="false" outlineLevel="0" collapsed="false">
      <c r="A25" s="131" t="str">
        <f aca="false">IF('Quick Chadwick'!$B25="","",'Quick Chadwick'!$A25)</f>
        <v/>
      </c>
      <c r="B25" s="131" t="str">
        <f aca="false">IF('Quick Chadwick'!$B25="","",'Quick Chadwick'!$B25)</f>
        <v/>
      </c>
      <c r="C25" s="132" t="str">
        <f aca="false">IF('Quick Chadwick'!$B25="","",'Quick Chadwick'!$C25)</f>
        <v/>
      </c>
      <c r="D25" s="132" t="str">
        <f aca="false">IF('Quick Chadwick'!$B25="","",'Quick Chadwick'!$D25)</f>
        <v/>
      </c>
      <c r="E25" s="132" t="str">
        <f aca="false">IF('Quick Chadwick'!$B25="","",'Quick Chadwick'!$E25)</f>
        <v/>
      </c>
      <c r="F25" s="132" t="str">
        <f aca="false">IF('Quick Chadwick'!$B25="","",'Quick Chadwick'!$F25)</f>
        <v/>
      </c>
      <c r="G25" s="132" t="str">
        <f aca="false">IF('Quick Chadwick'!$B25="","",'Quick Chadwick'!$G25)</f>
        <v/>
      </c>
      <c r="H25" s="131" t="str">
        <f aca="false">IF('Quick Chadwick'!$B25="","",'Quick Chadwick'!$H25)</f>
        <v/>
      </c>
      <c r="I25" s="131" t="str">
        <f aca="false">IF('Quick Chadwick'!$B25="","",'Quick Chadwick'!$I25)</f>
        <v/>
      </c>
      <c r="J25" s="133" t="str">
        <f aca="false">IF('Quick Chadwick'!$B25="","",'Quick Chadwick'!$J25)</f>
        <v/>
      </c>
      <c r="K25" s="134" t="str">
        <f aca="false">IF('Quick Chadwick'!$B25="","",'Quick Chadwick'!$K25)</f>
        <v/>
      </c>
      <c r="L25" s="134" t="str">
        <f aca="false">IF('Quick Chadwick'!$B25="","",'Quick Chadwick'!$L25)</f>
        <v/>
      </c>
      <c r="M25" s="132" t="str">
        <f aca="false">IF('Quick Chadwick'!$B25="","",'Quick Chadwick'!$M25)</f>
        <v/>
      </c>
      <c r="N25" s="132" t="str">
        <f aca="false">IF('Quick Chadwick'!$B25="","",'Quick Chadwick'!$N25)</f>
        <v/>
      </c>
      <c r="O25" s="134" t="str">
        <f aca="false">IF('Quick Chadwick'!$B25="","",'Quick Chadwick'!$O25)</f>
        <v/>
      </c>
      <c r="P25" s="132" t="str">
        <f aca="false">IF('Quick Chadwick'!$B25="","",'Quick Chadwick'!$P25)</f>
        <v/>
      </c>
      <c r="Q25" s="131" t="str">
        <f aca="false">IF('Quick Chadwick'!$B25="","","Quick Chadwick")</f>
        <v/>
      </c>
      <c r="R25" s="131" t="n">
        <f aca="true">IF(OR($B25="",$I25="Complete",$L25=""),0,IF($L25&lt;TODAY(),1,0))</f>
        <v>0</v>
      </c>
      <c r="S25" s="131" t="n">
        <f aca="true">IF(OR($B25="",$I25="Complete",$L25=""),0,IF(AND($L25&gt;=TODAY(),$L25&lt;=TODAY()+7),1,0))</f>
        <v>0</v>
      </c>
      <c r="T25" s="131" t="str">
        <f aca="true">IF(OR($B25="",$L25=""),"",$L25-TODAY())</f>
        <v/>
      </c>
      <c r="U25" s="135" t="str">
        <f aca="false">IF($B25="","",IF($I25="Complete",1,IF($J25="",0,$J25)))</f>
        <v/>
      </c>
      <c r="V25" s="131" t="n">
        <f aca="false">IF($B25="",0,IF($N25="",0,1))</f>
        <v>0</v>
      </c>
      <c r="W25" s="131" t="n">
        <f aca="false">IF($B25="",0,1)</f>
        <v>0</v>
      </c>
    </row>
    <row r="26" customFormat="false" ht="15" hidden="false" customHeight="false" outlineLevel="0" collapsed="false">
      <c r="A26" s="131" t="str">
        <f aca="false">IF('Quick Chadwick'!$B26="","",'Quick Chadwick'!$A26)</f>
        <v/>
      </c>
      <c r="B26" s="131" t="str">
        <f aca="false">IF('Quick Chadwick'!$B26="","",'Quick Chadwick'!$B26)</f>
        <v/>
      </c>
      <c r="C26" s="132" t="str">
        <f aca="false">IF('Quick Chadwick'!$B26="","",'Quick Chadwick'!$C26)</f>
        <v/>
      </c>
      <c r="D26" s="132" t="str">
        <f aca="false">IF('Quick Chadwick'!$B26="","",'Quick Chadwick'!$D26)</f>
        <v/>
      </c>
      <c r="E26" s="132" t="str">
        <f aca="false">IF('Quick Chadwick'!$B26="","",'Quick Chadwick'!$E26)</f>
        <v/>
      </c>
      <c r="F26" s="132" t="str">
        <f aca="false">IF('Quick Chadwick'!$B26="","",'Quick Chadwick'!$F26)</f>
        <v/>
      </c>
      <c r="G26" s="132" t="str">
        <f aca="false">IF('Quick Chadwick'!$B26="","",'Quick Chadwick'!$G26)</f>
        <v/>
      </c>
      <c r="H26" s="131" t="str">
        <f aca="false">IF('Quick Chadwick'!$B26="","",'Quick Chadwick'!$H26)</f>
        <v/>
      </c>
      <c r="I26" s="131" t="str">
        <f aca="false">IF('Quick Chadwick'!$B26="","",'Quick Chadwick'!$I26)</f>
        <v/>
      </c>
      <c r="J26" s="133" t="str">
        <f aca="false">IF('Quick Chadwick'!$B26="","",'Quick Chadwick'!$J26)</f>
        <v/>
      </c>
      <c r="K26" s="134" t="str">
        <f aca="false">IF('Quick Chadwick'!$B26="","",'Quick Chadwick'!$K26)</f>
        <v/>
      </c>
      <c r="L26" s="134" t="str">
        <f aca="false">IF('Quick Chadwick'!$B26="","",'Quick Chadwick'!$L26)</f>
        <v/>
      </c>
      <c r="M26" s="132" t="str">
        <f aca="false">IF('Quick Chadwick'!$B26="","",'Quick Chadwick'!$M26)</f>
        <v/>
      </c>
      <c r="N26" s="132" t="str">
        <f aca="false">IF('Quick Chadwick'!$B26="","",'Quick Chadwick'!$N26)</f>
        <v/>
      </c>
      <c r="O26" s="134" t="str">
        <f aca="false">IF('Quick Chadwick'!$B26="","",'Quick Chadwick'!$O26)</f>
        <v/>
      </c>
      <c r="P26" s="132" t="str">
        <f aca="false">IF('Quick Chadwick'!$B26="","",'Quick Chadwick'!$P26)</f>
        <v/>
      </c>
      <c r="Q26" s="131" t="str">
        <f aca="false">IF('Quick Chadwick'!$B26="","","Quick Chadwick")</f>
        <v/>
      </c>
      <c r="R26" s="131" t="n">
        <f aca="true">IF(OR($B26="",$I26="Complete",$L26=""),0,IF($L26&lt;TODAY(),1,0))</f>
        <v>0</v>
      </c>
      <c r="S26" s="131" t="n">
        <f aca="true">IF(OR($B26="",$I26="Complete",$L26=""),0,IF(AND($L26&gt;=TODAY(),$L26&lt;=TODAY()+7),1,0))</f>
        <v>0</v>
      </c>
      <c r="T26" s="131" t="str">
        <f aca="true">IF(OR($B26="",$L26=""),"",$L26-TODAY())</f>
        <v/>
      </c>
      <c r="U26" s="135" t="str">
        <f aca="false">IF($B26="","",IF($I26="Complete",1,IF($J26="",0,$J26)))</f>
        <v/>
      </c>
      <c r="V26" s="131" t="n">
        <f aca="false">IF($B26="",0,IF($N26="",0,1))</f>
        <v>0</v>
      </c>
      <c r="W26" s="131" t="n">
        <f aca="false">IF($B26="",0,1)</f>
        <v>0</v>
      </c>
    </row>
    <row r="27" customFormat="false" ht="15" hidden="false" customHeight="false" outlineLevel="0" collapsed="false">
      <c r="A27" s="131" t="str">
        <f aca="false">IF('Quick Chadwick'!$B27="","",'Quick Chadwick'!$A27)</f>
        <v/>
      </c>
      <c r="B27" s="131" t="str">
        <f aca="false">IF('Quick Chadwick'!$B27="","",'Quick Chadwick'!$B27)</f>
        <v/>
      </c>
      <c r="C27" s="132" t="str">
        <f aca="false">IF('Quick Chadwick'!$B27="","",'Quick Chadwick'!$C27)</f>
        <v/>
      </c>
      <c r="D27" s="132" t="str">
        <f aca="false">IF('Quick Chadwick'!$B27="","",'Quick Chadwick'!$D27)</f>
        <v/>
      </c>
      <c r="E27" s="132" t="str">
        <f aca="false">IF('Quick Chadwick'!$B27="","",'Quick Chadwick'!$E27)</f>
        <v/>
      </c>
      <c r="F27" s="132" t="str">
        <f aca="false">IF('Quick Chadwick'!$B27="","",'Quick Chadwick'!$F27)</f>
        <v/>
      </c>
      <c r="G27" s="132" t="str">
        <f aca="false">IF('Quick Chadwick'!$B27="","",'Quick Chadwick'!$G27)</f>
        <v/>
      </c>
      <c r="H27" s="131" t="str">
        <f aca="false">IF('Quick Chadwick'!$B27="","",'Quick Chadwick'!$H27)</f>
        <v/>
      </c>
      <c r="I27" s="131" t="str">
        <f aca="false">IF('Quick Chadwick'!$B27="","",'Quick Chadwick'!$I27)</f>
        <v/>
      </c>
      <c r="J27" s="133" t="str">
        <f aca="false">IF('Quick Chadwick'!$B27="","",'Quick Chadwick'!$J27)</f>
        <v/>
      </c>
      <c r="K27" s="134" t="str">
        <f aca="false">IF('Quick Chadwick'!$B27="","",'Quick Chadwick'!$K27)</f>
        <v/>
      </c>
      <c r="L27" s="134" t="str">
        <f aca="false">IF('Quick Chadwick'!$B27="","",'Quick Chadwick'!$L27)</f>
        <v/>
      </c>
      <c r="M27" s="132" t="str">
        <f aca="false">IF('Quick Chadwick'!$B27="","",'Quick Chadwick'!$M27)</f>
        <v/>
      </c>
      <c r="N27" s="132" t="str">
        <f aca="false">IF('Quick Chadwick'!$B27="","",'Quick Chadwick'!$N27)</f>
        <v/>
      </c>
      <c r="O27" s="134" t="str">
        <f aca="false">IF('Quick Chadwick'!$B27="","",'Quick Chadwick'!$O27)</f>
        <v/>
      </c>
      <c r="P27" s="132" t="str">
        <f aca="false">IF('Quick Chadwick'!$B27="","",'Quick Chadwick'!$P27)</f>
        <v/>
      </c>
      <c r="Q27" s="131" t="str">
        <f aca="false">IF('Quick Chadwick'!$B27="","","Quick Chadwick")</f>
        <v/>
      </c>
      <c r="R27" s="131" t="n">
        <f aca="true">IF(OR($B27="",$I27="Complete",$L27=""),0,IF($L27&lt;TODAY(),1,0))</f>
        <v>0</v>
      </c>
      <c r="S27" s="131" t="n">
        <f aca="true">IF(OR($B27="",$I27="Complete",$L27=""),0,IF(AND($L27&gt;=TODAY(),$L27&lt;=TODAY()+7),1,0))</f>
        <v>0</v>
      </c>
      <c r="T27" s="131" t="str">
        <f aca="true">IF(OR($B27="",$L27=""),"",$L27-TODAY())</f>
        <v/>
      </c>
      <c r="U27" s="135" t="str">
        <f aca="false">IF($B27="","",IF($I27="Complete",1,IF($J27="",0,$J27)))</f>
        <v/>
      </c>
      <c r="V27" s="131" t="n">
        <f aca="false">IF($B27="",0,IF($N27="",0,1))</f>
        <v>0</v>
      </c>
      <c r="W27" s="131" t="n">
        <f aca="false">IF($B27="",0,1)</f>
        <v>0</v>
      </c>
    </row>
    <row r="28" customFormat="false" ht="15" hidden="false" customHeight="false" outlineLevel="0" collapsed="false">
      <c r="A28" s="131" t="str">
        <f aca="false">IF('Quick Chadwick'!$B28="","",'Quick Chadwick'!$A28)</f>
        <v/>
      </c>
      <c r="B28" s="131" t="str">
        <f aca="false">IF('Quick Chadwick'!$B28="","",'Quick Chadwick'!$B28)</f>
        <v/>
      </c>
      <c r="C28" s="132" t="str">
        <f aca="false">IF('Quick Chadwick'!$B28="","",'Quick Chadwick'!$C28)</f>
        <v/>
      </c>
      <c r="D28" s="132" t="str">
        <f aca="false">IF('Quick Chadwick'!$B28="","",'Quick Chadwick'!$D28)</f>
        <v/>
      </c>
      <c r="E28" s="132" t="str">
        <f aca="false">IF('Quick Chadwick'!$B28="","",'Quick Chadwick'!$E28)</f>
        <v/>
      </c>
      <c r="F28" s="132" t="str">
        <f aca="false">IF('Quick Chadwick'!$B28="","",'Quick Chadwick'!$F28)</f>
        <v/>
      </c>
      <c r="G28" s="132" t="str">
        <f aca="false">IF('Quick Chadwick'!$B28="","",'Quick Chadwick'!$G28)</f>
        <v/>
      </c>
      <c r="H28" s="131" t="str">
        <f aca="false">IF('Quick Chadwick'!$B28="","",'Quick Chadwick'!$H28)</f>
        <v/>
      </c>
      <c r="I28" s="131" t="str">
        <f aca="false">IF('Quick Chadwick'!$B28="","",'Quick Chadwick'!$I28)</f>
        <v/>
      </c>
      <c r="J28" s="133" t="str">
        <f aca="false">IF('Quick Chadwick'!$B28="","",'Quick Chadwick'!$J28)</f>
        <v/>
      </c>
      <c r="K28" s="134" t="str">
        <f aca="false">IF('Quick Chadwick'!$B28="","",'Quick Chadwick'!$K28)</f>
        <v/>
      </c>
      <c r="L28" s="134" t="str">
        <f aca="false">IF('Quick Chadwick'!$B28="","",'Quick Chadwick'!$L28)</f>
        <v/>
      </c>
      <c r="M28" s="132" t="str">
        <f aca="false">IF('Quick Chadwick'!$B28="","",'Quick Chadwick'!$M28)</f>
        <v/>
      </c>
      <c r="N28" s="132" t="str">
        <f aca="false">IF('Quick Chadwick'!$B28="","",'Quick Chadwick'!$N28)</f>
        <v/>
      </c>
      <c r="O28" s="134" t="str">
        <f aca="false">IF('Quick Chadwick'!$B28="","",'Quick Chadwick'!$O28)</f>
        <v/>
      </c>
      <c r="P28" s="132" t="str">
        <f aca="false">IF('Quick Chadwick'!$B28="","",'Quick Chadwick'!$P28)</f>
        <v/>
      </c>
      <c r="Q28" s="131" t="str">
        <f aca="false">IF('Quick Chadwick'!$B28="","","Quick Chadwick")</f>
        <v/>
      </c>
      <c r="R28" s="131" t="n">
        <f aca="true">IF(OR($B28="",$I28="Complete",$L28=""),0,IF($L28&lt;TODAY(),1,0))</f>
        <v>0</v>
      </c>
      <c r="S28" s="131" t="n">
        <f aca="true">IF(OR($B28="",$I28="Complete",$L28=""),0,IF(AND($L28&gt;=TODAY(),$L28&lt;=TODAY()+7),1,0))</f>
        <v>0</v>
      </c>
      <c r="T28" s="131" t="str">
        <f aca="true">IF(OR($B28="",$L28=""),"",$L28-TODAY())</f>
        <v/>
      </c>
      <c r="U28" s="135" t="str">
        <f aca="false">IF($B28="","",IF($I28="Complete",1,IF($J28="",0,$J28)))</f>
        <v/>
      </c>
      <c r="V28" s="131" t="n">
        <f aca="false">IF($B28="",0,IF($N28="",0,1))</f>
        <v>0</v>
      </c>
      <c r="W28" s="131" t="n">
        <f aca="false">IF($B28="",0,1)</f>
        <v>0</v>
      </c>
    </row>
    <row r="29" customFormat="false" ht="15" hidden="false" customHeight="false" outlineLevel="0" collapsed="false">
      <c r="A29" s="131" t="str">
        <f aca="false">IF('Quick Chadwick'!$B29="","",'Quick Chadwick'!$A29)</f>
        <v/>
      </c>
      <c r="B29" s="131" t="str">
        <f aca="false">IF('Quick Chadwick'!$B29="","",'Quick Chadwick'!$B29)</f>
        <v/>
      </c>
      <c r="C29" s="132" t="str">
        <f aca="false">IF('Quick Chadwick'!$B29="","",'Quick Chadwick'!$C29)</f>
        <v/>
      </c>
      <c r="D29" s="132" t="str">
        <f aca="false">IF('Quick Chadwick'!$B29="","",'Quick Chadwick'!$D29)</f>
        <v/>
      </c>
      <c r="E29" s="132" t="str">
        <f aca="false">IF('Quick Chadwick'!$B29="","",'Quick Chadwick'!$E29)</f>
        <v/>
      </c>
      <c r="F29" s="132" t="str">
        <f aca="false">IF('Quick Chadwick'!$B29="","",'Quick Chadwick'!$F29)</f>
        <v/>
      </c>
      <c r="G29" s="132" t="str">
        <f aca="false">IF('Quick Chadwick'!$B29="","",'Quick Chadwick'!$G29)</f>
        <v/>
      </c>
      <c r="H29" s="131" t="str">
        <f aca="false">IF('Quick Chadwick'!$B29="","",'Quick Chadwick'!$H29)</f>
        <v/>
      </c>
      <c r="I29" s="131" t="str">
        <f aca="false">IF('Quick Chadwick'!$B29="","",'Quick Chadwick'!$I29)</f>
        <v/>
      </c>
      <c r="J29" s="133" t="str">
        <f aca="false">IF('Quick Chadwick'!$B29="","",'Quick Chadwick'!$J29)</f>
        <v/>
      </c>
      <c r="K29" s="134" t="str">
        <f aca="false">IF('Quick Chadwick'!$B29="","",'Quick Chadwick'!$K29)</f>
        <v/>
      </c>
      <c r="L29" s="134" t="str">
        <f aca="false">IF('Quick Chadwick'!$B29="","",'Quick Chadwick'!$L29)</f>
        <v/>
      </c>
      <c r="M29" s="132" t="str">
        <f aca="false">IF('Quick Chadwick'!$B29="","",'Quick Chadwick'!$M29)</f>
        <v/>
      </c>
      <c r="N29" s="132" t="str">
        <f aca="false">IF('Quick Chadwick'!$B29="","",'Quick Chadwick'!$N29)</f>
        <v/>
      </c>
      <c r="O29" s="134" t="str">
        <f aca="false">IF('Quick Chadwick'!$B29="","",'Quick Chadwick'!$O29)</f>
        <v/>
      </c>
      <c r="P29" s="132" t="str">
        <f aca="false">IF('Quick Chadwick'!$B29="","",'Quick Chadwick'!$P29)</f>
        <v/>
      </c>
      <c r="Q29" s="131" t="str">
        <f aca="false">IF('Quick Chadwick'!$B29="","","Quick Chadwick")</f>
        <v/>
      </c>
      <c r="R29" s="131" t="n">
        <f aca="true">IF(OR($B29="",$I29="Complete",$L29=""),0,IF($L29&lt;TODAY(),1,0))</f>
        <v>0</v>
      </c>
      <c r="S29" s="131" t="n">
        <f aca="true">IF(OR($B29="",$I29="Complete",$L29=""),0,IF(AND($L29&gt;=TODAY(),$L29&lt;=TODAY()+7),1,0))</f>
        <v>0</v>
      </c>
      <c r="T29" s="131" t="str">
        <f aca="true">IF(OR($B29="",$L29=""),"",$L29-TODAY())</f>
        <v/>
      </c>
      <c r="U29" s="135" t="str">
        <f aca="false">IF($B29="","",IF($I29="Complete",1,IF($J29="",0,$J29)))</f>
        <v/>
      </c>
      <c r="V29" s="131" t="n">
        <f aca="false">IF($B29="",0,IF($N29="",0,1))</f>
        <v>0</v>
      </c>
      <c r="W29" s="131" t="n">
        <f aca="false">IF($B29="",0,1)</f>
        <v>0</v>
      </c>
    </row>
    <row r="30" customFormat="false" ht="15" hidden="false" customHeight="false" outlineLevel="0" collapsed="false">
      <c r="A30" s="131" t="str">
        <f aca="false">IF('Quick Chadwick'!$B30="","",'Quick Chadwick'!$A30)</f>
        <v/>
      </c>
      <c r="B30" s="131" t="str">
        <f aca="false">IF('Quick Chadwick'!$B30="","",'Quick Chadwick'!$B30)</f>
        <v/>
      </c>
      <c r="C30" s="132" t="str">
        <f aca="false">IF('Quick Chadwick'!$B30="","",'Quick Chadwick'!$C30)</f>
        <v/>
      </c>
      <c r="D30" s="132" t="str">
        <f aca="false">IF('Quick Chadwick'!$B30="","",'Quick Chadwick'!$D30)</f>
        <v/>
      </c>
      <c r="E30" s="132" t="str">
        <f aca="false">IF('Quick Chadwick'!$B30="","",'Quick Chadwick'!$E30)</f>
        <v/>
      </c>
      <c r="F30" s="132" t="str">
        <f aca="false">IF('Quick Chadwick'!$B30="","",'Quick Chadwick'!$F30)</f>
        <v/>
      </c>
      <c r="G30" s="132" t="str">
        <f aca="false">IF('Quick Chadwick'!$B30="","",'Quick Chadwick'!$G30)</f>
        <v/>
      </c>
      <c r="H30" s="131" t="str">
        <f aca="false">IF('Quick Chadwick'!$B30="","",'Quick Chadwick'!$H30)</f>
        <v/>
      </c>
      <c r="I30" s="131" t="str">
        <f aca="false">IF('Quick Chadwick'!$B30="","",'Quick Chadwick'!$I30)</f>
        <v/>
      </c>
      <c r="J30" s="133" t="str">
        <f aca="false">IF('Quick Chadwick'!$B30="","",'Quick Chadwick'!$J30)</f>
        <v/>
      </c>
      <c r="K30" s="134" t="str">
        <f aca="false">IF('Quick Chadwick'!$B30="","",'Quick Chadwick'!$K30)</f>
        <v/>
      </c>
      <c r="L30" s="134" t="str">
        <f aca="false">IF('Quick Chadwick'!$B30="","",'Quick Chadwick'!$L30)</f>
        <v/>
      </c>
      <c r="M30" s="132" t="str">
        <f aca="false">IF('Quick Chadwick'!$B30="","",'Quick Chadwick'!$M30)</f>
        <v/>
      </c>
      <c r="N30" s="132" t="str">
        <f aca="false">IF('Quick Chadwick'!$B30="","",'Quick Chadwick'!$N30)</f>
        <v/>
      </c>
      <c r="O30" s="134" t="str">
        <f aca="false">IF('Quick Chadwick'!$B30="","",'Quick Chadwick'!$O30)</f>
        <v/>
      </c>
      <c r="P30" s="132" t="str">
        <f aca="false">IF('Quick Chadwick'!$B30="","",'Quick Chadwick'!$P30)</f>
        <v/>
      </c>
      <c r="Q30" s="131" t="str">
        <f aca="false">IF('Quick Chadwick'!$B30="","","Quick Chadwick")</f>
        <v/>
      </c>
      <c r="R30" s="131" t="n">
        <f aca="true">IF(OR($B30="",$I30="Complete",$L30=""),0,IF($L30&lt;TODAY(),1,0))</f>
        <v>0</v>
      </c>
      <c r="S30" s="131" t="n">
        <f aca="true">IF(OR($B30="",$I30="Complete",$L30=""),0,IF(AND($L30&gt;=TODAY(),$L30&lt;=TODAY()+7),1,0))</f>
        <v>0</v>
      </c>
      <c r="T30" s="131" t="str">
        <f aca="true">IF(OR($B30="",$L30=""),"",$L30-TODAY())</f>
        <v/>
      </c>
      <c r="U30" s="135" t="str">
        <f aca="false">IF($B30="","",IF($I30="Complete",1,IF($J30="",0,$J30)))</f>
        <v/>
      </c>
      <c r="V30" s="131" t="n">
        <f aca="false">IF($B30="",0,IF($N30="",0,1))</f>
        <v>0</v>
      </c>
      <c r="W30" s="131" t="n">
        <f aca="false">IF($B30="",0,1)</f>
        <v>0</v>
      </c>
    </row>
    <row r="31" customFormat="false" ht="15" hidden="false" customHeight="false" outlineLevel="0" collapsed="false">
      <c r="A31" s="131" t="str">
        <f aca="false">IF('Quick Chadwick'!$B31="","",'Quick Chadwick'!$A31)</f>
        <v/>
      </c>
      <c r="B31" s="131" t="str">
        <f aca="false">IF('Quick Chadwick'!$B31="","",'Quick Chadwick'!$B31)</f>
        <v/>
      </c>
      <c r="C31" s="132" t="str">
        <f aca="false">IF('Quick Chadwick'!$B31="","",'Quick Chadwick'!$C31)</f>
        <v/>
      </c>
      <c r="D31" s="132" t="str">
        <f aca="false">IF('Quick Chadwick'!$B31="","",'Quick Chadwick'!$D31)</f>
        <v/>
      </c>
      <c r="E31" s="132" t="str">
        <f aca="false">IF('Quick Chadwick'!$B31="","",'Quick Chadwick'!$E31)</f>
        <v/>
      </c>
      <c r="F31" s="132" t="str">
        <f aca="false">IF('Quick Chadwick'!$B31="","",'Quick Chadwick'!$F31)</f>
        <v/>
      </c>
      <c r="G31" s="132" t="str">
        <f aca="false">IF('Quick Chadwick'!$B31="","",'Quick Chadwick'!$G31)</f>
        <v/>
      </c>
      <c r="H31" s="131" t="str">
        <f aca="false">IF('Quick Chadwick'!$B31="","",'Quick Chadwick'!$H31)</f>
        <v/>
      </c>
      <c r="I31" s="131" t="str">
        <f aca="false">IF('Quick Chadwick'!$B31="","",'Quick Chadwick'!$I31)</f>
        <v/>
      </c>
      <c r="J31" s="133" t="str">
        <f aca="false">IF('Quick Chadwick'!$B31="","",'Quick Chadwick'!$J31)</f>
        <v/>
      </c>
      <c r="K31" s="134" t="str">
        <f aca="false">IF('Quick Chadwick'!$B31="","",'Quick Chadwick'!$K31)</f>
        <v/>
      </c>
      <c r="L31" s="134" t="str">
        <f aca="false">IF('Quick Chadwick'!$B31="","",'Quick Chadwick'!$L31)</f>
        <v/>
      </c>
      <c r="M31" s="132" t="str">
        <f aca="false">IF('Quick Chadwick'!$B31="","",'Quick Chadwick'!$M31)</f>
        <v/>
      </c>
      <c r="N31" s="132" t="str">
        <f aca="false">IF('Quick Chadwick'!$B31="","",'Quick Chadwick'!$N31)</f>
        <v/>
      </c>
      <c r="O31" s="134" t="str">
        <f aca="false">IF('Quick Chadwick'!$B31="","",'Quick Chadwick'!$O31)</f>
        <v/>
      </c>
      <c r="P31" s="132" t="str">
        <f aca="false">IF('Quick Chadwick'!$B31="","",'Quick Chadwick'!$P31)</f>
        <v/>
      </c>
      <c r="Q31" s="131" t="str">
        <f aca="false">IF('Quick Chadwick'!$B31="","","Quick Chadwick")</f>
        <v/>
      </c>
      <c r="R31" s="131" t="n">
        <f aca="true">IF(OR($B31="",$I31="Complete",$L31=""),0,IF($L31&lt;TODAY(),1,0))</f>
        <v>0</v>
      </c>
      <c r="S31" s="131" t="n">
        <f aca="true">IF(OR($B31="",$I31="Complete",$L31=""),0,IF(AND($L31&gt;=TODAY(),$L31&lt;=TODAY()+7),1,0))</f>
        <v>0</v>
      </c>
      <c r="T31" s="131" t="str">
        <f aca="true">IF(OR($B31="",$L31=""),"",$L31-TODAY())</f>
        <v/>
      </c>
      <c r="U31" s="135" t="str">
        <f aca="false">IF($B31="","",IF($I31="Complete",1,IF($J31="",0,$J31)))</f>
        <v/>
      </c>
      <c r="V31" s="131" t="n">
        <f aca="false">IF($B31="",0,IF($N31="",0,1))</f>
        <v>0</v>
      </c>
      <c r="W31" s="131" t="n">
        <f aca="false">IF($B31="",0,1)</f>
        <v>0</v>
      </c>
    </row>
    <row r="32" customFormat="false" ht="15" hidden="false" customHeight="false" outlineLevel="0" collapsed="false">
      <c r="A32" s="131" t="str">
        <f aca="false">IF('Quick Chadwick'!$B32="","",'Quick Chadwick'!$A32)</f>
        <v/>
      </c>
      <c r="B32" s="131" t="str">
        <f aca="false">IF('Quick Chadwick'!$B32="","",'Quick Chadwick'!$B32)</f>
        <v/>
      </c>
      <c r="C32" s="132" t="str">
        <f aca="false">IF('Quick Chadwick'!$B32="","",'Quick Chadwick'!$C32)</f>
        <v/>
      </c>
      <c r="D32" s="132" t="str">
        <f aca="false">IF('Quick Chadwick'!$B32="","",'Quick Chadwick'!$D32)</f>
        <v/>
      </c>
      <c r="E32" s="132" t="str">
        <f aca="false">IF('Quick Chadwick'!$B32="","",'Quick Chadwick'!$E32)</f>
        <v/>
      </c>
      <c r="F32" s="132" t="str">
        <f aca="false">IF('Quick Chadwick'!$B32="","",'Quick Chadwick'!$F32)</f>
        <v/>
      </c>
      <c r="G32" s="132" t="str">
        <f aca="false">IF('Quick Chadwick'!$B32="","",'Quick Chadwick'!$G32)</f>
        <v/>
      </c>
      <c r="H32" s="131" t="str">
        <f aca="false">IF('Quick Chadwick'!$B32="","",'Quick Chadwick'!$H32)</f>
        <v/>
      </c>
      <c r="I32" s="131" t="str">
        <f aca="false">IF('Quick Chadwick'!$B32="","",'Quick Chadwick'!$I32)</f>
        <v/>
      </c>
      <c r="J32" s="133" t="str">
        <f aca="false">IF('Quick Chadwick'!$B32="","",'Quick Chadwick'!$J32)</f>
        <v/>
      </c>
      <c r="K32" s="134" t="str">
        <f aca="false">IF('Quick Chadwick'!$B32="","",'Quick Chadwick'!$K32)</f>
        <v/>
      </c>
      <c r="L32" s="134" t="str">
        <f aca="false">IF('Quick Chadwick'!$B32="","",'Quick Chadwick'!$L32)</f>
        <v/>
      </c>
      <c r="M32" s="132" t="str">
        <f aca="false">IF('Quick Chadwick'!$B32="","",'Quick Chadwick'!$M32)</f>
        <v/>
      </c>
      <c r="N32" s="132" t="str">
        <f aca="false">IF('Quick Chadwick'!$B32="","",'Quick Chadwick'!$N32)</f>
        <v/>
      </c>
      <c r="O32" s="134" t="str">
        <f aca="false">IF('Quick Chadwick'!$B32="","",'Quick Chadwick'!$O32)</f>
        <v/>
      </c>
      <c r="P32" s="132" t="str">
        <f aca="false">IF('Quick Chadwick'!$B32="","",'Quick Chadwick'!$P32)</f>
        <v/>
      </c>
      <c r="Q32" s="131" t="str">
        <f aca="false">IF('Quick Chadwick'!$B32="","","Quick Chadwick")</f>
        <v/>
      </c>
      <c r="R32" s="131" t="n">
        <f aca="true">IF(OR($B32="",$I32="Complete",$L32=""),0,IF($L32&lt;TODAY(),1,0))</f>
        <v>0</v>
      </c>
      <c r="S32" s="131" t="n">
        <f aca="true">IF(OR($B32="",$I32="Complete",$L32=""),0,IF(AND($L32&gt;=TODAY(),$L32&lt;=TODAY()+7),1,0))</f>
        <v>0</v>
      </c>
      <c r="T32" s="131" t="str">
        <f aca="true">IF(OR($B32="",$L32=""),"",$L32-TODAY())</f>
        <v/>
      </c>
      <c r="U32" s="135" t="str">
        <f aca="false">IF($B32="","",IF($I32="Complete",1,IF($J32="",0,$J32)))</f>
        <v/>
      </c>
      <c r="V32" s="131" t="n">
        <f aca="false">IF($B32="",0,IF($N32="",0,1))</f>
        <v>0</v>
      </c>
      <c r="W32" s="131" t="n">
        <f aca="false">IF($B32="",0,1)</f>
        <v>0</v>
      </c>
    </row>
    <row r="33" customFormat="false" ht="15" hidden="false" customHeight="false" outlineLevel="0" collapsed="false">
      <c r="A33" s="131" t="str">
        <f aca="false">IF('Quick Chadwick'!$B33="","",'Quick Chadwick'!$A33)</f>
        <v/>
      </c>
      <c r="B33" s="131" t="str">
        <f aca="false">IF('Quick Chadwick'!$B33="","",'Quick Chadwick'!$B33)</f>
        <v/>
      </c>
      <c r="C33" s="132" t="str">
        <f aca="false">IF('Quick Chadwick'!$B33="","",'Quick Chadwick'!$C33)</f>
        <v/>
      </c>
      <c r="D33" s="132" t="str">
        <f aca="false">IF('Quick Chadwick'!$B33="","",'Quick Chadwick'!$D33)</f>
        <v/>
      </c>
      <c r="E33" s="132" t="str">
        <f aca="false">IF('Quick Chadwick'!$B33="","",'Quick Chadwick'!$E33)</f>
        <v/>
      </c>
      <c r="F33" s="132" t="str">
        <f aca="false">IF('Quick Chadwick'!$B33="","",'Quick Chadwick'!$F33)</f>
        <v/>
      </c>
      <c r="G33" s="132" t="str">
        <f aca="false">IF('Quick Chadwick'!$B33="","",'Quick Chadwick'!$G33)</f>
        <v/>
      </c>
      <c r="H33" s="131" t="str">
        <f aca="false">IF('Quick Chadwick'!$B33="","",'Quick Chadwick'!$H33)</f>
        <v/>
      </c>
      <c r="I33" s="131" t="str">
        <f aca="false">IF('Quick Chadwick'!$B33="","",'Quick Chadwick'!$I33)</f>
        <v/>
      </c>
      <c r="J33" s="133" t="str">
        <f aca="false">IF('Quick Chadwick'!$B33="","",'Quick Chadwick'!$J33)</f>
        <v/>
      </c>
      <c r="K33" s="134" t="str">
        <f aca="false">IF('Quick Chadwick'!$B33="","",'Quick Chadwick'!$K33)</f>
        <v/>
      </c>
      <c r="L33" s="134" t="str">
        <f aca="false">IF('Quick Chadwick'!$B33="","",'Quick Chadwick'!$L33)</f>
        <v/>
      </c>
      <c r="M33" s="132" t="str">
        <f aca="false">IF('Quick Chadwick'!$B33="","",'Quick Chadwick'!$M33)</f>
        <v/>
      </c>
      <c r="N33" s="132" t="str">
        <f aca="false">IF('Quick Chadwick'!$B33="","",'Quick Chadwick'!$N33)</f>
        <v/>
      </c>
      <c r="O33" s="134" t="str">
        <f aca="false">IF('Quick Chadwick'!$B33="","",'Quick Chadwick'!$O33)</f>
        <v/>
      </c>
      <c r="P33" s="132" t="str">
        <f aca="false">IF('Quick Chadwick'!$B33="","",'Quick Chadwick'!$P33)</f>
        <v/>
      </c>
      <c r="Q33" s="131" t="str">
        <f aca="false">IF('Quick Chadwick'!$B33="","","Quick Chadwick")</f>
        <v/>
      </c>
      <c r="R33" s="131" t="n">
        <f aca="true">IF(OR($B33="",$I33="Complete",$L33=""),0,IF($L33&lt;TODAY(),1,0))</f>
        <v>0</v>
      </c>
      <c r="S33" s="131" t="n">
        <f aca="true">IF(OR($B33="",$I33="Complete",$L33=""),0,IF(AND($L33&gt;=TODAY(),$L33&lt;=TODAY()+7),1,0))</f>
        <v>0</v>
      </c>
      <c r="T33" s="131" t="str">
        <f aca="true">IF(OR($B33="",$L33=""),"",$L33-TODAY())</f>
        <v/>
      </c>
      <c r="U33" s="135" t="str">
        <f aca="false">IF($B33="","",IF($I33="Complete",1,IF($J33="",0,$J33)))</f>
        <v/>
      </c>
      <c r="V33" s="131" t="n">
        <f aca="false">IF($B33="",0,IF($N33="",0,1))</f>
        <v>0</v>
      </c>
      <c r="W33" s="131" t="n">
        <f aca="false">IF($B33="",0,1)</f>
        <v>0</v>
      </c>
    </row>
    <row r="34" customFormat="false" ht="15" hidden="false" customHeight="false" outlineLevel="0" collapsed="false">
      <c r="A34" s="131" t="str">
        <f aca="false">IF('Quick Chadwick'!$B34="","",'Quick Chadwick'!$A34)</f>
        <v/>
      </c>
      <c r="B34" s="131" t="str">
        <f aca="false">IF('Quick Chadwick'!$B34="","",'Quick Chadwick'!$B34)</f>
        <v/>
      </c>
      <c r="C34" s="132" t="str">
        <f aca="false">IF('Quick Chadwick'!$B34="","",'Quick Chadwick'!$C34)</f>
        <v/>
      </c>
      <c r="D34" s="132" t="str">
        <f aca="false">IF('Quick Chadwick'!$B34="","",'Quick Chadwick'!$D34)</f>
        <v/>
      </c>
      <c r="E34" s="132" t="str">
        <f aca="false">IF('Quick Chadwick'!$B34="","",'Quick Chadwick'!$E34)</f>
        <v/>
      </c>
      <c r="F34" s="132" t="str">
        <f aca="false">IF('Quick Chadwick'!$B34="","",'Quick Chadwick'!$F34)</f>
        <v/>
      </c>
      <c r="G34" s="132" t="str">
        <f aca="false">IF('Quick Chadwick'!$B34="","",'Quick Chadwick'!$G34)</f>
        <v/>
      </c>
      <c r="H34" s="131" t="str">
        <f aca="false">IF('Quick Chadwick'!$B34="","",'Quick Chadwick'!$H34)</f>
        <v/>
      </c>
      <c r="I34" s="131" t="str">
        <f aca="false">IF('Quick Chadwick'!$B34="","",'Quick Chadwick'!$I34)</f>
        <v/>
      </c>
      <c r="J34" s="133" t="str">
        <f aca="false">IF('Quick Chadwick'!$B34="","",'Quick Chadwick'!$J34)</f>
        <v/>
      </c>
      <c r="K34" s="134" t="str">
        <f aca="false">IF('Quick Chadwick'!$B34="","",'Quick Chadwick'!$K34)</f>
        <v/>
      </c>
      <c r="L34" s="134" t="str">
        <f aca="false">IF('Quick Chadwick'!$B34="","",'Quick Chadwick'!$L34)</f>
        <v/>
      </c>
      <c r="M34" s="132" t="str">
        <f aca="false">IF('Quick Chadwick'!$B34="","",'Quick Chadwick'!$M34)</f>
        <v/>
      </c>
      <c r="N34" s="132" t="str">
        <f aca="false">IF('Quick Chadwick'!$B34="","",'Quick Chadwick'!$N34)</f>
        <v/>
      </c>
      <c r="O34" s="134" t="str">
        <f aca="false">IF('Quick Chadwick'!$B34="","",'Quick Chadwick'!$O34)</f>
        <v/>
      </c>
      <c r="P34" s="132" t="str">
        <f aca="false">IF('Quick Chadwick'!$B34="","",'Quick Chadwick'!$P34)</f>
        <v/>
      </c>
      <c r="Q34" s="131" t="str">
        <f aca="false">IF('Quick Chadwick'!$B34="","","Quick Chadwick")</f>
        <v/>
      </c>
      <c r="R34" s="131" t="n">
        <f aca="true">IF(OR($B34="",$I34="Complete",$L34=""),0,IF($L34&lt;TODAY(),1,0))</f>
        <v>0</v>
      </c>
      <c r="S34" s="131" t="n">
        <f aca="true">IF(OR($B34="",$I34="Complete",$L34=""),0,IF(AND($L34&gt;=TODAY(),$L34&lt;=TODAY()+7),1,0))</f>
        <v>0</v>
      </c>
      <c r="T34" s="131" t="str">
        <f aca="true">IF(OR($B34="",$L34=""),"",$L34-TODAY())</f>
        <v/>
      </c>
      <c r="U34" s="135" t="str">
        <f aca="false">IF($B34="","",IF($I34="Complete",1,IF($J34="",0,$J34)))</f>
        <v/>
      </c>
      <c r="V34" s="131" t="n">
        <f aca="false">IF($B34="",0,IF($N34="",0,1))</f>
        <v>0</v>
      </c>
      <c r="W34" s="131" t="n">
        <f aca="false">IF($B34="",0,1)</f>
        <v>0</v>
      </c>
    </row>
    <row r="35" customFormat="false" ht="15" hidden="false" customHeight="false" outlineLevel="0" collapsed="false">
      <c r="A35" s="131" t="str">
        <f aca="false">IF('Quick Chadwick'!$B35="","",'Quick Chadwick'!$A35)</f>
        <v/>
      </c>
      <c r="B35" s="131" t="str">
        <f aca="false">IF('Quick Chadwick'!$B35="","",'Quick Chadwick'!$B35)</f>
        <v/>
      </c>
      <c r="C35" s="132" t="str">
        <f aca="false">IF('Quick Chadwick'!$B35="","",'Quick Chadwick'!$C35)</f>
        <v/>
      </c>
      <c r="D35" s="132" t="str">
        <f aca="false">IF('Quick Chadwick'!$B35="","",'Quick Chadwick'!$D35)</f>
        <v/>
      </c>
      <c r="E35" s="132" t="str">
        <f aca="false">IF('Quick Chadwick'!$B35="","",'Quick Chadwick'!$E35)</f>
        <v/>
      </c>
      <c r="F35" s="132" t="str">
        <f aca="false">IF('Quick Chadwick'!$B35="","",'Quick Chadwick'!$F35)</f>
        <v/>
      </c>
      <c r="G35" s="132" t="str">
        <f aca="false">IF('Quick Chadwick'!$B35="","",'Quick Chadwick'!$G35)</f>
        <v/>
      </c>
      <c r="H35" s="131" t="str">
        <f aca="false">IF('Quick Chadwick'!$B35="","",'Quick Chadwick'!$H35)</f>
        <v/>
      </c>
      <c r="I35" s="131" t="str">
        <f aca="false">IF('Quick Chadwick'!$B35="","",'Quick Chadwick'!$I35)</f>
        <v/>
      </c>
      <c r="J35" s="133" t="str">
        <f aca="false">IF('Quick Chadwick'!$B35="","",'Quick Chadwick'!$J35)</f>
        <v/>
      </c>
      <c r="K35" s="134" t="str">
        <f aca="false">IF('Quick Chadwick'!$B35="","",'Quick Chadwick'!$K35)</f>
        <v/>
      </c>
      <c r="L35" s="134" t="str">
        <f aca="false">IF('Quick Chadwick'!$B35="","",'Quick Chadwick'!$L35)</f>
        <v/>
      </c>
      <c r="M35" s="132" t="str">
        <f aca="false">IF('Quick Chadwick'!$B35="","",'Quick Chadwick'!$M35)</f>
        <v/>
      </c>
      <c r="N35" s="132" t="str">
        <f aca="false">IF('Quick Chadwick'!$B35="","",'Quick Chadwick'!$N35)</f>
        <v/>
      </c>
      <c r="O35" s="134" t="str">
        <f aca="false">IF('Quick Chadwick'!$B35="","",'Quick Chadwick'!$O35)</f>
        <v/>
      </c>
      <c r="P35" s="132" t="str">
        <f aca="false">IF('Quick Chadwick'!$B35="","",'Quick Chadwick'!$P35)</f>
        <v/>
      </c>
      <c r="Q35" s="131" t="str">
        <f aca="false">IF('Quick Chadwick'!$B35="","","Quick Chadwick")</f>
        <v/>
      </c>
      <c r="R35" s="131" t="n">
        <f aca="true">IF(OR($B35="",$I35="Complete",$L35=""),0,IF($L35&lt;TODAY(),1,0))</f>
        <v>0</v>
      </c>
      <c r="S35" s="131" t="n">
        <f aca="true">IF(OR($B35="",$I35="Complete",$L35=""),0,IF(AND($L35&gt;=TODAY(),$L35&lt;=TODAY()+7),1,0))</f>
        <v>0</v>
      </c>
      <c r="T35" s="131" t="str">
        <f aca="true">IF(OR($B35="",$L35=""),"",$L35-TODAY())</f>
        <v/>
      </c>
      <c r="U35" s="135" t="str">
        <f aca="false">IF($B35="","",IF($I35="Complete",1,IF($J35="",0,$J35)))</f>
        <v/>
      </c>
      <c r="V35" s="131" t="n">
        <f aca="false">IF($B35="",0,IF($N35="",0,1))</f>
        <v>0</v>
      </c>
      <c r="W35" s="131" t="n">
        <f aca="false">IF($B35="",0,1)</f>
        <v>0</v>
      </c>
    </row>
    <row r="36" customFormat="false" ht="15" hidden="false" customHeight="false" outlineLevel="0" collapsed="false">
      <c r="A36" s="131" t="str">
        <f aca="false">IF('Quick Chadwick'!$B36="","",'Quick Chadwick'!$A36)</f>
        <v/>
      </c>
      <c r="B36" s="131" t="str">
        <f aca="false">IF('Quick Chadwick'!$B36="","",'Quick Chadwick'!$B36)</f>
        <v/>
      </c>
      <c r="C36" s="132" t="str">
        <f aca="false">IF('Quick Chadwick'!$B36="","",'Quick Chadwick'!$C36)</f>
        <v/>
      </c>
      <c r="D36" s="132" t="str">
        <f aca="false">IF('Quick Chadwick'!$B36="","",'Quick Chadwick'!$D36)</f>
        <v/>
      </c>
      <c r="E36" s="132" t="str">
        <f aca="false">IF('Quick Chadwick'!$B36="","",'Quick Chadwick'!$E36)</f>
        <v/>
      </c>
      <c r="F36" s="132" t="str">
        <f aca="false">IF('Quick Chadwick'!$B36="","",'Quick Chadwick'!$F36)</f>
        <v/>
      </c>
      <c r="G36" s="132" t="str">
        <f aca="false">IF('Quick Chadwick'!$B36="","",'Quick Chadwick'!$G36)</f>
        <v/>
      </c>
      <c r="H36" s="131" t="str">
        <f aca="false">IF('Quick Chadwick'!$B36="","",'Quick Chadwick'!$H36)</f>
        <v/>
      </c>
      <c r="I36" s="131" t="str">
        <f aca="false">IF('Quick Chadwick'!$B36="","",'Quick Chadwick'!$I36)</f>
        <v/>
      </c>
      <c r="J36" s="133" t="str">
        <f aca="false">IF('Quick Chadwick'!$B36="","",'Quick Chadwick'!$J36)</f>
        <v/>
      </c>
      <c r="K36" s="134" t="str">
        <f aca="false">IF('Quick Chadwick'!$B36="","",'Quick Chadwick'!$K36)</f>
        <v/>
      </c>
      <c r="L36" s="134" t="str">
        <f aca="false">IF('Quick Chadwick'!$B36="","",'Quick Chadwick'!$L36)</f>
        <v/>
      </c>
      <c r="M36" s="132" t="str">
        <f aca="false">IF('Quick Chadwick'!$B36="","",'Quick Chadwick'!$M36)</f>
        <v/>
      </c>
      <c r="N36" s="132" t="str">
        <f aca="false">IF('Quick Chadwick'!$B36="","",'Quick Chadwick'!$N36)</f>
        <v/>
      </c>
      <c r="O36" s="134" t="str">
        <f aca="false">IF('Quick Chadwick'!$B36="","",'Quick Chadwick'!$O36)</f>
        <v/>
      </c>
      <c r="P36" s="132" t="str">
        <f aca="false">IF('Quick Chadwick'!$B36="","",'Quick Chadwick'!$P36)</f>
        <v/>
      </c>
      <c r="Q36" s="131" t="str">
        <f aca="false">IF('Quick Chadwick'!$B36="","","Quick Chadwick")</f>
        <v/>
      </c>
      <c r="R36" s="131" t="n">
        <f aca="true">IF(OR($B36="",$I36="Complete",$L36=""),0,IF($L36&lt;TODAY(),1,0))</f>
        <v>0</v>
      </c>
      <c r="S36" s="131" t="n">
        <f aca="true">IF(OR($B36="",$I36="Complete",$L36=""),0,IF(AND($L36&gt;=TODAY(),$L36&lt;=TODAY()+7),1,0))</f>
        <v>0</v>
      </c>
      <c r="T36" s="131" t="str">
        <f aca="true">IF(OR($B36="",$L36=""),"",$L36-TODAY())</f>
        <v/>
      </c>
      <c r="U36" s="135" t="str">
        <f aca="false">IF($B36="","",IF($I36="Complete",1,IF($J36="",0,$J36)))</f>
        <v/>
      </c>
      <c r="V36" s="131" t="n">
        <f aca="false">IF($B36="",0,IF($N36="",0,1))</f>
        <v>0</v>
      </c>
      <c r="W36" s="131" t="n">
        <f aca="false">IF($B36="",0,1)</f>
        <v>0</v>
      </c>
    </row>
    <row r="37" customFormat="false" ht="15" hidden="false" customHeight="false" outlineLevel="0" collapsed="false">
      <c r="A37" s="131" t="str">
        <f aca="false">IF('Quick Chadwick'!$B37="","",'Quick Chadwick'!$A37)</f>
        <v/>
      </c>
      <c r="B37" s="131" t="str">
        <f aca="false">IF('Quick Chadwick'!$B37="","",'Quick Chadwick'!$B37)</f>
        <v/>
      </c>
      <c r="C37" s="132" t="str">
        <f aca="false">IF('Quick Chadwick'!$B37="","",'Quick Chadwick'!$C37)</f>
        <v/>
      </c>
      <c r="D37" s="132" t="str">
        <f aca="false">IF('Quick Chadwick'!$B37="","",'Quick Chadwick'!$D37)</f>
        <v/>
      </c>
      <c r="E37" s="132" t="str">
        <f aca="false">IF('Quick Chadwick'!$B37="","",'Quick Chadwick'!$E37)</f>
        <v/>
      </c>
      <c r="F37" s="132" t="str">
        <f aca="false">IF('Quick Chadwick'!$B37="","",'Quick Chadwick'!$F37)</f>
        <v/>
      </c>
      <c r="G37" s="132" t="str">
        <f aca="false">IF('Quick Chadwick'!$B37="","",'Quick Chadwick'!$G37)</f>
        <v/>
      </c>
      <c r="H37" s="131" t="str">
        <f aca="false">IF('Quick Chadwick'!$B37="","",'Quick Chadwick'!$H37)</f>
        <v/>
      </c>
      <c r="I37" s="131" t="str">
        <f aca="false">IF('Quick Chadwick'!$B37="","",'Quick Chadwick'!$I37)</f>
        <v/>
      </c>
      <c r="J37" s="133" t="str">
        <f aca="false">IF('Quick Chadwick'!$B37="","",'Quick Chadwick'!$J37)</f>
        <v/>
      </c>
      <c r="K37" s="134" t="str">
        <f aca="false">IF('Quick Chadwick'!$B37="","",'Quick Chadwick'!$K37)</f>
        <v/>
      </c>
      <c r="L37" s="134" t="str">
        <f aca="false">IF('Quick Chadwick'!$B37="","",'Quick Chadwick'!$L37)</f>
        <v/>
      </c>
      <c r="M37" s="132" t="str">
        <f aca="false">IF('Quick Chadwick'!$B37="","",'Quick Chadwick'!$M37)</f>
        <v/>
      </c>
      <c r="N37" s="132" t="str">
        <f aca="false">IF('Quick Chadwick'!$B37="","",'Quick Chadwick'!$N37)</f>
        <v/>
      </c>
      <c r="O37" s="134" t="str">
        <f aca="false">IF('Quick Chadwick'!$B37="","",'Quick Chadwick'!$O37)</f>
        <v/>
      </c>
      <c r="P37" s="132" t="str">
        <f aca="false">IF('Quick Chadwick'!$B37="","",'Quick Chadwick'!$P37)</f>
        <v/>
      </c>
      <c r="Q37" s="131" t="str">
        <f aca="false">IF('Quick Chadwick'!$B37="","","Quick Chadwick")</f>
        <v/>
      </c>
      <c r="R37" s="131" t="n">
        <f aca="true">IF(OR($B37="",$I37="Complete",$L37=""),0,IF($L37&lt;TODAY(),1,0))</f>
        <v>0</v>
      </c>
      <c r="S37" s="131" t="n">
        <f aca="true">IF(OR($B37="",$I37="Complete",$L37=""),0,IF(AND($L37&gt;=TODAY(),$L37&lt;=TODAY()+7),1,0))</f>
        <v>0</v>
      </c>
      <c r="T37" s="131" t="str">
        <f aca="true">IF(OR($B37="",$L37=""),"",$L37-TODAY())</f>
        <v/>
      </c>
      <c r="U37" s="135" t="str">
        <f aca="false">IF($B37="","",IF($I37="Complete",1,IF($J37="",0,$J37)))</f>
        <v/>
      </c>
      <c r="V37" s="131" t="n">
        <f aca="false">IF($B37="",0,IF($N37="",0,1))</f>
        <v>0</v>
      </c>
      <c r="W37" s="131" t="n">
        <f aca="false">IF($B37="",0,1)</f>
        <v>0</v>
      </c>
    </row>
    <row r="38" customFormat="false" ht="15" hidden="false" customHeight="false" outlineLevel="0" collapsed="false">
      <c r="A38" s="131" t="str">
        <f aca="false">IF('Quick Chadwick'!$B38="","",'Quick Chadwick'!$A38)</f>
        <v/>
      </c>
      <c r="B38" s="131" t="str">
        <f aca="false">IF('Quick Chadwick'!$B38="","",'Quick Chadwick'!$B38)</f>
        <v/>
      </c>
      <c r="C38" s="132" t="str">
        <f aca="false">IF('Quick Chadwick'!$B38="","",'Quick Chadwick'!$C38)</f>
        <v/>
      </c>
      <c r="D38" s="132" t="str">
        <f aca="false">IF('Quick Chadwick'!$B38="","",'Quick Chadwick'!$D38)</f>
        <v/>
      </c>
      <c r="E38" s="132" t="str">
        <f aca="false">IF('Quick Chadwick'!$B38="","",'Quick Chadwick'!$E38)</f>
        <v/>
      </c>
      <c r="F38" s="132" t="str">
        <f aca="false">IF('Quick Chadwick'!$B38="","",'Quick Chadwick'!$F38)</f>
        <v/>
      </c>
      <c r="G38" s="132" t="str">
        <f aca="false">IF('Quick Chadwick'!$B38="","",'Quick Chadwick'!$G38)</f>
        <v/>
      </c>
      <c r="H38" s="131" t="str">
        <f aca="false">IF('Quick Chadwick'!$B38="","",'Quick Chadwick'!$H38)</f>
        <v/>
      </c>
      <c r="I38" s="131" t="str">
        <f aca="false">IF('Quick Chadwick'!$B38="","",'Quick Chadwick'!$I38)</f>
        <v/>
      </c>
      <c r="J38" s="133" t="str">
        <f aca="false">IF('Quick Chadwick'!$B38="","",'Quick Chadwick'!$J38)</f>
        <v/>
      </c>
      <c r="K38" s="134" t="str">
        <f aca="false">IF('Quick Chadwick'!$B38="","",'Quick Chadwick'!$K38)</f>
        <v/>
      </c>
      <c r="L38" s="134" t="str">
        <f aca="false">IF('Quick Chadwick'!$B38="","",'Quick Chadwick'!$L38)</f>
        <v/>
      </c>
      <c r="M38" s="132" t="str">
        <f aca="false">IF('Quick Chadwick'!$B38="","",'Quick Chadwick'!$M38)</f>
        <v/>
      </c>
      <c r="N38" s="132" t="str">
        <f aca="false">IF('Quick Chadwick'!$B38="","",'Quick Chadwick'!$N38)</f>
        <v/>
      </c>
      <c r="O38" s="134" t="str">
        <f aca="false">IF('Quick Chadwick'!$B38="","",'Quick Chadwick'!$O38)</f>
        <v/>
      </c>
      <c r="P38" s="132" t="str">
        <f aca="false">IF('Quick Chadwick'!$B38="","",'Quick Chadwick'!$P38)</f>
        <v/>
      </c>
      <c r="Q38" s="131" t="str">
        <f aca="false">IF('Quick Chadwick'!$B38="","","Quick Chadwick")</f>
        <v/>
      </c>
      <c r="R38" s="131" t="n">
        <f aca="true">IF(OR($B38="",$I38="Complete",$L38=""),0,IF($L38&lt;TODAY(),1,0))</f>
        <v>0</v>
      </c>
      <c r="S38" s="131" t="n">
        <f aca="true">IF(OR($B38="",$I38="Complete",$L38=""),0,IF(AND($L38&gt;=TODAY(),$L38&lt;=TODAY()+7),1,0))</f>
        <v>0</v>
      </c>
      <c r="T38" s="131" t="str">
        <f aca="true">IF(OR($B38="",$L38=""),"",$L38-TODAY())</f>
        <v/>
      </c>
      <c r="U38" s="135" t="str">
        <f aca="false">IF($B38="","",IF($I38="Complete",1,IF($J38="",0,$J38)))</f>
        <v/>
      </c>
      <c r="V38" s="131" t="n">
        <f aca="false">IF($B38="",0,IF($N38="",0,1))</f>
        <v>0</v>
      </c>
      <c r="W38" s="131" t="n">
        <f aca="false">IF($B38="",0,1)</f>
        <v>0</v>
      </c>
    </row>
    <row r="39" customFormat="false" ht="15" hidden="false" customHeight="false" outlineLevel="0" collapsed="false">
      <c r="A39" s="131" t="str">
        <f aca="false">IF('Quick Chadwick'!$B39="","",'Quick Chadwick'!$A39)</f>
        <v/>
      </c>
      <c r="B39" s="131" t="str">
        <f aca="false">IF('Quick Chadwick'!$B39="","",'Quick Chadwick'!$B39)</f>
        <v/>
      </c>
      <c r="C39" s="132" t="str">
        <f aca="false">IF('Quick Chadwick'!$B39="","",'Quick Chadwick'!$C39)</f>
        <v/>
      </c>
      <c r="D39" s="132" t="str">
        <f aca="false">IF('Quick Chadwick'!$B39="","",'Quick Chadwick'!$D39)</f>
        <v/>
      </c>
      <c r="E39" s="132" t="str">
        <f aca="false">IF('Quick Chadwick'!$B39="","",'Quick Chadwick'!$E39)</f>
        <v/>
      </c>
      <c r="F39" s="132" t="str">
        <f aca="false">IF('Quick Chadwick'!$B39="","",'Quick Chadwick'!$F39)</f>
        <v/>
      </c>
      <c r="G39" s="132" t="str">
        <f aca="false">IF('Quick Chadwick'!$B39="","",'Quick Chadwick'!$G39)</f>
        <v/>
      </c>
      <c r="H39" s="131" t="str">
        <f aca="false">IF('Quick Chadwick'!$B39="","",'Quick Chadwick'!$H39)</f>
        <v/>
      </c>
      <c r="I39" s="131" t="str">
        <f aca="false">IF('Quick Chadwick'!$B39="","",'Quick Chadwick'!$I39)</f>
        <v/>
      </c>
      <c r="J39" s="133" t="str">
        <f aca="false">IF('Quick Chadwick'!$B39="","",'Quick Chadwick'!$J39)</f>
        <v/>
      </c>
      <c r="K39" s="134" t="str">
        <f aca="false">IF('Quick Chadwick'!$B39="","",'Quick Chadwick'!$K39)</f>
        <v/>
      </c>
      <c r="L39" s="134" t="str">
        <f aca="false">IF('Quick Chadwick'!$B39="","",'Quick Chadwick'!$L39)</f>
        <v/>
      </c>
      <c r="M39" s="132" t="str">
        <f aca="false">IF('Quick Chadwick'!$B39="","",'Quick Chadwick'!$M39)</f>
        <v/>
      </c>
      <c r="N39" s="132" t="str">
        <f aca="false">IF('Quick Chadwick'!$B39="","",'Quick Chadwick'!$N39)</f>
        <v/>
      </c>
      <c r="O39" s="134" t="str">
        <f aca="false">IF('Quick Chadwick'!$B39="","",'Quick Chadwick'!$O39)</f>
        <v/>
      </c>
      <c r="P39" s="132" t="str">
        <f aca="false">IF('Quick Chadwick'!$B39="","",'Quick Chadwick'!$P39)</f>
        <v/>
      </c>
      <c r="Q39" s="131" t="str">
        <f aca="false">IF('Quick Chadwick'!$B39="","","Quick Chadwick")</f>
        <v/>
      </c>
      <c r="R39" s="131" t="n">
        <f aca="true">IF(OR($B39="",$I39="Complete",$L39=""),0,IF($L39&lt;TODAY(),1,0))</f>
        <v>0</v>
      </c>
      <c r="S39" s="131" t="n">
        <f aca="true">IF(OR($B39="",$I39="Complete",$L39=""),0,IF(AND($L39&gt;=TODAY(),$L39&lt;=TODAY()+7),1,0))</f>
        <v>0</v>
      </c>
      <c r="T39" s="131" t="str">
        <f aca="true">IF(OR($B39="",$L39=""),"",$L39-TODAY())</f>
        <v/>
      </c>
      <c r="U39" s="135" t="str">
        <f aca="false">IF($B39="","",IF($I39="Complete",1,IF($J39="",0,$J39)))</f>
        <v/>
      </c>
      <c r="V39" s="131" t="n">
        <f aca="false">IF($B39="",0,IF($N39="",0,1))</f>
        <v>0</v>
      </c>
      <c r="W39" s="131" t="n">
        <f aca="false">IF($B39="",0,1)</f>
        <v>0</v>
      </c>
    </row>
    <row r="40" customFormat="false" ht="15" hidden="false" customHeight="false" outlineLevel="0" collapsed="false">
      <c r="A40" s="131" t="str">
        <f aca="false">IF('Quick Chadwick'!$B40="","",'Quick Chadwick'!$A40)</f>
        <v/>
      </c>
      <c r="B40" s="131" t="str">
        <f aca="false">IF('Quick Chadwick'!$B40="","",'Quick Chadwick'!$B40)</f>
        <v/>
      </c>
      <c r="C40" s="132" t="str">
        <f aca="false">IF('Quick Chadwick'!$B40="","",'Quick Chadwick'!$C40)</f>
        <v/>
      </c>
      <c r="D40" s="132" t="str">
        <f aca="false">IF('Quick Chadwick'!$B40="","",'Quick Chadwick'!$D40)</f>
        <v/>
      </c>
      <c r="E40" s="132" t="str">
        <f aca="false">IF('Quick Chadwick'!$B40="","",'Quick Chadwick'!$E40)</f>
        <v/>
      </c>
      <c r="F40" s="132" t="str">
        <f aca="false">IF('Quick Chadwick'!$B40="","",'Quick Chadwick'!$F40)</f>
        <v/>
      </c>
      <c r="G40" s="132" t="str">
        <f aca="false">IF('Quick Chadwick'!$B40="","",'Quick Chadwick'!$G40)</f>
        <v/>
      </c>
      <c r="H40" s="131" t="str">
        <f aca="false">IF('Quick Chadwick'!$B40="","",'Quick Chadwick'!$H40)</f>
        <v/>
      </c>
      <c r="I40" s="131" t="str">
        <f aca="false">IF('Quick Chadwick'!$B40="","",'Quick Chadwick'!$I40)</f>
        <v/>
      </c>
      <c r="J40" s="133" t="str">
        <f aca="false">IF('Quick Chadwick'!$B40="","",'Quick Chadwick'!$J40)</f>
        <v/>
      </c>
      <c r="K40" s="134" t="str">
        <f aca="false">IF('Quick Chadwick'!$B40="","",'Quick Chadwick'!$K40)</f>
        <v/>
      </c>
      <c r="L40" s="134" t="str">
        <f aca="false">IF('Quick Chadwick'!$B40="","",'Quick Chadwick'!$L40)</f>
        <v/>
      </c>
      <c r="M40" s="132" t="str">
        <f aca="false">IF('Quick Chadwick'!$B40="","",'Quick Chadwick'!$M40)</f>
        <v/>
      </c>
      <c r="N40" s="132" t="str">
        <f aca="false">IF('Quick Chadwick'!$B40="","",'Quick Chadwick'!$N40)</f>
        <v/>
      </c>
      <c r="O40" s="134" t="str">
        <f aca="false">IF('Quick Chadwick'!$B40="","",'Quick Chadwick'!$O40)</f>
        <v/>
      </c>
      <c r="P40" s="132" t="str">
        <f aca="false">IF('Quick Chadwick'!$B40="","",'Quick Chadwick'!$P40)</f>
        <v/>
      </c>
      <c r="Q40" s="131" t="str">
        <f aca="false">IF('Quick Chadwick'!$B40="","","Quick Chadwick")</f>
        <v/>
      </c>
      <c r="R40" s="131" t="n">
        <f aca="true">IF(OR($B40="",$I40="Complete",$L40=""),0,IF($L40&lt;TODAY(),1,0))</f>
        <v>0</v>
      </c>
      <c r="S40" s="131" t="n">
        <f aca="true">IF(OR($B40="",$I40="Complete",$L40=""),0,IF(AND($L40&gt;=TODAY(),$L40&lt;=TODAY()+7),1,0))</f>
        <v>0</v>
      </c>
      <c r="T40" s="131" t="str">
        <f aca="true">IF(OR($B40="",$L40=""),"",$L40-TODAY())</f>
        <v/>
      </c>
      <c r="U40" s="135" t="str">
        <f aca="false">IF($B40="","",IF($I40="Complete",1,IF($J40="",0,$J40)))</f>
        <v/>
      </c>
      <c r="V40" s="131" t="n">
        <f aca="false">IF($B40="",0,IF($N40="",0,1))</f>
        <v>0</v>
      </c>
      <c r="W40" s="131" t="n">
        <f aca="false">IF($B40="",0,1)</f>
        <v>0</v>
      </c>
    </row>
    <row r="41" customFormat="false" ht="15" hidden="false" customHeight="false" outlineLevel="0" collapsed="false">
      <c r="A41" s="131" t="str">
        <f aca="false">IF('Quick Chadwick'!$B41="","",'Quick Chadwick'!$A41)</f>
        <v/>
      </c>
      <c r="B41" s="131" t="str">
        <f aca="false">IF('Quick Chadwick'!$B41="","",'Quick Chadwick'!$B41)</f>
        <v/>
      </c>
      <c r="C41" s="132" t="str">
        <f aca="false">IF('Quick Chadwick'!$B41="","",'Quick Chadwick'!$C41)</f>
        <v/>
      </c>
      <c r="D41" s="132" t="str">
        <f aca="false">IF('Quick Chadwick'!$B41="","",'Quick Chadwick'!$D41)</f>
        <v/>
      </c>
      <c r="E41" s="132" t="str">
        <f aca="false">IF('Quick Chadwick'!$B41="","",'Quick Chadwick'!$E41)</f>
        <v/>
      </c>
      <c r="F41" s="132" t="str">
        <f aca="false">IF('Quick Chadwick'!$B41="","",'Quick Chadwick'!$F41)</f>
        <v/>
      </c>
      <c r="G41" s="132" t="str">
        <f aca="false">IF('Quick Chadwick'!$B41="","",'Quick Chadwick'!$G41)</f>
        <v/>
      </c>
      <c r="H41" s="131" t="str">
        <f aca="false">IF('Quick Chadwick'!$B41="","",'Quick Chadwick'!$H41)</f>
        <v/>
      </c>
      <c r="I41" s="131" t="str">
        <f aca="false">IF('Quick Chadwick'!$B41="","",'Quick Chadwick'!$I41)</f>
        <v/>
      </c>
      <c r="J41" s="133" t="str">
        <f aca="false">IF('Quick Chadwick'!$B41="","",'Quick Chadwick'!$J41)</f>
        <v/>
      </c>
      <c r="K41" s="134" t="str">
        <f aca="false">IF('Quick Chadwick'!$B41="","",'Quick Chadwick'!$K41)</f>
        <v/>
      </c>
      <c r="L41" s="134" t="str">
        <f aca="false">IF('Quick Chadwick'!$B41="","",'Quick Chadwick'!$L41)</f>
        <v/>
      </c>
      <c r="M41" s="132" t="str">
        <f aca="false">IF('Quick Chadwick'!$B41="","",'Quick Chadwick'!$M41)</f>
        <v/>
      </c>
      <c r="N41" s="132" t="str">
        <f aca="false">IF('Quick Chadwick'!$B41="","",'Quick Chadwick'!$N41)</f>
        <v/>
      </c>
      <c r="O41" s="134" t="str">
        <f aca="false">IF('Quick Chadwick'!$B41="","",'Quick Chadwick'!$O41)</f>
        <v/>
      </c>
      <c r="P41" s="132" t="str">
        <f aca="false">IF('Quick Chadwick'!$B41="","",'Quick Chadwick'!$P41)</f>
        <v/>
      </c>
      <c r="Q41" s="131" t="str">
        <f aca="false">IF('Quick Chadwick'!$B41="","","Quick Chadwick")</f>
        <v/>
      </c>
      <c r="R41" s="131" t="n">
        <f aca="true">IF(OR($B41="",$I41="Complete",$L41=""),0,IF($L41&lt;TODAY(),1,0))</f>
        <v>0</v>
      </c>
      <c r="S41" s="131" t="n">
        <f aca="true">IF(OR($B41="",$I41="Complete",$L41=""),0,IF(AND($L41&gt;=TODAY(),$L41&lt;=TODAY()+7),1,0))</f>
        <v>0</v>
      </c>
      <c r="T41" s="131" t="str">
        <f aca="true">IF(OR($B41="",$L41=""),"",$L41-TODAY())</f>
        <v/>
      </c>
      <c r="U41" s="135" t="str">
        <f aca="false">IF($B41="","",IF($I41="Complete",1,IF($J41="",0,$J41)))</f>
        <v/>
      </c>
      <c r="V41" s="131" t="n">
        <f aca="false">IF($B41="",0,IF($N41="",0,1))</f>
        <v>0</v>
      </c>
      <c r="W41" s="131" t="n">
        <f aca="false">IF($B41="",0,1)</f>
        <v>0</v>
      </c>
    </row>
    <row r="42" customFormat="false" ht="15" hidden="false" customHeight="false" outlineLevel="0" collapsed="false">
      <c r="A42" s="131" t="str">
        <f aca="false">IF('Quick Chadwick'!$B42="","",'Quick Chadwick'!$A42)</f>
        <v/>
      </c>
      <c r="B42" s="131" t="str">
        <f aca="false">IF('Quick Chadwick'!$B42="","",'Quick Chadwick'!$B42)</f>
        <v/>
      </c>
      <c r="C42" s="132" t="str">
        <f aca="false">IF('Quick Chadwick'!$B42="","",'Quick Chadwick'!$C42)</f>
        <v/>
      </c>
      <c r="D42" s="132" t="str">
        <f aca="false">IF('Quick Chadwick'!$B42="","",'Quick Chadwick'!$D42)</f>
        <v/>
      </c>
      <c r="E42" s="132" t="str">
        <f aca="false">IF('Quick Chadwick'!$B42="","",'Quick Chadwick'!$E42)</f>
        <v/>
      </c>
      <c r="F42" s="132" t="str">
        <f aca="false">IF('Quick Chadwick'!$B42="","",'Quick Chadwick'!$F42)</f>
        <v/>
      </c>
      <c r="G42" s="132" t="str">
        <f aca="false">IF('Quick Chadwick'!$B42="","",'Quick Chadwick'!$G42)</f>
        <v/>
      </c>
      <c r="H42" s="131" t="str">
        <f aca="false">IF('Quick Chadwick'!$B42="","",'Quick Chadwick'!$H42)</f>
        <v/>
      </c>
      <c r="I42" s="131" t="str">
        <f aca="false">IF('Quick Chadwick'!$B42="","",'Quick Chadwick'!$I42)</f>
        <v/>
      </c>
      <c r="J42" s="133" t="str">
        <f aca="false">IF('Quick Chadwick'!$B42="","",'Quick Chadwick'!$J42)</f>
        <v/>
      </c>
      <c r="K42" s="134" t="str">
        <f aca="false">IF('Quick Chadwick'!$B42="","",'Quick Chadwick'!$K42)</f>
        <v/>
      </c>
      <c r="L42" s="134" t="str">
        <f aca="false">IF('Quick Chadwick'!$B42="","",'Quick Chadwick'!$L42)</f>
        <v/>
      </c>
      <c r="M42" s="132" t="str">
        <f aca="false">IF('Quick Chadwick'!$B42="","",'Quick Chadwick'!$M42)</f>
        <v/>
      </c>
      <c r="N42" s="132" t="str">
        <f aca="false">IF('Quick Chadwick'!$B42="","",'Quick Chadwick'!$N42)</f>
        <v/>
      </c>
      <c r="O42" s="134" t="str">
        <f aca="false">IF('Quick Chadwick'!$B42="","",'Quick Chadwick'!$O42)</f>
        <v/>
      </c>
      <c r="P42" s="132" t="str">
        <f aca="false">IF('Quick Chadwick'!$B42="","",'Quick Chadwick'!$P42)</f>
        <v/>
      </c>
      <c r="Q42" s="131" t="str">
        <f aca="false">IF('Quick Chadwick'!$B42="","","Quick Chadwick")</f>
        <v/>
      </c>
      <c r="R42" s="131" t="n">
        <f aca="true">IF(OR($B42="",$I42="Complete",$L42=""),0,IF($L42&lt;TODAY(),1,0))</f>
        <v>0</v>
      </c>
      <c r="S42" s="131" t="n">
        <f aca="true">IF(OR($B42="",$I42="Complete",$L42=""),0,IF(AND($L42&gt;=TODAY(),$L42&lt;=TODAY()+7),1,0))</f>
        <v>0</v>
      </c>
      <c r="T42" s="131" t="str">
        <f aca="true">IF(OR($B42="",$L42=""),"",$L42-TODAY())</f>
        <v/>
      </c>
      <c r="U42" s="135" t="str">
        <f aca="false">IF($B42="","",IF($I42="Complete",1,IF($J42="",0,$J42)))</f>
        <v/>
      </c>
      <c r="V42" s="131" t="n">
        <f aca="false">IF($B42="",0,IF($N42="",0,1))</f>
        <v>0</v>
      </c>
      <c r="W42" s="131" t="n">
        <f aca="false">IF($B42="",0,1)</f>
        <v>0</v>
      </c>
    </row>
    <row r="43" customFormat="false" ht="15" hidden="false" customHeight="false" outlineLevel="0" collapsed="false">
      <c r="A43" s="131" t="str">
        <f aca="false">IF('Quick Chadwick'!$B43="","",'Quick Chadwick'!$A43)</f>
        <v/>
      </c>
      <c r="B43" s="131" t="str">
        <f aca="false">IF('Quick Chadwick'!$B43="","",'Quick Chadwick'!$B43)</f>
        <v/>
      </c>
      <c r="C43" s="132" t="str">
        <f aca="false">IF('Quick Chadwick'!$B43="","",'Quick Chadwick'!$C43)</f>
        <v/>
      </c>
      <c r="D43" s="132" t="str">
        <f aca="false">IF('Quick Chadwick'!$B43="","",'Quick Chadwick'!$D43)</f>
        <v/>
      </c>
      <c r="E43" s="132" t="str">
        <f aca="false">IF('Quick Chadwick'!$B43="","",'Quick Chadwick'!$E43)</f>
        <v/>
      </c>
      <c r="F43" s="132" t="str">
        <f aca="false">IF('Quick Chadwick'!$B43="","",'Quick Chadwick'!$F43)</f>
        <v/>
      </c>
      <c r="G43" s="132" t="str">
        <f aca="false">IF('Quick Chadwick'!$B43="","",'Quick Chadwick'!$G43)</f>
        <v/>
      </c>
      <c r="H43" s="131" t="str">
        <f aca="false">IF('Quick Chadwick'!$B43="","",'Quick Chadwick'!$H43)</f>
        <v/>
      </c>
      <c r="I43" s="131" t="str">
        <f aca="false">IF('Quick Chadwick'!$B43="","",'Quick Chadwick'!$I43)</f>
        <v/>
      </c>
      <c r="J43" s="133" t="str">
        <f aca="false">IF('Quick Chadwick'!$B43="","",'Quick Chadwick'!$J43)</f>
        <v/>
      </c>
      <c r="K43" s="134" t="str">
        <f aca="false">IF('Quick Chadwick'!$B43="","",'Quick Chadwick'!$K43)</f>
        <v/>
      </c>
      <c r="L43" s="134" t="str">
        <f aca="false">IF('Quick Chadwick'!$B43="","",'Quick Chadwick'!$L43)</f>
        <v/>
      </c>
      <c r="M43" s="132" t="str">
        <f aca="false">IF('Quick Chadwick'!$B43="","",'Quick Chadwick'!$M43)</f>
        <v/>
      </c>
      <c r="N43" s="132" t="str">
        <f aca="false">IF('Quick Chadwick'!$B43="","",'Quick Chadwick'!$N43)</f>
        <v/>
      </c>
      <c r="O43" s="134" t="str">
        <f aca="false">IF('Quick Chadwick'!$B43="","",'Quick Chadwick'!$O43)</f>
        <v/>
      </c>
      <c r="P43" s="132" t="str">
        <f aca="false">IF('Quick Chadwick'!$B43="","",'Quick Chadwick'!$P43)</f>
        <v/>
      </c>
      <c r="Q43" s="131" t="str">
        <f aca="false">IF('Quick Chadwick'!$B43="","","Quick Chadwick")</f>
        <v/>
      </c>
      <c r="R43" s="131" t="n">
        <f aca="true">IF(OR($B43="",$I43="Complete",$L43=""),0,IF($L43&lt;TODAY(),1,0))</f>
        <v>0</v>
      </c>
      <c r="S43" s="131" t="n">
        <f aca="true">IF(OR($B43="",$I43="Complete",$L43=""),0,IF(AND($L43&gt;=TODAY(),$L43&lt;=TODAY()+7),1,0))</f>
        <v>0</v>
      </c>
      <c r="T43" s="131" t="str">
        <f aca="true">IF(OR($B43="",$L43=""),"",$L43-TODAY())</f>
        <v/>
      </c>
      <c r="U43" s="135" t="str">
        <f aca="false">IF($B43="","",IF($I43="Complete",1,IF($J43="",0,$J43)))</f>
        <v/>
      </c>
      <c r="V43" s="131" t="n">
        <f aca="false">IF($B43="",0,IF($N43="",0,1))</f>
        <v>0</v>
      </c>
      <c r="W43" s="131" t="n">
        <f aca="false">IF($B43="",0,1)</f>
        <v>0</v>
      </c>
    </row>
    <row r="44" customFormat="false" ht="15" hidden="false" customHeight="false" outlineLevel="0" collapsed="false">
      <c r="A44" s="131" t="str">
        <f aca="false">IF('Quick Chadwick'!$B44="","",'Quick Chadwick'!$A44)</f>
        <v/>
      </c>
      <c r="B44" s="131" t="str">
        <f aca="false">IF('Quick Chadwick'!$B44="","",'Quick Chadwick'!$B44)</f>
        <v/>
      </c>
      <c r="C44" s="132" t="str">
        <f aca="false">IF('Quick Chadwick'!$B44="","",'Quick Chadwick'!$C44)</f>
        <v/>
      </c>
      <c r="D44" s="132" t="str">
        <f aca="false">IF('Quick Chadwick'!$B44="","",'Quick Chadwick'!$D44)</f>
        <v/>
      </c>
      <c r="E44" s="132" t="str">
        <f aca="false">IF('Quick Chadwick'!$B44="","",'Quick Chadwick'!$E44)</f>
        <v/>
      </c>
      <c r="F44" s="132" t="str">
        <f aca="false">IF('Quick Chadwick'!$B44="","",'Quick Chadwick'!$F44)</f>
        <v/>
      </c>
      <c r="G44" s="132" t="str">
        <f aca="false">IF('Quick Chadwick'!$B44="","",'Quick Chadwick'!$G44)</f>
        <v/>
      </c>
      <c r="H44" s="131" t="str">
        <f aca="false">IF('Quick Chadwick'!$B44="","",'Quick Chadwick'!$H44)</f>
        <v/>
      </c>
      <c r="I44" s="131" t="str">
        <f aca="false">IF('Quick Chadwick'!$B44="","",'Quick Chadwick'!$I44)</f>
        <v/>
      </c>
      <c r="J44" s="133" t="str">
        <f aca="false">IF('Quick Chadwick'!$B44="","",'Quick Chadwick'!$J44)</f>
        <v/>
      </c>
      <c r="K44" s="134" t="str">
        <f aca="false">IF('Quick Chadwick'!$B44="","",'Quick Chadwick'!$K44)</f>
        <v/>
      </c>
      <c r="L44" s="134" t="str">
        <f aca="false">IF('Quick Chadwick'!$B44="","",'Quick Chadwick'!$L44)</f>
        <v/>
      </c>
      <c r="M44" s="132" t="str">
        <f aca="false">IF('Quick Chadwick'!$B44="","",'Quick Chadwick'!$M44)</f>
        <v/>
      </c>
      <c r="N44" s="132" t="str">
        <f aca="false">IF('Quick Chadwick'!$B44="","",'Quick Chadwick'!$N44)</f>
        <v/>
      </c>
      <c r="O44" s="134" t="str">
        <f aca="false">IF('Quick Chadwick'!$B44="","",'Quick Chadwick'!$O44)</f>
        <v/>
      </c>
      <c r="P44" s="132" t="str">
        <f aca="false">IF('Quick Chadwick'!$B44="","",'Quick Chadwick'!$P44)</f>
        <v/>
      </c>
      <c r="Q44" s="131" t="str">
        <f aca="false">IF('Quick Chadwick'!$B44="","","Quick Chadwick")</f>
        <v/>
      </c>
      <c r="R44" s="131" t="n">
        <f aca="true">IF(OR($B44="",$I44="Complete",$L44=""),0,IF($L44&lt;TODAY(),1,0))</f>
        <v>0</v>
      </c>
      <c r="S44" s="131" t="n">
        <f aca="true">IF(OR($B44="",$I44="Complete",$L44=""),0,IF(AND($L44&gt;=TODAY(),$L44&lt;=TODAY()+7),1,0))</f>
        <v>0</v>
      </c>
      <c r="T44" s="131" t="str">
        <f aca="true">IF(OR($B44="",$L44=""),"",$L44-TODAY())</f>
        <v/>
      </c>
      <c r="U44" s="135" t="str">
        <f aca="false">IF($B44="","",IF($I44="Complete",1,IF($J44="",0,$J44)))</f>
        <v/>
      </c>
      <c r="V44" s="131" t="n">
        <f aca="false">IF($B44="",0,IF($N44="",0,1))</f>
        <v>0</v>
      </c>
      <c r="W44" s="131" t="n">
        <f aca="false">IF($B44="",0,1)</f>
        <v>0</v>
      </c>
    </row>
    <row r="45" customFormat="false" ht="19.4" hidden="false" customHeight="false" outlineLevel="0" collapsed="false">
      <c r="A45" s="131" t="str">
        <f aca="false">IF('MaryFran Anderson'!$B5="","",'MaryFran Anderson'!$A5)</f>
        <v>MFA-001</v>
      </c>
      <c r="B45" s="131" t="str">
        <f aca="false">IF('MaryFran Anderson'!$B5="","",'MaryFran Anderson'!$B5)</f>
        <v>P1-1</v>
      </c>
      <c r="C45" s="132" t="str">
        <f aca="false">IF('MaryFran Anderson'!$B5="","",'MaryFran Anderson'!$C5)</f>
        <v>1 – Unified Development System</v>
      </c>
      <c r="D45" s="132" t="str">
        <f aca="false">IF('MaryFran Anderson'!$B5="","",'MaryFran Anderson'!$D5)</f>
        <v>Implement standardized Mutual Evaluation Process (MEP) across all brands</v>
      </c>
      <c r="E45" s="132" t="str">
        <f aca="false">IF('MaryFran Anderson'!$B5="","",'MaryFran Anderson'!$E5)</f>
        <v>MaryFran Anderson</v>
      </c>
      <c r="F45" s="132" t="str">
        <f aca="false">IF('MaryFran Anderson'!$B5="","",'MaryFran Anderson'!$F5)</f>
        <v>Contributor</v>
      </c>
      <c r="G45" s="132" t="str">
        <f aca="false">IF('MaryFran Anderson'!$B5="","",'MaryFran Anderson'!$G5)</f>
        <v>Training Section 1-3 in Fran Dev 101</v>
      </c>
      <c r="H45" s="131" t="str">
        <f aca="false">IF('MaryFran Anderson'!$B5="","",'MaryFran Anderson'!$H5)</f>
        <v>Medium</v>
      </c>
      <c r="I45" s="131" t="str">
        <f aca="false">IF('MaryFran Anderson'!$B5="","",'MaryFran Anderson'!$I5)</f>
        <v>In Progress</v>
      </c>
      <c r="J45" s="133" t="n">
        <f aca="false">IF('MaryFran Anderson'!$B5="","",'MaryFran Anderson'!$J5)</f>
        <v>0.5</v>
      </c>
      <c r="K45" s="134" t="n">
        <f aca="false">IF('MaryFran Anderson'!$B5="","",'MaryFran Anderson'!$K5)</f>
        <v>46162</v>
      </c>
      <c r="L45" s="134" t="n">
        <f aca="false">IF('MaryFran Anderson'!$B5="","",'MaryFran Anderson'!$L5)</f>
        <v>46186</v>
      </c>
      <c r="M45" s="132" t="n">
        <f aca="false">IF('MaryFran Anderson'!$B5="","",'MaryFran Anderson'!$M5)</f>
        <v>0</v>
      </c>
      <c r="N45" s="132" t="n">
        <f aca="false">IF('MaryFran Anderson'!$B5="","",'MaryFran Anderson'!$N5)</f>
        <v>0</v>
      </c>
      <c r="O45" s="134" t="str">
        <f aca="false">IF('MaryFran Anderson'!$B5="","",'MaryFran Anderson'!$O5)</f>
        <v>Assigned 5/20</v>
      </c>
      <c r="P45" s="132" t="str">
        <f aca="false">IF('MaryFran Anderson'!$B5="","",'MaryFran Anderson'!$P5)</f>
        <v>Complete sections 2-3</v>
      </c>
      <c r="Q45" s="131" t="str">
        <f aca="false">IF('MaryFran Anderson'!$B5="","","MaryFran Anderson")</f>
        <v>MaryFran Anderson</v>
      </c>
      <c r="R45" s="131" t="n">
        <f aca="true">IF(OR($B45="",$I45="Complete",$L45=""),0,IF($L45&lt;TODAY(),1,0))</f>
        <v>0</v>
      </c>
      <c r="S45" s="131" t="n">
        <f aca="true">IF(OR($B45="",$I45="Complete",$L45=""),0,IF(AND($L45&gt;=TODAY(),$L45&lt;=TODAY()+7),1,0))</f>
        <v>0</v>
      </c>
      <c r="T45" s="131" t="n">
        <f aca="true">IF(OR($B45="",$L45=""),"",$L45-TODAY())</f>
        <v>16</v>
      </c>
      <c r="U45" s="135" t="n">
        <f aca="false">IF($B45="","",IF($I45="Complete",1,IF($J45="",0,$J45)))</f>
        <v>0.5</v>
      </c>
      <c r="V45" s="131" t="n">
        <f aca="false">IF($B45="",0,IF($N45="",0,1))</f>
        <v>0</v>
      </c>
      <c r="W45" s="131" t="n">
        <f aca="false">IF($B45="",0,1)</f>
        <v>1</v>
      </c>
    </row>
    <row r="46" customFormat="false" ht="19.4" hidden="false" customHeight="false" outlineLevel="0" collapsed="false">
      <c r="A46" s="131" t="str">
        <f aca="false">IF('MaryFran Anderson'!$B6="","",'MaryFran Anderson'!$A6)</f>
        <v>MFA-002</v>
      </c>
      <c r="B46" s="131" t="str">
        <f aca="false">IF('MaryFran Anderson'!$B6="","",'MaryFran Anderson'!$B6)</f>
        <v>P3-2</v>
      </c>
      <c r="C46" s="132" t="str">
        <f aca="false">IF('MaryFran Anderson'!$B6="","",'MaryFran Anderson'!$C6)</f>
        <v>3 – Broker Channel</v>
      </c>
      <c r="D46" s="132" t="str">
        <f aca="false">IF('MaryFran Anderson'!$B6="","",'MaryFran Anderson'!$D6)</f>
        <v>Route 100% of broker leads through CRM for centralized intake and visibility.</v>
      </c>
      <c r="E46" s="132" t="str">
        <f aca="false">IF('MaryFran Anderson'!$B6="","",'MaryFran Anderson'!$E6)</f>
        <v>MaryFran Anderson</v>
      </c>
      <c r="F46" s="132" t="str">
        <f aca="false">IF('MaryFran Anderson'!$B6="","",'MaryFran Anderson'!$F6)</f>
        <v>Owner</v>
      </c>
      <c r="G46" s="132" t="str">
        <f aca="false">IF('MaryFran Anderson'!$B6="","",'MaryFran Anderson'!$G6)</f>
        <v>Broker Portal Update</v>
      </c>
      <c r="H46" s="131" t="str">
        <f aca="false">IF('MaryFran Anderson'!$B6="","",'MaryFran Anderson'!$H6)</f>
        <v>High</v>
      </c>
      <c r="I46" s="131" t="str">
        <f aca="false">IF('MaryFran Anderson'!$B6="","",'MaryFran Anderson'!$I6)</f>
        <v>In Progress</v>
      </c>
      <c r="J46" s="133" t="n">
        <f aca="false">IF('MaryFran Anderson'!$B6="","",'MaryFran Anderson'!$J6)</f>
        <v>0.4</v>
      </c>
      <c r="K46" s="134" t="n">
        <f aca="false">IF('MaryFran Anderson'!$B6="","",'MaryFran Anderson'!$K6)</f>
        <v>46154</v>
      </c>
      <c r="L46" s="134" t="n">
        <f aca="false">IF('MaryFran Anderson'!$B6="","",'MaryFran Anderson'!$L6)</f>
        <v>46176</v>
      </c>
      <c r="M46" s="132" t="n">
        <f aca="false">IF('MaryFran Anderson'!$B6="","",'MaryFran Anderson'!$M6)</f>
        <v>0</v>
      </c>
      <c r="N46" s="132" t="n">
        <f aca="false">IF('MaryFran Anderson'!$B6="","",'MaryFran Anderson'!$N6)</f>
        <v>0</v>
      </c>
      <c r="O46" s="134" t="str">
        <f aca="false">IF('MaryFran Anderson'!$B6="","",'MaryFran Anderson'!$O6)</f>
        <v>Updating broker portal records</v>
      </c>
      <c r="P46" s="132" t="str">
        <f aca="false">IF('MaryFran Anderson'!$B6="","",'MaryFran Anderson'!$P6)</f>
        <v>Finalize portal field mapping</v>
      </c>
      <c r="Q46" s="131" t="str">
        <f aca="false">IF('MaryFran Anderson'!$B6="","","MaryFran Anderson")</f>
        <v>MaryFran Anderson</v>
      </c>
      <c r="R46" s="131" t="n">
        <f aca="true">IF(OR($B46="",$I46="Complete",$L46=""),0,IF($L46&lt;TODAY(),1,0))</f>
        <v>0</v>
      </c>
      <c r="S46" s="131" t="n">
        <f aca="true">IF(OR($B46="",$I46="Complete",$L46=""),0,IF(AND($L46&gt;=TODAY(),$L46&lt;=TODAY()+7),1,0))</f>
        <v>1</v>
      </c>
      <c r="T46" s="131" t="n">
        <f aca="true">IF(OR($B46="",$L46=""),"",$L46-TODAY())</f>
        <v>6</v>
      </c>
      <c r="U46" s="135" t="n">
        <f aca="false">IF($B46="","",IF($I46="Complete",1,IF($J46="",0,$J46)))</f>
        <v>0.4</v>
      </c>
      <c r="V46" s="131" t="n">
        <f aca="false">IF($B46="",0,IF($N46="",0,1))</f>
        <v>0</v>
      </c>
      <c r="W46" s="131" t="n">
        <f aca="false">IF($B46="",0,1)</f>
        <v>1</v>
      </c>
    </row>
    <row r="47" customFormat="false" ht="19.4" hidden="false" customHeight="false" outlineLevel="0" collapsed="false">
      <c r="A47" s="131" t="str">
        <f aca="false">IF('MaryFran Anderson'!$B7="","",'MaryFran Anderson'!$A7)</f>
        <v>MFA-003</v>
      </c>
      <c r="B47" s="131" t="str">
        <f aca="false">IF('MaryFran Anderson'!$B7="","",'MaryFran Anderson'!$B7)</f>
        <v>P3-1</v>
      </c>
      <c r="C47" s="132" t="str">
        <f aca="false">IF('MaryFran Anderson'!$B7="","",'MaryFran Anderson'!$C7)</f>
        <v>3 – Broker Channel</v>
      </c>
      <c r="D47" s="132" t="str">
        <f aca="false">IF('MaryFran Anderson'!$B7="","",'MaryFran Anderson'!$D7)</f>
        <v>Assign MaryFran as broker channel owner</v>
      </c>
      <c r="E47" s="132" t="str">
        <f aca="false">IF('MaryFran Anderson'!$B7="","",'MaryFran Anderson'!$E7)</f>
        <v>MaryFran Anderson</v>
      </c>
      <c r="F47" s="132" t="str">
        <f aca="false">IF('MaryFran Anderson'!$B7="","",'MaryFran Anderson'!$F7)</f>
        <v>Owner</v>
      </c>
      <c r="G47" s="132" t="str">
        <f aca="false">IF('MaryFran Anderson'!$B7="","",'MaryFran Anderson'!$G7)</f>
        <v>Broker Engagement Opportunities (membership opps)</v>
      </c>
      <c r="H47" s="131" t="str">
        <f aca="false">IF('MaryFran Anderson'!$B7="","",'MaryFran Anderson'!$H7)</f>
        <v>Medium</v>
      </c>
      <c r="I47" s="131" t="str">
        <f aca="false">IF('MaryFran Anderson'!$B7="","",'MaryFran Anderson'!$I7)</f>
        <v>In Progress</v>
      </c>
      <c r="J47" s="133" t="n">
        <f aca="false">IF('MaryFran Anderson'!$B7="","",'MaryFran Anderson'!$J7)</f>
        <v>0.3</v>
      </c>
      <c r="K47" s="134" t="n">
        <f aca="false">IF('MaryFran Anderson'!$B7="","",'MaryFran Anderson'!$K7)</f>
        <v>46154</v>
      </c>
      <c r="L47" s="134" t="n">
        <f aca="false">IF('MaryFran Anderson'!$B7="","",'MaryFran Anderson'!$L7)</f>
        <v>46188</v>
      </c>
      <c r="M47" s="132" t="n">
        <f aca="false">IF('MaryFran Anderson'!$B7="","",'MaryFran Anderson'!$M7)</f>
        <v>0</v>
      </c>
      <c r="N47" s="132" t="n">
        <f aca="false">IF('MaryFran Anderson'!$B7="","",'MaryFran Anderson'!$N7)</f>
        <v>0</v>
      </c>
      <c r="O47" s="134" t="str">
        <f aca="false">IF('MaryFran Anderson'!$B7="","",'MaryFran Anderson'!$O7)</f>
        <v>Coordinating with Chadwick</v>
      </c>
      <c r="P47" s="132" t="str">
        <f aca="false">IF('MaryFran Anderson'!$B7="","",'MaryFran Anderson'!$P7)</f>
        <v>Identify missed membership opportunities</v>
      </c>
      <c r="Q47" s="131" t="str">
        <f aca="false">IF('MaryFran Anderson'!$B7="","","MaryFran Anderson")</f>
        <v>MaryFran Anderson</v>
      </c>
      <c r="R47" s="131" t="n">
        <f aca="true">IF(OR($B47="",$I47="Complete",$L47=""),0,IF($L47&lt;TODAY(),1,0))</f>
        <v>0</v>
      </c>
      <c r="S47" s="131" t="n">
        <f aca="true">IF(OR($B47="",$I47="Complete",$L47=""),0,IF(AND($L47&gt;=TODAY(),$L47&lt;=TODAY()+7),1,0))</f>
        <v>0</v>
      </c>
      <c r="T47" s="131" t="n">
        <f aca="true">IF(OR($B47="",$L47=""),"",$L47-TODAY())</f>
        <v>18</v>
      </c>
      <c r="U47" s="135" t="n">
        <f aca="false">IF($B47="","",IF($I47="Complete",1,IF($J47="",0,$J47)))</f>
        <v>0.3</v>
      </c>
      <c r="V47" s="131" t="n">
        <f aca="false">IF($B47="",0,IF($N47="",0,1))</f>
        <v>0</v>
      </c>
      <c r="W47" s="131" t="n">
        <f aca="false">IF($B47="",0,1)</f>
        <v>1</v>
      </c>
    </row>
    <row r="48" customFormat="false" ht="19.4" hidden="false" customHeight="false" outlineLevel="0" collapsed="false">
      <c r="A48" s="131" t="str">
        <f aca="false">IF('MaryFran Anderson'!$B8="","",'MaryFran Anderson'!$A8)</f>
        <v>MFA-004</v>
      </c>
      <c r="B48" s="131" t="str">
        <f aca="false">IF('MaryFran Anderson'!$B8="","",'MaryFran Anderson'!$B8)</f>
        <v>P3-1</v>
      </c>
      <c r="C48" s="132" t="str">
        <f aca="false">IF('MaryFran Anderson'!$B8="","",'MaryFran Anderson'!$C8)</f>
        <v>3 – Broker Channel</v>
      </c>
      <c r="D48" s="132" t="str">
        <f aca="false">IF('MaryFran Anderson'!$B8="","",'MaryFran Anderson'!$D8)</f>
        <v>Assign MaryFran as broker channel owner</v>
      </c>
      <c r="E48" s="132" t="str">
        <f aca="false">IF('MaryFran Anderson'!$B8="","",'MaryFran Anderson'!$E8)</f>
        <v>MaryFran Anderson</v>
      </c>
      <c r="F48" s="132" t="str">
        <f aca="false">IF('MaryFran Anderson'!$B8="","",'MaryFran Anderson'!$F8)</f>
        <v>Owner</v>
      </c>
      <c r="G48" s="132" t="str">
        <f aca="false">IF('MaryFran Anderson'!$B8="","",'MaryFran Anderson'!$G8)</f>
        <v>Broker Outreach Campaign (HubSpot drip build)</v>
      </c>
      <c r="H48" s="131" t="str">
        <f aca="false">IF('MaryFran Anderson'!$B8="","",'MaryFran Anderson'!$H8)</f>
        <v>High</v>
      </c>
      <c r="I48" s="131" t="str">
        <f aca="false">IF('MaryFran Anderson'!$B8="","",'MaryFran Anderson'!$I8)</f>
        <v>Blocked</v>
      </c>
      <c r="J48" s="133" t="n">
        <f aca="false">IF('MaryFran Anderson'!$B8="","",'MaryFran Anderson'!$J8)</f>
        <v>0.1</v>
      </c>
      <c r="K48" s="134" t="n">
        <f aca="false">IF('MaryFran Anderson'!$B8="","",'MaryFran Anderson'!$K8)</f>
        <v>46174</v>
      </c>
      <c r="L48" s="134" t="n">
        <f aca="false">IF('MaryFran Anderson'!$B8="","",'MaryFran Anderson'!$L8)</f>
        <v>46200</v>
      </c>
      <c r="M48" s="132" t="str">
        <f aca="false">IF('MaryFran Anderson'!$B8="","",'MaryFran Anderson'!$M8)</f>
        <v>HubSpot drip assets from QC</v>
      </c>
      <c r="N48" s="132" t="str">
        <f aca="false">IF('MaryFran Anderson'!$B8="","",'MaryFran Anderson'!$N8)</f>
        <v>Waiting on HubSpot drip assets from Chadwick</v>
      </c>
      <c r="O48" s="134" t="str">
        <f aca="false">IF('MaryFran Anderson'!$B8="","",'MaryFran Anderson'!$O8)</f>
        <v>Coordinate with QC</v>
      </c>
      <c r="P48" s="132" t="str">
        <f aca="false">IF('MaryFran Anderson'!$B8="","",'MaryFran Anderson'!$P8)</f>
        <v>Unblock drip assets, then define sequence</v>
      </c>
      <c r="Q48" s="131" t="str">
        <f aca="false">IF('MaryFran Anderson'!$B8="","","MaryFran Anderson")</f>
        <v>MaryFran Anderson</v>
      </c>
      <c r="R48" s="131" t="n">
        <f aca="true">IF(OR($B48="",$I48="Complete",$L48=""),0,IF($L48&lt;TODAY(),1,0))</f>
        <v>0</v>
      </c>
      <c r="S48" s="131" t="n">
        <f aca="true">IF(OR($B48="",$I48="Complete",$L48=""),0,IF(AND($L48&gt;=TODAY(),$L48&lt;=TODAY()+7),1,0))</f>
        <v>0</v>
      </c>
      <c r="T48" s="131" t="n">
        <f aca="true">IF(OR($B48="",$L48=""),"",$L48-TODAY())</f>
        <v>30</v>
      </c>
      <c r="U48" s="135" t="n">
        <f aca="false">IF($B48="","",IF($I48="Complete",1,IF($J48="",0,$J48)))</f>
        <v>0.1</v>
      </c>
      <c r="V48" s="131" t="n">
        <f aca="false">IF($B48="",0,IF($N48="",0,1))</f>
        <v>1</v>
      </c>
      <c r="W48" s="131" t="n">
        <f aca="false">IF($B48="",0,1)</f>
        <v>1</v>
      </c>
    </row>
    <row r="49" customFormat="false" ht="15" hidden="false" customHeight="false" outlineLevel="0" collapsed="false">
      <c r="A49" s="131" t="str">
        <f aca="false">IF('MaryFran Anderson'!$B9="","",'MaryFran Anderson'!$A9)</f>
        <v>MFA-005</v>
      </c>
      <c r="B49" s="131" t="str">
        <f aca="false">IF('MaryFran Anderson'!$B9="","",'MaryFran Anderson'!$B9)</f>
        <v>P3-1</v>
      </c>
      <c r="C49" s="132" t="str">
        <f aca="false">IF('MaryFran Anderson'!$B9="","",'MaryFran Anderson'!$C9)</f>
        <v>3 – Broker Channel</v>
      </c>
      <c r="D49" s="132" t="str">
        <f aca="false">IF('MaryFran Anderson'!$B9="","",'MaryFran Anderson'!$D9)</f>
        <v>Assign MaryFran as broker channel owner</v>
      </c>
      <c r="E49" s="132" t="str">
        <f aca="false">IF('MaryFran Anderson'!$B9="","",'MaryFran Anderson'!$E9)</f>
        <v>MaryFran Anderson</v>
      </c>
      <c r="F49" s="132" t="str">
        <f aca="false">IF('MaryFran Anderson'!$B9="","",'MaryFran Anderson'!$F9)</f>
        <v>Owner</v>
      </c>
      <c r="G49" s="132" t="str">
        <f aca="false">IF('MaryFran Anderson'!$B9="","",'MaryFran Anderson'!$G9)</f>
        <v>In-Person Broker D-Day Event Planning</v>
      </c>
      <c r="H49" s="131" t="str">
        <f aca="false">IF('MaryFran Anderson'!$B9="","",'MaryFran Anderson'!$H9)</f>
        <v>Medium</v>
      </c>
      <c r="I49" s="131" t="str">
        <f aca="false">IF('MaryFran Anderson'!$B9="","",'MaryFran Anderson'!$I9)</f>
        <v>Not Started</v>
      </c>
      <c r="J49" s="133" t="n">
        <f aca="false">IF('MaryFran Anderson'!$B9="","",'MaryFran Anderson'!$J9)</f>
        <v>0</v>
      </c>
      <c r="K49" s="134" t="n">
        <f aca="false">IF('MaryFran Anderson'!$B9="","",'MaryFran Anderson'!$K9)</f>
        <v>46188</v>
      </c>
      <c r="L49" s="134" t="n">
        <f aca="false">IF('MaryFran Anderson'!$B9="","",'MaryFran Anderson'!$L9)</f>
        <v>46249</v>
      </c>
      <c r="M49" s="132" t="n">
        <f aca="false">IF('MaryFran Anderson'!$B9="","",'MaryFran Anderson'!$M9)</f>
        <v>0</v>
      </c>
      <c r="N49" s="132" t="n">
        <f aca="false">IF('MaryFran Anderson'!$B9="","",'MaryFran Anderson'!$N9)</f>
        <v>0</v>
      </c>
      <c r="O49" s="134" t="str">
        <f aca="false">IF('MaryFran Anderson'!$B9="","",'MaryFran Anderson'!$O9)</f>
        <v>Not started</v>
      </c>
      <c r="P49" s="132" t="str">
        <f aca="false">IF('MaryFran Anderson'!$B9="","",'MaryFran Anderson'!$P9)</f>
        <v>Draft event concept &amp; budget</v>
      </c>
      <c r="Q49" s="131" t="str">
        <f aca="false">IF('MaryFran Anderson'!$B9="","","MaryFran Anderson")</f>
        <v>MaryFran Anderson</v>
      </c>
      <c r="R49" s="131" t="n">
        <f aca="true">IF(OR($B49="",$I49="Complete",$L49=""),0,IF($L49&lt;TODAY(),1,0))</f>
        <v>0</v>
      </c>
      <c r="S49" s="131" t="n">
        <f aca="true">IF(OR($B49="",$I49="Complete",$L49=""),0,IF(AND($L49&gt;=TODAY(),$L49&lt;=TODAY()+7),1,0))</f>
        <v>0</v>
      </c>
      <c r="T49" s="131" t="n">
        <f aca="true">IF(OR($B49="",$L49=""),"",$L49-TODAY())</f>
        <v>79</v>
      </c>
      <c r="U49" s="135" t="n">
        <f aca="false">IF($B49="","",IF($I49="Complete",1,IF($J49="",0,$J49)))</f>
        <v>0</v>
      </c>
      <c r="V49" s="131" t="n">
        <f aca="false">IF($B49="",0,IF($N49="",0,1))</f>
        <v>0</v>
      </c>
      <c r="W49" s="131" t="n">
        <f aca="false">IF($B49="",0,1)</f>
        <v>1</v>
      </c>
    </row>
    <row r="50" customFormat="false" ht="19.4" hidden="false" customHeight="false" outlineLevel="0" collapsed="false">
      <c r="A50" s="131" t="str">
        <f aca="false">IF('MaryFran Anderson'!$B10="","",'MaryFran Anderson'!$A10)</f>
        <v>MFA-006</v>
      </c>
      <c r="B50" s="131" t="str">
        <f aca="false">IF('MaryFran Anderson'!$B10="","",'MaryFran Anderson'!$B10)</f>
        <v>P3-4</v>
      </c>
      <c r="C50" s="132" t="str">
        <f aca="false">IF('MaryFran Anderson'!$B10="","",'MaryFran Anderson'!$C10)</f>
        <v>3 – Broker Channel</v>
      </c>
      <c r="D50" s="132" t="str">
        <f aca="false">IF('MaryFran Anderson'!$B10="","",'MaryFran Anderson'!$D10)</f>
        <v>Enforce speed-to-lead SLAs</v>
      </c>
      <c r="E50" s="132" t="str">
        <f aca="false">IF('MaryFran Anderson'!$B10="","",'MaryFran Anderson'!$E10)</f>
        <v>MaryFran Anderson</v>
      </c>
      <c r="F50" s="132" t="str">
        <f aca="false">IF('MaryFran Anderson'!$B10="","",'MaryFran Anderson'!$F10)</f>
        <v>Owner</v>
      </c>
      <c r="G50" s="132" t="str">
        <f aca="false">IF('MaryFran Anderson'!$B10="","",'MaryFran Anderson'!$G10)</f>
        <v>Enforce speed-to-lead SLAs</v>
      </c>
      <c r="H50" s="131" t="str">
        <f aca="false">IF('MaryFran Anderson'!$B10="","",'MaryFran Anderson'!$H10)</f>
        <v>High</v>
      </c>
      <c r="I50" s="131" t="str">
        <f aca="false">IF('MaryFran Anderson'!$B10="","",'MaryFran Anderson'!$I10)</f>
        <v>In Progress</v>
      </c>
      <c r="J50" s="133" t="n">
        <f aca="false">IF('MaryFran Anderson'!$B10="","",'MaryFran Anderson'!$J10)</f>
        <v>0.2</v>
      </c>
      <c r="K50" s="134" t="n">
        <f aca="false">IF('MaryFran Anderson'!$B10="","",'MaryFran Anderson'!$K10)</f>
        <v>46162</v>
      </c>
      <c r="L50" s="134" t="n">
        <f aca="false">IF('MaryFran Anderson'!$B10="","",'MaryFran Anderson'!$L10)</f>
        <v>46193</v>
      </c>
      <c r="M50" s="132" t="n">
        <f aca="false">IF('MaryFran Anderson'!$B10="","",'MaryFran Anderson'!$M10)</f>
        <v>0</v>
      </c>
      <c r="N50" s="132" t="n">
        <f aca="false">IF('MaryFran Anderson'!$B10="","",'MaryFran Anderson'!$N10)</f>
        <v>0</v>
      </c>
      <c r="O50" s="134" t="str">
        <f aca="false">IF('MaryFran Anderson'!$B10="","",'MaryFran Anderson'!$O10)</f>
        <v>Defining SLA thresholds</v>
      </c>
      <c r="P50" s="132" t="str">
        <f aca="false">IF('MaryFran Anderson'!$B10="","",'MaryFran Anderson'!$P10)</f>
        <v>Publish SLA standard to broker team</v>
      </c>
      <c r="Q50" s="131" t="str">
        <f aca="false">IF('MaryFran Anderson'!$B10="","","MaryFran Anderson")</f>
        <v>MaryFran Anderson</v>
      </c>
      <c r="R50" s="131" t="n">
        <f aca="true">IF(OR($B50="",$I50="Complete",$L50=""),0,IF($L50&lt;TODAY(),1,0))</f>
        <v>0</v>
      </c>
      <c r="S50" s="131" t="n">
        <f aca="true">IF(OR($B50="",$I50="Complete",$L50=""),0,IF(AND($L50&gt;=TODAY(),$L50&lt;=TODAY()+7),1,0))</f>
        <v>0</v>
      </c>
      <c r="T50" s="131" t="n">
        <f aca="true">IF(OR($B50="",$L50=""),"",$L50-TODAY())</f>
        <v>23</v>
      </c>
      <c r="U50" s="135" t="n">
        <f aca="false">IF($B50="","",IF($I50="Complete",1,IF($J50="",0,$J50)))</f>
        <v>0.2</v>
      </c>
      <c r="V50" s="131" t="n">
        <f aca="false">IF($B50="",0,IF($N50="",0,1))</f>
        <v>0</v>
      </c>
      <c r="W50" s="131" t="n">
        <f aca="false">IF($B50="",0,1)</f>
        <v>1</v>
      </c>
    </row>
    <row r="51" customFormat="false" ht="15" hidden="false" customHeight="false" outlineLevel="0" collapsed="false">
      <c r="A51" s="131" t="str">
        <f aca="false">IF('MaryFran Anderson'!$B11="","",'MaryFran Anderson'!$A11)</f>
        <v/>
      </c>
      <c r="B51" s="131" t="str">
        <f aca="false">IF('MaryFran Anderson'!$B11="","",'MaryFran Anderson'!$B11)</f>
        <v/>
      </c>
      <c r="C51" s="132" t="str">
        <f aca="false">IF('MaryFran Anderson'!$B11="","",'MaryFran Anderson'!$C11)</f>
        <v/>
      </c>
      <c r="D51" s="132" t="str">
        <f aca="false">IF('MaryFran Anderson'!$B11="","",'MaryFran Anderson'!$D11)</f>
        <v/>
      </c>
      <c r="E51" s="132" t="str">
        <f aca="false">IF('MaryFran Anderson'!$B11="","",'MaryFran Anderson'!$E11)</f>
        <v/>
      </c>
      <c r="F51" s="132" t="str">
        <f aca="false">IF('MaryFran Anderson'!$B11="","",'MaryFran Anderson'!$F11)</f>
        <v/>
      </c>
      <c r="G51" s="132" t="str">
        <f aca="false">IF('MaryFran Anderson'!$B11="","",'MaryFran Anderson'!$G11)</f>
        <v/>
      </c>
      <c r="H51" s="131" t="str">
        <f aca="false">IF('MaryFran Anderson'!$B11="","",'MaryFran Anderson'!$H11)</f>
        <v/>
      </c>
      <c r="I51" s="131" t="str">
        <f aca="false">IF('MaryFran Anderson'!$B11="","",'MaryFran Anderson'!$I11)</f>
        <v/>
      </c>
      <c r="J51" s="133" t="str">
        <f aca="false">IF('MaryFran Anderson'!$B11="","",'MaryFran Anderson'!$J11)</f>
        <v/>
      </c>
      <c r="K51" s="134" t="str">
        <f aca="false">IF('MaryFran Anderson'!$B11="","",'MaryFran Anderson'!$K11)</f>
        <v/>
      </c>
      <c r="L51" s="134" t="str">
        <f aca="false">IF('MaryFran Anderson'!$B11="","",'MaryFran Anderson'!$L11)</f>
        <v/>
      </c>
      <c r="M51" s="132" t="str">
        <f aca="false">IF('MaryFran Anderson'!$B11="","",'MaryFran Anderson'!$M11)</f>
        <v/>
      </c>
      <c r="N51" s="132" t="str">
        <f aca="false">IF('MaryFran Anderson'!$B11="","",'MaryFran Anderson'!$N11)</f>
        <v/>
      </c>
      <c r="O51" s="134" t="str">
        <f aca="false">IF('MaryFran Anderson'!$B11="","",'MaryFran Anderson'!$O11)</f>
        <v/>
      </c>
      <c r="P51" s="132" t="str">
        <f aca="false">IF('MaryFran Anderson'!$B11="","",'MaryFran Anderson'!$P11)</f>
        <v/>
      </c>
      <c r="Q51" s="131" t="str">
        <f aca="false">IF('MaryFran Anderson'!$B11="","","MaryFran Anderson")</f>
        <v/>
      </c>
      <c r="R51" s="131" t="n">
        <f aca="true">IF(OR($B51="",$I51="Complete",$L51=""),0,IF($L51&lt;TODAY(),1,0))</f>
        <v>0</v>
      </c>
      <c r="S51" s="131" t="n">
        <f aca="true">IF(OR($B51="",$I51="Complete",$L51=""),0,IF(AND($L51&gt;=TODAY(),$L51&lt;=TODAY()+7),1,0))</f>
        <v>0</v>
      </c>
      <c r="T51" s="131" t="str">
        <f aca="true">IF(OR($B51="",$L51=""),"",$L51-TODAY())</f>
        <v/>
      </c>
      <c r="U51" s="135" t="str">
        <f aca="false">IF($B51="","",IF($I51="Complete",1,IF($J51="",0,$J51)))</f>
        <v/>
      </c>
      <c r="V51" s="131" t="n">
        <f aca="false">IF($B51="",0,IF($N51="",0,1))</f>
        <v>0</v>
      </c>
      <c r="W51" s="131" t="n">
        <f aca="false">IF($B51="",0,1)</f>
        <v>0</v>
      </c>
    </row>
    <row r="52" customFormat="false" ht="15" hidden="false" customHeight="false" outlineLevel="0" collapsed="false">
      <c r="A52" s="131" t="str">
        <f aca="false">IF('MaryFran Anderson'!$B12="","",'MaryFran Anderson'!$A12)</f>
        <v/>
      </c>
      <c r="B52" s="131" t="str">
        <f aca="false">IF('MaryFran Anderson'!$B12="","",'MaryFran Anderson'!$B12)</f>
        <v/>
      </c>
      <c r="C52" s="132" t="str">
        <f aca="false">IF('MaryFran Anderson'!$B12="","",'MaryFran Anderson'!$C12)</f>
        <v/>
      </c>
      <c r="D52" s="132" t="str">
        <f aca="false">IF('MaryFran Anderson'!$B12="","",'MaryFran Anderson'!$D12)</f>
        <v/>
      </c>
      <c r="E52" s="132" t="str">
        <f aca="false">IF('MaryFran Anderson'!$B12="","",'MaryFran Anderson'!$E12)</f>
        <v/>
      </c>
      <c r="F52" s="132" t="str">
        <f aca="false">IF('MaryFran Anderson'!$B12="","",'MaryFran Anderson'!$F12)</f>
        <v/>
      </c>
      <c r="G52" s="132" t="str">
        <f aca="false">IF('MaryFran Anderson'!$B12="","",'MaryFran Anderson'!$G12)</f>
        <v/>
      </c>
      <c r="H52" s="131" t="str">
        <f aca="false">IF('MaryFran Anderson'!$B12="","",'MaryFran Anderson'!$H12)</f>
        <v/>
      </c>
      <c r="I52" s="131" t="str">
        <f aca="false">IF('MaryFran Anderson'!$B12="","",'MaryFran Anderson'!$I12)</f>
        <v/>
      </c>
      <c r="J52" s="133" t="str">
        <f aca="false">IF('MaryFran Anderson'!$B12="","",'MaryFran Anderson'!$J12)</f>
        <v/>
      </c>
      <c r="K52" s="134" t="str">
        <f aca="false">IF('MaryFran Anderson'!$B12="","",'MaryFran Anderson'!$K12)</f>
        <v/>
      </c>
      <c r="L52" s="134" t="str">
        <f aca="false">IF('MaryFran Anderson'!$B12="","",'MaryFran Anderson'!$L12)</f>
        <v/>
      </c>
      <c r="M52" s="132" t="str">
        <f aca="false">IF('MaryFran Anderson'!$B12="","",'MaryFran Anderson'!$M12)</f>
        <v/>
      </c>
      <c r="N52" s="132" t="str">
        <f aca="false">IF('MaryFran Anderson'!$B12="","",'MaryFran Anderson'!$N12)</f>
        <v/>
      </c>
      <c r="O52" s="134" t="str">
        <f aca="false">IF('MaryFran Anderson'!$B12="","",'MaryFran Anderson'!$O12)</f>
        <v/>
      </c>
      <c r="P52" s="132" t="str">
        <f aca="false">IF('MaryFran Anderson'!$B12="","",'MaryFran Anderson'!$P12)</f>
        <v/>
      </c>
      <c r="Q52" s="131" t="str">
        <f aca="false">IF('MaryFran Anderson'!$B12="","","MaryFran Anderson")</f>
        <v/>
      </c>
      <c r="R52" s="131" t="n">
        <f aca="true">IF(OR($B52="",$I52="Complete",$L52=""),0,IF($L52&lt;TODAY(),1,0))</f>
        <v>0</v>
      </c>
      <c r="S52" s="131" t="n">
        <f aca="true">IF(OR($B52="",$I52="Complete",$L52=""),0,IF(AND($L52&gt;=TODAY(),$L52&lt;=TODAY()+7),1,0))</f>
        <v>0</v>
      </c>
      <c r="T52" s="131" t="str">
        <f aca="true">IF(OR($B52="",$L52=""),"",$L52-TODAY())</f>
        <v/>
      </c>
      <c r="U52" s="135" t="str">
        <f aca="false">IF($B52="","",IF($I52="Complete",1,IF($J52="",0,$J52)))</f>
        <v/>
      </c>
      <c r="V52" s="131" t="n">
        <f aca="false">IF($B52="",0,IF($N52="",0,1))</f>
        <v>0</v>
      </c>
      <c r="W52" s="131" t="n">
        <f aca="false">IF($B52="",0,1)</f>
        <v>0</v>
      </c>
    </row>
    <row r="53" customFormat="false" ht="15" hidden="false" customHeight="false" outlineLevel="0" collapsed="false">
      <c r="A53" s="131" t="str">
        <f aca="false">IF('MaryFran Anderson'!$B13="","",'MaryFran Anderson'!$A13)</f>
        <v/>
      </c>
      <c r="B53" s="131" t="str">
        <f aca="false">IF('MaryFran Anderson'!$B13="","",'MaryFran Anderson'!$B13)</f>
        <v/>
      </c>
      <c r="C53" s="132" t="str">
        <f aca="false">IF('MaryFran Anderson'!$B13="","",'MaryFran Anderson'!$C13)</f>
        <v/>
      </c>
      <c r="D53" s="132" t="str">
        <f aca="false">IF('MaryFran Anderson'!$B13="","",'MaryFran Anderson'!$D13)</f>
        <v/>
      </c>
      <c r="E53" s="132" t="str">
        <f aca="false">IF('MaryFran Anderson'!$B13="","",'MaryFran Anderson'!$E13)</f>
        <v/>
      </c>
      <c r="F53" s="132" t="str">
        <f aca="false">IF('MaryFran Anderson'!$B13="","",'MaryFran Anderson'!$F13)</f>
        <v/>
      </c>
      <c r="G53" s="132" t="str">
        <f aca="false">IF('MaryFran Anderson'!$B13="","",'MaryFran Anderson'!$G13)</f>
        <v/>
      </c>
      <c r="H53" s="131" t="str">
        <f aca="false">IF('MaryFran Anderson'!$B13="","",'MaryFran Anderson'!$H13)</f>
        <v/>
      </c>
      <c r="I53" s="131" t="str">
        <f aca="false">IF('MaryFran Anderson'!$B13="","",'MaryFran Anderson'!$I13)</f>
        <v/>
      </c>
      <c r="J53" s="133" t="str">
        <f aca="false">IF('MaryFran Anderson'!$B13="","",'MaryFran Anderson'!$J13)</f>
        <v/>
      </c>
      <c r="K53" s="134" t="str">
        <f aca="false">IF('MaryFran Anderson'!$B13="","",'MaryFran Anderson'!$K13)</f>
        <v/>
      </c>
      <c r="L53" s="134" t="str">
        <f aca="false">IF('MaryFran Anderson'!$B13="","",'MaryFran Anderson'!$L13)</f>
        <v/>
      </c>
      <c r="M53" s="132" t="str">
        <f aca="false">IF('MaryFran Anderson'!$B13="","",'MaryFran Anderson'!$M13)</f>
        <v/>
      </c>
      <c r="N53" s="132" t="str">
        <f aca="false">IF('MaryFran Anderson'!$B13="","",'MaryFran Anderson'!$N13)</f>
        <v/>
      </c>
      <c r="O53" s="134" t="str">
        <f aca="false">IF('MaryFran Anderson'!$B13="","",'MaryFran Anderson'!$O13)</f>
        <v/>
      </c>
      <c r="P53" s="132" t="str">
        <f aca="false">IF('MaryFran Anderson'!$B13="","",'MaryFran Anderson'!$P13)</f>
        <v/>
      </c>
      <c r="Q53" s="131" t="str">
        <f aca="false">IF('MaryFran Anderson'!$B13="","","MaryFran Anderson")</f>
        <v/>
      </c>
      <c r="R53" s="131" t="n">
        <f aca="true">IF(OR($B53="",$I53="Complete",$L53=""),0,IF($L53&lt;TODAY(),1,0))</f>
        <v>0</v>
      </c>
      <c r="S53" s="131" t="n">
        <f aca="true">IF(OR($B53="",$I53="Complete",$L53=""),0,IF(AND($L53&gt;=TODAY(),$L53&lt;=TODAY()+7),1,0))</f>
        <v>0</v>
      </c>
      <c r="T53" s="131" t="str">
        <f aca="true">IF(OR($B53="",$L53=""),"",$L53-TODAY())</f>
        <v/>
      </c>
      <c r="U53" s="135" t="str">
        <f aca="false">IF($B53="","",IF($I53="Complete",1,IF($J53="",0,$J53)))</f>
        <v/>
      </c>
      <c r="V53" s="131" t="n">
        <f aca="false">IF($B53="",0,IF($N53="",0,1))</f>
        <v>0</v>
      </c>
      <c r="W53" s="131" t="n">
        <f aca="false">IF($B53="",0,1)</f>
        <v>0</v>
      </c>
    </row>
    <row r="54" customFormat="false" ht="15" hidden="false" customHeight="false" outlineLevel="0" collapsed="false">
      <c r="A54" s="131" t="str">
        <f aca="false">IF('MaryFran Anderson'!$B14="","",'MaryFran Anderson'!$A14)</f>
        <v/>
      </c>
      <c r="B54" s="131" t="str">
        <f aca="false">IF('MaryFran Anderson'!$B14="","",'MaryFran Anderson'!$B14)</f>
        <v/>
      </c>
      <c r="C54" s="132" t="str">
        <f aca="false">IF('MaryFran Anderson'!$B14="","",'MaryFran Anderson'!$C14)</f>
        <v/>
      </c>
      <c r="D54" s="132" t="str">
        <f aca="false">IF('MaryFran Anderson'!$B14="","",'MaryFran Anderson'!$D14)</f>
        <v/>
      </c>
      <c r="E54" s="132" t="str">
        <f aca="false">IF('MaryFran Anderson'!$B14="","",'MaryFran Anderson'!$E14)</f>
        <v/>
      </c>
      <c r="F54" s="132" t="str">
        <f aca="false">IF('MaryFran Anderson'!$B14="","",'MaryFran Anderson'!$F14)</f>
        <v/>
      </c>
      <c r="G54" s="132" t="str">
        <f aca="false">IF('MaryFran Anderson'!$B14="","",'MaryFran Anderson'!$G14)</f>
        <v/>
      </c>
      <c r="H54" s="131" t="str">
        <f aca="false">IF('MaryFran Anderson'!$B14="","",'MaryFran Anderson'!$H14)</f>
        <v/>
      </c>
      <c r="I54" s="131" t="str">
        <f aca="false">IF('MaryFran Anderson'!$B14="","",'MaryFran Anderson'!$I14)</f>
        <v/>
      </c>
      <c r="J54" s="133" t="str">
        <f aca="false">IF('MaryFran Anderson'!$B14="","",'MaryFran Anderson'!$J14)</f>
        <v/>
      </c>
      <c r="K54" s="134" t="str">
        <f aca="false">IF('MaryFran Anderson'!$B14="","",'MaryFran Anderson'!$K14)</f>
        <v/>
      </c>
      <c r="L54" s="134" t="str">
        <f aca="false">IF('MaryFran Anderson'!$B14="","",'MaryFran Anderson'!$L14)</f>
        <v/>
      </c>
      <c r="M54" s="132" t="str">
        <f aca="false">IF('MaryFran Anderson'!$B14="","",'MaryFran Anderson'!$M14)</f>
        <v/>
      </c>
      <c r="N54" s="132" t="str">
        <f aca="false">IF('MaryFran Anderson'!$B14="","",'MaryFran Anderson'!$N14)</f>
        <v/>
      </c>
      <c r="O54" s="134" t="str">
        <f aca="false">IF('MaryFran Anderson'!$B14="","",'MaryFran Anderson'!$O14)</f>
        <v/>
      </c>
      <c r="P54" s="132" t="str">
        <f aca="false">IF('MaryFran Anderson'!$B14="","",'MaryFran Anderson'!$P14)</f>
        <v/>
      </c>
      <c r="Q54" s="131" t="str">
        <f aca="false">IF('MaryFran Anderson'!$B14="","","MaryFran Anderson")</f>
        <v/>
      </c>
      <c r="R54" s="131" t="n">
        <f aca="true">IF(OR($B54="",$I54="Complete",$L54=""),0,IF($L54&lt;TODAY(),1,0))</f>
        <v>0</v>
      </c>
      <c r="S54" s="131" t="n">
        <f aca="true">IF(OR($B54="",$I54="Complete",$L54=""),0,IF(AND($L54&gt;=TODAY(),$L54&lt;=TODAY()+7),1,0))</f>
        <v>0</v>
      </c>
      <c r="T54" s="131" t="str">
        <f aca="true">IF(OR($B54="",$L54=""),"",$L54-TODAY())</f>
        <v/>
      </c>
      <c r="U54" s="135" t="str">
        <f aca="false">IF($B54="","",IF($I54="Complete",1,IF($J54="",0,$J54)))</f>
        <v/>
      </c>
      <c r="V54" s="131" t="n">
        <f aca="false">IF($B54="",0,IF($N54="",0,1))</f>
        <v>0</v>
      </c>
      <c r="W54" s="131" t="n">
        <f aca="false">IF($B54="",0,1)</f>
        <v>0</v>
      </c>
    </row>
    <row r="55" customFormat="false" ht="15" hidden="false" customHeight="false" outlineLevel="0" collapsed="false">
      <c r="A55" s="131" t="str">
        <f aca="false">IF('MaryFran Anderson'!$B15="","",'MaryFran Anderson'!$A15)</f>
        <v/>
      </c>
      <c r="B55" s="131" t="str">
        <f aca="false">IF('MaryFran Anderson'!$B15="","",'MaryFran Anderson'!$B15)</f>
        <v/>
      </c>
      <c r="C55" s="132" t="str">
        <f aca="false">IF('MaryFran Anderson'!$B15="","",'MaryFran Anderson'!$C15)</f>
        <v/>
      </c>
      <c r="D55" s="132" t="str">
        <f aca="false">IF('MaryFran Anderson'!$B15="","",'MaryFran Anderson'!$D15)</f>
        <v/>
      </c>
      <c r="E55" s="132" t="str">
        <f aca="false">IF('MaryFran Anderson'!$B15="","",'MaryFran Anderson'!$E15)</f>
        <v/>
      </c>
      <c r="F55" s="132" t="str">
        <f aca="false">IF('MaryFran Anderson'!$B15="","",'MaryFran Anderson'!$F15)</f>
        <v/>
      </c>
      <c r="G55" s="132" t="str">
        <f aca="false">IF('MaryFran Anderson'!$B15="","",'MaryFran Anderson'!$G15)</f>
        <v/>
      </c>
      <c r="H55" s="131" t="str">
        <f aca="false">IF('MaryFran Anderson'!$B15="","",'MaryFran Anderson'!$H15)</f>
        <v/>
      </c>
      <c r="I55" s="131" t="str">
        <f aca="false">IF('MaryFran Anderson'!$B15="","",'MaryFran Anderson'!$I15)</f>
        <v/>
      </c>
      <c r="J55" s="133" t="str">
        <f aca="false">IF('MaryFran Anderson'!$B15="","",'MaryFran Anderson'!$J15)</f>
        <v/>
      </c>
      <c r="K55" s="134" t="str">
        <f aca="false">IF('MaryFran Anderson'!$B15="","",'MaryFran Anderson'!$K15)</f>
        <v/>
      </c>
      <c r="L55" s="134" t="str">
        <f aca="false">IF('MaryFran Anderson'!$B15="","",'MaryFran Anderson'!$L15)</f>
        <v/>
      </c>
      <c r="M55" s="132" t="str">
        <f aca="false">IF('MaryFran Anderson'!$B15="","",'MaryFran Anderson'!$M15)</f>
        <v/>
      </c>
      <c r="N55" s="132" t="str">
        <f aca="false">IF('MaryFran Anderson'!$B15="","",'MaryFran Anderson'!$N15)</f>
        <v/>
      </c>
      <c r="O55" s="134" t="str">
        <f aca="false">IF('MaryFran Anderson'!$B15="","",'MaryFran Anderson'!$O15)</f>
        <v/>
      </c>
      <c r="P55" s="132" t="str">
        <f aca="false">IF('MaryFran Anderson'!$B15="","",'MaryFran Anderson'!$P15)</f>
        <v/>
      </c>
      <c r="Q55" s="131" t="str">
        <f aca="false">IF('MaryFran Anderson'!$B15="","","MaryFran Anderson")</f>
        <v/>
      </c>
      <c r="R55" s="131" t="n">
        <f aca="true">IF(OR($B55="",$I55="Complete",$L55=""),0,IF($L55&lt;TODAY(),1,0))</f>
        <v>0</v>
      </c>
      <c r="S55" s="131" t="n">
        <f aca="true">IF(OR($B55="",$I55="Complete",$L55=""),0,IF(AND($L55&gt;=TODAY(),$L55&lt;=TODAY()+7),1,0))</f>
        <v>0</v>
      </c>
      <c r="T55" s="131" t="str">
        <f aca="true">IF(OR($B55="",$L55=""),"",$L55-TODAY())</f>
        <v/>
      </c>
      <c r="U55" s="135" t="str">
        <f aca="false">IF($B55="","",IF($I55="Complete",1,IF($J55="",0,$J55)))</f>
        <v/>
      </c>
      <c r="V55" s="131" t="n">
        <f aca="false">IF($B55="",0,IF($N55="",0,1))</f>
        <v>0</v>
      </c>
      <c r="W55" s="131" t="n">
        <f aca="false">IF($B55="",0,1)</f>
        <v>0</v>
      </c>
    </row>
    <row r="56" customFormat="false" ht="15" hidden="false" customHeight="false" outlineLevel="0" collapsed="false">
      <c r="A56" s="131" t="str">
        <f aca="false">IF('MaryFran Anderson'!$B16="","",'MaryFran Anderson'!$A16)</f>
        <v/>
      </c>
      <c r="B56" s="131" t="str">
        <f aca="false">IF('MaryFran Anderson'!$B16="","",'MaryFran Anderson'!$B16)</f>
        <v/>
      </c>
      <c r="C56" s="132" t="str">
        <f aca="false">IF('MaryFran Anderson'!$B16="","",'MaryFran Anderson'!$C16)</f>
        <v/>
      </c>
      <c r="D56" s="132" t="str">
        <f aca="false">IF('MaryFran Anderson'!$B16="","",'MaryFran Anderson'!$D16)</f>
        <v/>
      </c>
      <c r="E56" s="132" t="str">
        <f aca="false">IF('MaryFran Anderson'!$B16="","",'MaryFran Anderson'!$E16)</f>
        <v/>
      </c>
      <c r="F56" s="132" t="str">
        <f aca="false">IF('MaryFran Anderson'!$B16="","",'MaryFran Anderson'!$F16)</f>
        <v/>
      </c>
      <c r="G56" s="132" t="str">
        <f aca="false">IF('MaryFran Anderson'!$B16="","",'MaryFran Anderson'!$G16)</f>
        <v/>
      </c>
      <c r="H56" s="131" t="str">
        <f aca="false">IF('MaryFran Anderson'!$B16="","",'MaryFran Anderson'!$H16)</f>
        <v/>
      </c>
      <c r="I56" s="131" t="str">
        <f aca="false">IF('MaryFran Anderson'!$B16="","",'MaryFran Anderson'!$I16)</f>
        <v/>
      </c>
      <c r="J56" s="133" t="str">
        <f aca="false">IF('MaryFran Anderson'!$B16="","",'MaryFran Anderson'!$J16)</f>
        <v/>
      </c>
      <c r="K56" s="134" t="str">
        <f aca="false">IF('MaryFran Anderson'!$B16="","",'MaryFran Anderson'!$K16)</f>
        <v/>
      </c>
      <c r="L56" s="134" t="str">
        <f aca="false">IF('MaryFran Anderson'!$B16="","",'MaryFran Anderson'!$L16)</f>
        <v/>
      </c>
      <c r="M56" s="132" t="str">
        <f aca="false">IF('MaryFran Anderson'!$B16="","",'MaryFran Anderson'!$M16)</f>
        <v/>
      </c>
      <c r="N56" s="132" t="str">
        <f aca="false">IF('MaryFran Anderson'!$B16="","",'MaryFran Anderson'!$N16)</f>
        <v/>
      </c>
      <c r="O56" s="134" t="str">
        <f aca="false">IF('MaryFran Anderson'!$B16="","",'MaryFran Anderson'!$O16)</f>
        <v/>
      </c>
      <c r="P56" s="132" t="str">
        <f aca="false">IF('MaryFran Anderson'!$B16="","",'MaryFran Anderson'!$P16)</f>
        <v/>
      </c>
      <c r="Q56" s="131" t="str">
        <f aca="false">IF('MaryFran Anderson'!$B16="","","MaryFran Anderson")</f>
        <v/>
      </c>
      <c r="R56" s="131" t="n">
        <f aca="true">IF(OR($B56="",$I56="Complete",$L56=""),0,IF($L56&lt;TODAY(),1,0))</f>
        <v>0</v>
      </c>
      <c r="S56" s="131" t="n">
        <f aca="true">IF(OR($B56="",$I56="Complete",$L56=""),0,IF(AND($L56&gt;=TODAY(),$L56&lt;=TODAY()+7),1,0))</f>
        <v>0</v>
      </c>
      <c r="T56" s="131" t="str">
        <f aca="true">IF(OR($B56="",$L56=""),"",$L56-TODAY())</f>
        <v/>
      </c>
      <c r="U56" s="135" t="str">
        <f aca="false">IF($B56="","",IF($I56="Complete",1,IF($J56="",0,$J56)))</f>
        <v/>
      </c>
      <c r="V56" s="131" t="n">
        <f aca="false">IF($B56="",0,IF($N56="",0,1))</f>
        <v>0</v>
      </c>
      <c r="W56" s="131" t="n">
        <f aca="false">IF($B56="",0,1)</f>
        <v>0</v>
      </c>
    </row>
    <row r="57" customFormat="false" ht="15" hidden="false" customHeight="false" outlineLevel="0" collapsed="false">
      <c r="A57" s="131" t="str">
        <f aca="false">IF('MaryFran Anderson'!$B17="","",'MaryFran Anderson'!$A17)</f>
        <v/>
      </c>
      <c r="B57" s="131" t="str">
        <f aca="false">IF('MaryFran Anderson'!$B17="","",'MaryFran Anderson'!$B17)</f>
        <v/>
      </c>
      <c r="C57" s="132" t="str">
        <f aca="false">IF('MaryFran Anderson'!$B17="","",'MaryFran Anderson'!$C17)</f>
        <v/>
      </c>
      <c r="D57" s="132" t="str">
        <f aca="false">IF('MaryFran Anderson'!$B17="","",'MaryFran Anderson'!$D17)</f>
        <v/>
      </c>
      <c r="E57" s="132" t="str">
        <f aca="false">IF('MaryFran Anderson'!$B17="","",'MaryFran Anderson'!$E17)</f>
        <v/>
      </c>
      <c r="F57" s="132" t="str">
        <f aca="false">IF('MaryFran Anderson'!$B17="","",'MaryFran Anderson'!$F17)</f>
        <v/>
      </c>
      <c r="G57" s="132" t="str">
        <f aca="false">IF('MaryFran Anderson'!$B17="","",'MaryFran Anderson'!$G17)</f>
        <v/>
      </c>
      <c r="H57" s="131" t="str">
        <f aca="false">IF('MaryFran Anderson'!$B17="","",'MaryFran Anderson'!$H17)</f>
        <v/>
      </c>
      <c r="I57" s="131" t="str">
        <f aca="false">IF('MaryFran Anderson'!$B17="","",'MaryFran Anderson'!$I17)</f>
        <v/>
      </c>
      <c r="J57" s="133" t="str">
        <f aca="false">IF('MaryFran Anderson'!$B17="","",'MaryFran Anderson'!$J17)</f>
        <v/>
      </c>
      <c r="K57" s="134" t="str">
        <f aca="false">IF('MaryFran Anderson'!$B17="","",'MaryFran Anderson'!$K17)</f>
        <v/>
      </c>
      <c r="L57" s="134" t="str">
        <f aca="false">IF('MaryFran Anderson'!$B17="","",'MaryFran Anderson'!$L17)</f>
        <v/>
      </c>
      <c r="M57" s="132" t="str">
        <f aca="false">IF('MaryFran Anderson'!$B17="","",'MaryFran Anderson'!$M17)</f>
        <v/>
      </c>
      <c r="N57" s="132" t="str">
        <f aca="false">IF('MaryFran Anderson'!$B17="","",'MaryFran Anderson'!$N17)</f>
        <v/>
      </c>
      <c r="O57" s="134" t="str">
        <f aca="false">IF('MaryFran Anderson'!$B17="","",'MaryFran Anderson'!$O17)</f>
        <v/>
      </c>
      <c r="P57" s="132" t="str">
        <f aca="false">IF('MaryFran Anderson'!$B17="","",'MaryFran Anderson'!$P17)</f>
        <v/>
      </c>
      <c r="Q57" s="131" t="str">
        <f aca="false">IF('MaryFran Anderson'!$B17="","","MaryFran Anderson")</f>
        <v/>
      </c>
      <c r="R57" s="131" t="n">
        <f aca="true">IF(OR($B57="",$I57="Complete",$L57=""),0,IF($L57&lt;TODAY(),1,0))</f>
        <v>0</v>
      </c>
      <c r="S57" s="131" t="n">
        <f aca="true">IF(OR($B57="",$I57="Complete",$L57=""),0,IF(AND($L57&gt;=TODAY(),$L57&lt;=TODAY()+7),1,0))</f>
        <v>0</v>
      </c>
      <c r="T57" s="131" t="str">
        <f aca="true">IF(OR($B57="",$L57=""),"",$L57-TODAY())</f>
        <v/>
      </c>
      <c r="U57" s="135" t="str">
        <f aca="false">IF($B57="","",IF($I57="Complete",1,IF($J57="",0,$J57)))</f>
        <v/>
      </c>
      <c r="V57" s="131" t="n">
        <f aca="false">IF($B57="",0,IF($N57="",0,1))</f>
        <v>0</v>
      </c>
      <c r="W57" s="131" t="n">
        <f aca="false">IF($B57="",0,1)</f>
        <v>0</v>
      </c>
    </row>
    <row r="58" customFormat="false" ht="15" hidden="false" customHeight="false" outlineLevel="0" collapsed="false">
      <c r="A58" s="131" t="str">
        <f aca="false">IF('MaryFran Anderson'!$B18="","",'MaryFran Anderson'!$A18)</f>
        <v/>
      </c>
      <c r="B58" s="131" t="str">
        <f aca="false">IF('MaryFran Anderson'!$B18="","",'MaryFran Anderson'!$B18)</f>
        <v/>
      </c>
      <c r="C58" s="132" t="str">
        <f aca="false">IF('MaryFran Anderson'!$B18="","",'MaryFran Anderson'!$C18)</f>
        <v/>
      </c>
      <c r="D58" s="132" t="str">
        <f aca="false">IF('MaryFran Anderson'!$B18="","",'MaryFran Anderson'!$D18)</f>
        <v/>
      </c>
      <c r="E58" s="132" t="str">
        <f aca="false">IF('MaryFran Anderson'!$B18="","",'MaryFran Anderson'!$E18)</f>
        <v/>
      </c>
      <c r="F58" s="132" t="str">
        <f aca="false">IF('MaryFran Anderson'!$B18="","",'MaryFran Anderson'!$F18)</f>
        <v/>
      </c>
      <c r="G58" s="132" t="str">
        <f aca="false">IF('MaryFran Anderson'!$B18="","",'MaryFran Anderson'!$G18)</f>
        <v/>
      </c>
      <c r="H58" s="131" t="str">
        <f aca="false">IF('MaryFran Anderson'!$B18="","",'MaryFran Anderson'!$H18)</f>
        <v/>
      </c>
      <c r="I58" s="131" t="str">
        <f aca="false">IF('MaryFran Anderson'!$B18="","",'MaryFran Anderson'!$I18)</f>
        <v/>
      </c>
      <c r="J58" s="133" t="str">
        <f aca="false">IF('MaryFran Anderson'!$B18="","",'MaryFran Anderson'!$J18)</f>
        <v/>
      </c>
      <c r="K58" s="134" t="str">
        <f aca="false">IF('MaryFran Anderson'!$B18="","",'MaryFran Anderson'!$K18)</f>
        <v/>
      </c>
      <c r="L58" s="134" t="str">
        <f aca="false">IF('MaryFran Anderson'!$B18="","",'MaryFran Anderson'!$L18)</f>
        <v/>
      </c>
      <c r="M58" s="132" t="str">
        <f aca="false">IF('MaryFran Anderson'!$B18="","",'MaryFran Anderson'!$M18)</f>
        <v/>
      </c>
      <c r="N58" s="132" t="str">
        <f aca="false">IF('MaryFran Anderson'!$B18="","",'MaryFran Anderson'!$N18)</f>
        <v/>
      </c>
      <c r="O58" s="134" t="str">
        <f aca="false">IF('MaryFran Anderson'!$B18="","",'MaryFran Anderson'!$O18)</f>
        <v/>
      </c>
      <c r="P58" s="132" t="str">
        <f aca="false">IF('MaryFran Anderson'!$B18="","",'MaryFran Anderson'!$P18)</f>
        <v/>
      </c>
      <c r="Q58" s="131" t="str">
        <f aca="false">IF('MaryFran Anderson'!$B18="","","MaryFran Anderson")</f>
        <v/>
      </c>
      <c r="R58" s="131" t="n">
        <f aca="true">IF(OR($B58="",$I58="Complete",$L58=""),0,IF($L58&lt;TODAY(),1,0))</f>
        <v>0</v>
      </c>
      <c r="S58" s="131" t="n">
        <f aca="true">IF(OR($B58="",$I58="Complete",$L58=""),0,IF(AND($L58&gt;=TODAY(),$L58&lt;=TODAY()+7),1,0))</f>
        <v>0</v>
      </c>
      <c r="T58" s="131" t="str">
        <f aca="true">IF(OR($B58="",$L58=""),"",$L58-TODAY())</f>
        <v/>
      </c>
      <c r="U58" s="135" t="str">
        <f aca="false">IF($B58="","",IF($I58="Complete",1,IF($J58="",0,$J58)))</f>
        <v/>
      </c>
      <c r="V58" s="131" t="n">
        <f aca="false">IF($B58="",0,IF($N58="",0,1))</f>
        <v>0</v>
      </c>
      <c r="W58" s="131" t="n">
        <f aca="false">IF($B58="",0,1)</f>
        <v>0</v>
      </c>
    </row>
    <row r="59" customFormat="false" ht="15" hidden="false" customHeight="false" outlineLevel="0" collapsed="false">
      <c r="A59" s="131" t="str">
        <f aca="false">IF('MaryFran Anderson'!$B19="","",'MaryFran Anderson'!$A19)</f>
        <v/>
      </c>
      <c r="B59" s="131" t="str">
        <f aca="false">IF('MaryFran Anderson'!$B19="","",'MaryFran Anderson'!$B19)</f>
        <v/>
      </c>
      <c r="C59" s="132" t="str">
        <f aca="false">IF('MaryFran Anderson'!$B19="","",'MaryFran Anderson'!$C19)</f>
        <v/>
      </c>
      <c r="D59" s="132" t="str">
        <f aca="false">IF('MaryFran Anderson'!$B19="","",'MaryFran Anderson'!$D19)</f>
        <v/>
      </c>
      <c r="E59" s="132" t="str">
        <f aca="false">IF('MaryFran Anderson'!$B19="","",'MaryFran Anderson'!$E19)</f>
        <v/>
      </c>
      <c r="F59" s="132" t="str">
        <f aca="false">IF('MaryFran Anderson'!$B19="","",'MaryFran Anderson'!$F19)</f>
        <v/>
      </c>
      <c r="G59" s="132" t="str">
        <f aca="false">IF('MaryFran Anderson'!$B19="","",'MaryFran Anderson'!$G19)</f>
        <v/>
      </c>
      <c r="H59" s="131" t="str">
        <f aca="false">IF('MaryFran Anderson'!$B19="","",'MaryFran Anderson'!$H19)</f>
        <v/>
      </c>
      <c r="I59" s="131" t="str">
        <f aca="false">IF('MaryFran Anderson'!$B19="","",'MaryFran Anderson'!$I19)</f>
        <v/>
      </c>
      <c r="J59" s="133" t="str">
        <f aca="false">IF('MaryFran Anderson'!$B19="","",'MaryFran Anderson'!$J19)</f>
        <v/>
      </c>
      <c r="K59" s="134" t="str">
        <f aca="false">IF('MaryFran Anderson'!$B19="","",'MaryFran Anderson'!$K19)</f>
        <v/>
      </c>
      <c r="L59" s="134" t="str">
        <f aca="false">IF('MaryFran Anderson'!$B19="","",'MaryFran Anderson'!$L19)</f>
        <v/>
      </c>
      <c r="M59" s="132" t="str">
        <f aca="false">IF('MaryFran Anderson'!$B19="","",'MaryFran Anderson'!$M19)</f>
        <v/>
      </c>
      <c r="N59" s="132" t="str">
        <f aca="false">IF('MaryFran Anderson'!$B19="","",'MaryFran Anderson'!$N19)</f>
        <v/>
      </c>
      <c r="O59" s="134" t="str">
        <f aca="false">IF('MaryFran Anderson'!$B19="","",'MaryFran Anderson'!$O19)</f>
        <v/>
      </c>
      <c r="P59" s="132" t="str">
        <f aca="false">IF('MaryFran Anderson'!$B19="","",'MaryFran Anderson'!$P19)</f>
        <v/>
      </c>
      <c r="Q59" s="131" t="str">
        <f aca="false">IF('MaryFran Anderson'!$B19="","","MaryFran Anderson")</f>
        <v/>
      </c>
      <c r="R59" s="131" t="n">
        <f aca="true">IF(OR($B59="",$I59="Complete",$L59=""),0,IF($L59&lt;TODAY(),1,0))</f>
        <v>0</v>
      </c>
      <c r="S59" s="131" t="n">
        <f aca="true">IF(OR($B59="",$I59="Complete",$L59=""),0,IF(AND($L59&gt;=TODAY(),$L59&lt;=TODAY()+7),1,0))</f>
        <v>0</v>
      </c>
      <c r="T59" s="131" t="str">
        <f aca="true">IF(OR($B59="",$L59=""),"",$L59-TODAY())</f>
        <v/>
      </c>
      <c r="U59" s="135" t="str">
        <f aca="false">IF($B59="","",IF($I59="Complete",1,IF($J59="",0,$J59)))</f>
        <v/>
      </c>
      <c r="V59" s="131" t="n">
        <f aca="false">IF($B59="",0,IF($N59="",0,1))</f>
        <v>0</v>
      </c>
      <c r="W59" s="131" t="n">
        <f aca="false">IF($B59="",0,1)</f>
        <v>0</v>
      </c>
    </row>
    <row r="60" customFormat="false" ht="15" hidden="false" customHeight="false" outlineLevel="0" collapsed="false">
      <c r="A60" s="131" t="str">
        <f aca="false">IF('MaryFran Anderson'!$B20="","",'MaryFran Anderson'!$A20)</f>
        <v/>
      </c>
      <c r="B60" s="131" t="str">
        <f aca="false">IF('MaryFran Anderson'!$B20="","",'MaryFran Anderson'!$B20)</f>
        <v/>
      </c>
      <c r="C60" s="132" t="str">
        <f aca="false">IF('MaryFran Anderson'!$B20="","",'MaryFran Anderson'!$C20)</f>
        <v/>
      </c>
      <c r="D60" s="132" t="str">
        <f aca="false">IF('MaryFran Anderson'!$B20="","",'MaryFran Anderson'!$D20)</f>
        <v/>
      </c>
      <c r="E60" s="132" t="str">
        <f aca="false">IF('MaryFran Anderson'!$B20="","",'MaryFran Anderson'!$E20)</f>
        <v/>
      </c>
      <c r="F60" s="132" t="str">
        <f aca="false">IF('MaryFran Anderson'!$B20="","",'MaryFran Anderson'!$F20)</f>
        <v/>
      </c>
      <c r="G60" s="132" t="str">
        <f aca="false">IF('MaryFran Anderson'!$B20="","",'MaryFran Anderson'!$G20)</f>
        <v/>
      </c>
      <c r="H60" s="131" t="str">
        <f aca="false">IF('MaryFran Anderson'!$B20="","",'MaryFran Anderson'!$H20)</f>
        <v/>
      </c>
      <c r="I60" s="131" t="str">
        <f aca="false">IF('MaryFran Anderson'!$B20="","",'MaryFran Anderson'!$I20)</f>
        <v/>
      </c>
      <c r="J60" s="133" t="str">
        <f aca="false">IF('MaryFran Anderson'!$B20="","",'MaryFran Anderson'!$J20)</f>
        <v/>
      </c>
      <c r="K60" s="134" t="str">
        <f aca="false">IF('MaryFran Anderson'!$B20="","",'MaryFran Anderson'!$K20)</f>
        <v/>
      </c>
      <c r="L60" s="134" t="str">
        <f aca="false">IF('MaryFran Anderson'!$B20="","",'MaryFran Anderson'!$L20)</f>
        <v/>
      </c>
      <c r="M60" s="132" t="str">
        <f aca="false">IF('MaryFran Anderson'!$B20="","",'MaryFran Anderson'!$M20)</f>
        <v/>
      </c>
      <c r="N60" s="132" t="str">
        <f aca="false">IF('MaryFran Anderson'!$B20="","",'MaryFran Anderson'!$N20)</f>
        <v/>
      </c>
      <c r="O60" s="134" t="str">
        <f aca="false">IF('MaryFran Anderson'!$B20="","",'MaryFran Anderson'!$O20)</f>
        <v/>
      </c>
      <c r="P60" s="132" t="str">
        <f aca="false">IF('MaryFran Anderson'!$B20="","",'MaryFran Anderson'!$P20)</f>
        <v/>
      </c>
      <c r="Q60" s="131" t="str">
        <f aca="false">IF('MaryFran Anderson'!$B20="","","MaryFran Anderson")</f>
        <v/>
      </c>
      <c r="R60" s="131" t="n">
        <f aca="true">IF(OR($B60="",$I60="Complete",$L60=""),0,IF($L60&lt;TODAY(),1,0))</f>
        <v>0</v>
      </c>
      <c r="S60" s="131" t="n">
        <f aca="true">IF(OR($B60="",$I60="Complete",$L60=""),0,IF(AND($L60&gt;=TODAY(),$L60&lt;=TODAY()+7),1,0))</f>
        <v>0</v>
      </c>
      <c r="T60" s="131" t="str">
        <f aca="true">IF(OR($B60="",$L60=""),"",$L60-TODAY())</f>
        <v/>
      </c>
      <c r="U60" s="135" t="str">
        <f aca="false">IF($B60="","",IF($I60="Complete",1,IF($J60="",0,$J60)))</f>
        <v/>
      </c>
      <c r="V60" s="131" t="n">
        <f aca="false">IF($B60="",0,IF($N60="",0,1))</f>
        <v>0</v>
      </c>
      <c r="W60" s="131" t="n">
        <f aca="false">IF($B60="",0,1)</f>
        <v>0</v>
      </c>
    </row>
    <row r="61" customFormat="false" ht="15" hidden="false" customHeight="false" outlineLevel="0" collapsed="false">
      <c r="A61" s="131" t="str">
        <f aca="false">IF('MaryFran Anderson'!$B21="","",'MaryFran Anderson'!$A21)</f>
        <v/>
      </c>
      <c r="B61" s="131" t="str">
        <f aca="false">IF('MaryFran Anderson'!$B21="","",'MaryFran Anderson'!$B21)</f>
        <v/>
      </c>
      <c r="C61" s="132" t="str">
        <f aca="false">IF('MaryFran Anderson'!$B21="","",'MaryFran Anderson'!$C21)</f>
        <v/>
      </c>
      <c r="D61" s="132" t="str">
        <f aca="false">IF('MaryFran Anderson'!$B21="","",'MaryFran Anderson'!$D21)</f>
        <v/>
      </c>
      <c r="E61" s="132" t="str">
        <f aca="false">IF('MaryFran Anderson'!$B21="","",'MaryFran Anderson'!$E21)</f>
        <v/>
      </c>
      <c r="F61" s="132" t="str">
        <f aca="false">IF('MaryFran Anderson'!$B21="","",'MaryFran Anderson'!$F21)</f>
        <v/>
      </c>
      <c r="G61" s="132" t="str">
        <f aca="false">IF('MaryFran Anderson'!$B21="","",'MaryFran Anderson'!$G21)</f>
        <v/>
      </c>
      <c r="H61" s="131" t="str">
        <f aca="false">IF('MaryFran Anderson'!$B21="","",'MaryFran Anderson'!$H21)</f>
        <v/>
      </c>
      <c r="I61" s="131" t="str">
        <f aca="false">IF('MaryFran Anderson'!$B21="","",'MaryFran Anderson'!$I21)</f>
        <v/>
      </c>
      <c r="J61" s="133" t="str">
        <f aca="false">IF('MaryFran Anderson'!$B21="","",'MaryFran Anderson'!$J21)</f>
        <v/>
      </c>
      <c r="K61" s="134" t="str">
        <f aca="false">IF('MaryFran Anderson'!$B21="","",'MaryFran Anderson'!$K21)</f>
        <v/>
      </c>
      <c r="L61" s="134" t="str">
        <f aca="false">IF('MaryFran Anderson'!$B21="","",'MaryFran Anderson'!$L21)</f>
        <v/>
      </c>
      <c r="M61" s="132" t="str">
        <f aca="false">IF('MaryFran Anderson'!$B21="","",'MaryFran Anderson'!$M21)</f>
        <v/>
      </c>
      <c r="N61" s="132" t="str">
        <f aca="false">IF('MaryFran Anderson'!$B21="","",'MaryFran Anderson'!$N21)</f>
        <v/>
      </c>
      <c r="O61" s="134" t="str">
        <f aca="false">IF('MaryFran Anderson'!$B21="","",'MaryFran Anderson'!$O21)</f>
        <v/>
      </c>
      <c r="P61" s="132" t="str">
        <f aca="false">IF('MaryFran Anderson'!$B21="","",'MaryFran Anderson'!$P21)</f>
        <v/>
      </c>
      <c r="Q61" s="131" t="str">
        <f aca="false">IF('MaryFran Anderson'!$B21="","","MaryFran Anderson")</f>
        <v/>
      </c>
      <c r="R61" s="131" t="n">
        <f aca="true">IF(OR($B61="",$I61="Complete",$L61=""),0,IF($L61&lt;TODAY(),1,0))</f>
        <v>0</v>
      </c>
      <c r="S61" s="131" t="n">
        <f aca="true">IF(OR($B61="",$I61="Complete",$L61=""),0,IF(AND($L61&gt;=TODAY(),$L61&lt;=TODAY()+7),1,0))</f>
        <v>0</v>
      </c>
      <c r="T61" s="131" t="str">
        <f aca="true">IF(OR($B61="",$L61=""),"",$L61-TODAY())</f>
        <v/>
      </c>
      <c r="U61" s="135" t="str">
        <f aca="false">IF($B61="","",IF($I61="Complete",1,IF($J61="",0,$J61)))</f>
        <v/>
      </c>
      <c r="V61" s="131" t="n">
        <f aca="false">IF($B61="",0,IF($N61="",0,1))</f>
        <v>0</v>
      </c>
      <c r="W61" s="131" t="n">
        <f aca="false">IF($B61="",0,1)</f>
        <v>0</v>
      </c>
    </row>
    <row r="62" customFormat="false" ht="15" hidden="false" customHeight="false" outlineLevel="0" collapsed="false">
      <c r="A62" s="131" t="str">
        <f aca="false">IF('MaryFran Anderson'!$B22="","",'MaryFran Anderson'!$A22)</f>
        <v/>
      </c>
      <c r="B62" s="131" t="str">
        <f aca="false">IF('MaryFran Anderson'!$B22="","",'MaryFran Anderson'!$B22)</f>
        <v/>
      </c>
      <c r="C62" s="132" t="str">
        <f aca="false">IF('MaryFran Anderson'!$B22="","",'MaryFran Anderson'!$C22)</f>
        <v/>
      </c>
      <c r="D62" s="132" t="str">
        <f aca="false">IF('MaryFran Anderson'!$B22="","",'MaryFran Anderson'!$D22)</f>
        <v/>
      </c>
      <c r="E62" s="132" t="str">
        <f aca="false">IF('MaryFran Anderson'!$B22="","",'MaryFran Anderson'!$E22)</f>
        <v/>
      </c>
      <c r="F62" s="132" t="str">
        <f aca="false">IF('MaryFran Anderson'!$B22="","",'MaryFran Anderson'!$F22)</f>
        <v/>
      </c>
      <c r="G62" s="132" t="str">
        <f aca="false">IF('MaryFran Anderson'!$B22="","",'MaryFran Anderson'!$G22)</f>
        <v/>
      </c>
      <c r="H62" s="131" t="str">
        <f aca="false">IF('MaryFran Anderson'!$B22="","",'MaryFran Anderson'!$H22)</f>
        <v/>
      </c>
      <c r="I62" s="131" t="str">
        <f aca="false">IF('MaryFran Anderson'!$B22="","",'MaryFran Anderson'!$I22)</f>
        <v/>
      </c>
      <c r="J62" s="133" t="str">
        <f aca="false">IF('MaryFran Anderson'!$B22="","",'MaryFran Anderson'!$J22)</f>
        <v/>
      </c>
      <c r="K62" s="134" t="str">
        <f aca="false">IF('MaryFran Anderson'!$B22="","",'MaryFran Anderson'!$K22)</f>
        <v/>
      </c>
      <c r="L62" s="134" t="str">
        <f aca="false">IF('MaryFran Anderson'!$B22="","",'MaryFran Anderson'!$L22)</f>
        <v/>
      </c>
      <c r="M62" s="132" t="str">
        <f aca="false">IF('MaryFran Anderson'!$B22="","",'MaryFran Anderson'!$M22)</f>
        <v/>
      </c>
      <c r="N62" s="132" t="str">
        <f aca="false">IF('MaryFran Anderson'!$B22="","",'MaryFran Anderson'!$N22)</f>
        <v/>
      </c>
      <c r="O62" s="134" t="str">
        <f aca="false">IF('MaryFran Anderson'!$B22="","",'MaryFran Anderson'!$O22)</f>
        <v/>
      </c>
      <c r="P62" s="132" t="str">
        <f aca="false">IF('MaryFran Anderson'!$B22="","",'MaryFran Anderson'!$P22)</f>
        <v/>
      </c>
      <c r="Q62" s="131" t="str">
        <f aca="false">IF('MaryFran Anderson'!$B22="","","MaryFran Anderson")</f>
        <v/>
      </c>
      <c r="R62" s="131" t="n">
        <f aca="true">IF(OR($B62="",$I62="Complete",$L62=""),0,IF($L62&lt;TODAY(),1,0))</f>
        <v>0</v>
      </c>
      <c r="S62" s="131" t="n">
        <f aca="true">IF(OR($B62="",$I62="Complete",$L62=""),0,IF(AND($L62&gt;=TODAY(),$L62&lt;=TODAY()+7),1,0))</f>
        <v>0</v>
      </c>
      <c r="T62" s="131" t="str">
        <f aca="true">IF(OR($B62="",$L62=""),"",$L62-TODAY())</f>
        <v/>
      </c>
      <c r="U62" s="135" t="str">
        <f aca="false">IF($B62="","",IF($I62="Complete",1,IF($J62="",0,$J62)))</f>
        <v/>
      </c>
      <c r="V62" s="131" t="n">
        <f aca="false">IF($B62="",0,IF($N62="",0,1))</f>
        <v>0</v>
      </c>
      <c r="W62" s="131" t="n">
        <f aca="false">IF($B62="",0,1)</f>
        <v>0</v>
      </c>
    </row>
    <row r="63" customFormat="false" ht="15" hidden="false" customHeight="false" outlineLevel="0" collapsed="false">
      <c r="A63" s="131" t="str">
        <f aca="false">IF('MaryFran Anderson'!$B23="","",'MaryFran Anderson'!$A23)</f>
        <v/>
      </c>
      <c r="B63" s="131" t="str">
        <f aca="false">IF('MaryFran Anderson'!$B23="","",'MaryFran Anderson'!$B23)</f>
        <v/>
      </c>
      <c r="C63" s="132" t="str">
        <f aca="false">IF('MaryFran Anderson'!$B23="","",'MaryFran Anderson'!$C23)</f>
        <v/>
      </c>
      <c r="D63" s="132" t="str">
        <f aca="false">IF('MaryFran Anderson'!$B23="","",'MaryFran Anderson'!$D23)</f>
        <v/>
      </c>
      <c r="E63" s="132" t="str">
        <f aca="false">IF('MaryFran Anderson'!$B23="","",'MaryFran Anderson'!$E23)</f>
        <v/>
      </c>
      <c r="F63" s="132" t="str">
        <f aca="false">IF('MaryFran Anderson'!$B23="","",'MaryFran Anderson'!$F23)</f>
        <v/>
      </c>
      <c r="G63" s="132" t="str">
        <f aca="false">IF('MaryFran Anderson'!$B23="","",'MaryFran Anderson'!$G23)</f>
        <v/>
      </c>
      <c r="H63" s="131" t="str">
        <f aca="false">IF('MaryFran Anderson'!$B23="","",'MaryFran Anderson'!$H23)</f>
        <v/>
      </c>
      <c r="I63" s="131" t="str">
        <f aca="false">IF('MaryFran Anderson'!$B23="","",'MaryFran Anderson'!$I23)</f>
        <v/>
      </c>
      <c r="J63" s="133" t="str">
        <f aca="false">IF('MaryFran Anderson'!$B23="","",'MaryFran Anderson'!$J23)</f>
        <v/>
      </c>
      <c r="K63" s="134" t="str">
        <f aca="false">IF('MaryFran Anderson'!$B23="","",'MaryFran Anderson'!$K23)</f>
        <v/>
      </c>
      <c r="L63" s="134" t="str">
        <f aca="false">IF('MaryFran Anderson'!$B23="","",'MaryFran Anderson'!$L23)</f>
        <v/>
      </c>
      <c r="M63" s="132" t="str">
        <f aca="false">IF('MaryFran Anderson'!$B23="","",'MaryFran Anderson'!$M23)</f>
        <v/>
      </c>
      <c r="N63" s="132" t="str">
        <f aca="false">IF('MaryFran Anderson'!$B23="","",'MaryFran Anderson'!$N23)</f>
        <v/>
      </c>
      <c r="O63" s="134" t="str">
        <f aca="false">IF('MaryFran Anderson'!$B23="","",'MaryFran Anderson'!$O23)</f>
        <v/>
      </c>
      <c r="P63" s="132" t="str">
        <f aca="false">IF('MaryFran Anderson'!$B23="","",'MaryFran Anderson'!$P23)</f>
        <v/>
      </c>
      <c r="Q63" s="131" t="str">
        <f aca="false">IF('MaryFran Anderson'!$B23="","","MaryFran Anderson")</f>
        <v/>
      </c>
      <c r="R63" s="131" t="n">
        <f aca="true">IF(OR($B63="",$I63="Complete",$L63=""),0,IF($L63&lt;TODAY(),1,0))</f>
        <v>0</v>
      </c>
      <c r="S63" s="131" t="n">
        <f aca="true">IF(OR($B63="",$I63="Complete",$L63=""),0,IF(AND($L63&gt;=TODAY(),$L63&lt;=TODAY()+7),1,0))</f>
        <v>0</v>
      </c>
      <c r="T63" s="131" t="str">
        <f aca="true">IF(OR($B63="",$L63=""),"",$L63-TODAY())</f>
        <v/>
      </c>
      <c r="U63" s="135" t="str">
        <f aca="false">IF($B63="","",IF($I63="Complete",1,IF($J63="",0,$J63)))</f>
        <v/>
      </c>
      <c r="V63" s="131" t="n">
        <f aca="false">IF($B63="",0,IF($N63="",0,1))</f>
        <v>0</v>
      </c>
      <c r="W63" s="131" t="n">
        <f aca="false">IF($B63="",0,1)</f>
        <v>0</v>
      </c>
    </row>
    <row r="64" customFormat="false" ht="15" hidden="false" customHeight="false" outlineLevel="0" collapsed="false">
      <c r="A64" s="131" t="str">
        <f aca="false">IF('MaryFran Anderson'!$B24="","",'MaryFran Anderson'!$A24)</f>
        <v/>
      </c>
      <c r="B64" s="131" t="str">
        <f aca="false">IF('MaryFran Anderson'!$B24="","",'MaryFran Anderson'!$B24)</f>
        <v/>
      </c>
      <c r="C64" s="132" t="str">
        <f aca="false">IF('MaryFran Anderson'!$B24="","",'MaryFran Anderson'!$C24)</f>
        <v/>
      </c>
      <c r="D64" s="132" t="str">
        <f aca="false">IF('MaryFran Anderson'!$B24="","",'MaryFran Anderson'!$D24)</f>
        <v/>
      </c>
      <c r="E64" s="132" t="str">
        <f aca="false">IF('MaryFran Anderson'!$B24="","",'MaryFran Anderson'!$E24)</f>
        <v/>
      </c>
      <c r="F64" s="132" t="str">
        <f aca="false">IF('MaryFran Anderson'!$B24="","",'MaryFran Anderson'!$F24)</f>
        <v/>
      </c>
      <c r="G64" s="132" t="str">
        <f aca="false">IF('MaryFran Anderson'!$B24="","",'MaryFran Anderson'!$G24)</f>
        <v/>
      </c>
      <c r="H64" s="131" t="str">
        <f aca="false">IF('MaryFran Anderson'!$B24="","",'MaryFran Anderson'!$H24)</f>
        <v/>
      </c>
      <c r="I64" s="131" t="str">
        <f aca="false">IF('MaryFran Anderson'!$B24="","",'MaryFran Anderson'!$I24)</f>
        <v/>
      </c>
      <c r="J64" s="133" t="str">
        <f aca="false">IF('MaryFran Anderson'!$B24="","",'MaryFran Anderson'!$J24)</f>
        <v/>
      </c>
      <c r="K64" s="134" t="str">
        <f aca="false">IF('MaryFran Anderson'!$B24="","",'MaryFran Anderson'!$K24)</f>
        <v/>
      </c>
      <c r="L64" s="134" t="str">
        <f aca="false">IF('MaryFran Anderson'!$B24="","",'MaryFran Anderson'!$L24)</f>
        <v/>
      </c>
      <c r="M64" s="132" t="str">
        <f aca="false">IF('MaryFran Anderson'!$B24="","",'MaryFran Anderson'!$M24)</f>
        <v/>
      </c>
      <c r="N64" s="132" t="str">
        <f aca="false">IF('MaryFran Anderson'!$B24="","",'MaryFran Anderson'!$N24)</f>
        <v/>
      </c>
      <c r="O64" s="134" t="str">
        <f aca="false">IF('MaryFran Anderson'!$B24="","",'MaryFran Anderson'!$O24)</f>
        <v/>
      </c>
      <c r="P64" s="132" t="str">
        <f aca="false">IF('MaryFran Anderson'!$B24="","",'MaryFran Anderson'!$P24)</f>
        <v/>
      </c>
      <c r="Q64" s="131" t="str">
        <f aca="false">IF('MaryFran Anderson'!$B24="","","MaryFran Anderson")</f>
        <v/>
      </c>
      <c r="R64" s="131" t="n">
        <f aca="true">IF(OR($B64="",$I64="Complete",$L64=""),0,IF($L64&lt;TODAY(),1,0))</f>
        <v>0</v>
      </c>
      <c r="S64" s="131" t="n">
        <f aca="true">IF(OR($B64="",$I64="Complete",$L64=""),0,IF(AND($L64&gt;=TODAY(),$L64&lt;=TODAY()+7),1,0))</f>
        <v>0</v>
      </c>
      <c r="T64" s="131" t="str">
        <f aca="true">IF(OR($B64="",$L64=""),"",$L64-TODAY())</f>
        <v/>
      </c>
      <c r="U64" s="135" t="str">
        <f aca="false">IF($B64="","",IF($I64="Complete",1,IF($J64="",0,$J64)))</f>
        <v/>
      </c>
      <c r="V64" s="131" t="n">
        <f aca="false">IF($B64="",0,IF($N64="",0,1))</f>
        <v>0</v>
      </c>
      <c r="W64" s="131" t="n">
        <f aca="false">IF($B64="",0,1)</f>
        <v>0</v>
      </c>
    </row>
    <row r="65" customFormat="false" ht="15" hidden="false" customHeight="false" outlineLevel="0" collapsed="false">
      <c r="A65" s="131" t="str">
        <f aca="false">IF('MaryFran Anderson'!$B25="","",'MaryFran Anderson'!$A25)</f>
        <v/>
      </c>
      <c r="B65" s="131" t="str">
        <f aca="false">IF('MaryFran Anderson'!$B25="","",'MaryFran Anderson'!$B25)</f>
        <v/>
      </c>
      <c r="C65" s="132" t="str">
        <f aca="false">IF('MaryFran Anderson'!$B25="","",'MaryFran Anderson'!$C25)</f>
        <v/>
      </c>
      <c r="D65" s="132" t="str">
        <f aca="false">IF('MaryFran Anderson'!$B25="","",'MaryFran Anderson'!$D25)</f>
        <v/>
      </c>
      <c r="E65" s="132" t="str">
        <f aca="false">IF('MaryFran Anderson'!$B25="","",'MaryFran Anderson'!$E25)</f>
        <v/>
      </c>
      <c r="F65" s="132" t="str">
        <f aca="false">IF('MaryFran Anderson'!$B25="","",'MaryFran Anderson'!$F25)</f>
        <v/>
      </c>
      <c r="G65" s="132" t="str">
        <f aca="false">IF('MaryFran Anderson'!$B25="","",'MaryFran Anderson'!$G25)</f>
        <v/>
      </c>
      <c r="H65" s="131" t="str">
        <f aca="false">IF('MaryFran Anderson'!$B25="","",'MaryFran Anderson'!$H25)</f>
        <v/>
      </c>
      <c r="I65" s="131" t="str">
        <f aca="false">IF('MaryFran Anderson'!$B25="","",'MaryFran Anderson'!$I25)</f>
        <v/>
      </c>
      <c r="J65" s="133" t="str">
        <f aca="false">IF('MaryFran Anderson'!$B25="","",'MaryFran Anderson'!$J25)</f>
        <v/>
      </c>
      <c r="K65" s="134" t="str">
        <f aca="false">IF('MaryFran Anderson'!$B25="","",'MaryFran Anderson'!$K25)</f>
        <v/>
      </c>
      <c r="L65" s="134" t="str">
        <f aca="false">IF('MaryFran Anderson'!$B25="","",'MaryFran Anderson'!$L25)</f>
        <v/>
      </c>
      <c r="M65" s="132" t="str">
        <f aca="false">IF('MaryFran Anderson'!$B25="","",'MaryFran Anderson'!$M25)</f>
        <v/>
      </c>
      <c r="N65" s="132" t="str">
        <f aca="false">IF('MaryFran Anderson'!$B25="","",'MaryFran Anderson'!$N25)</f>
        <v/>
      </c>
      <c r="O65" s="134" t="str">
        <f aca="false">IF('MaryFran Anderson'!$B25="","",'MaryFran Anderson'!$O25)</f>
        <v/>
      </c>
      <c r="P65" s="132" t="str">
        <f aca="false">IF('MaryFran Anderson'!$B25="","",'MaryFran Anderson'!$P25)</f>
        <v/>
      </c>
      <c r="Q65" s="131" t="str">
        <f aca="false">IF('MaryFran Anderson'!$B25="","","MaryFran Anderson")</f>
        <v/>
      </c>
      <c r="R65" s="131" t="n">
        <f aca="true">IF(OR($B65="",$I65="Complete",$L65=""),0,IF($L65&lt;TODAY(),1,0))</f>
        <v>0</v>
      </c>
      <c r="S65" s="131" t="n">
        <f aca="true">IF(OR($B65="",$I65="Complete",$L65=""),0,IF(AND($L65&gt;=TODAY(),$L65&lt;=TODAY()+7),1,0))</f>
        <v>0</v>
      </c>
      <c r="T65" s="131" t="str">
        <f aca="true">IF(OR($B65="",$L65=""),"",$L65-TODAY())</f>
        <v/>
      </c>
      <c r="U65" s="135" t="str">
        <f aca="false">IF($B65="","",IF($I65="Complete",1,IF($J65="",0,$J65)))</f>
        <v/>
      </c>
      <c r="V65" s="131" t="n">
        <f aca="false">IF($B65="",0,IF($N65="",0,1))</f>
        <v>0</v>
      </c>
      <c r="W65" s="131" t="n">
        <f aca="false">IF($B65="",0,1)</f>
        <v>0</v>
      </c>
    </row>
    <row r="66" customFormat="false" ht="15" hidden="false" customHeight="false" outlineLevel="0" collapsed="false">
      <c r="A66" s="131" t="str">
        <f aca="false">IF('MaryFran Anderson'!$B26="","",'MaryFran Anderson'!$A26)</f>
        <v/>
      </c>
      <c r="B66" s="131" t="str">
        <f aca="false">IF('MaryFran Anderson'!$B26="","",'MaryFran Anderson'!$B26)</f>
        <v/>
      </c>
      <c r="C66" s="132" t="str">
        <f aca="false">IF('MaryFran Anderson'!$B26="","",'MaryFran Anderson'!$C26)</f>
        <v/>
      </c>
      <c r="D66" s="132" t="str">
        <f aca="false">IF('MaryFran Anderson'!$B26="","",'MaryFran Anderson'!$D26)</f>
        <v/>
      </c>
      <c r="E66" s="132" t="str">
        <f aca="false">IF('MaryFran Anderson'!$B26="","",'MaryFran Anderson'!$E26)</f>
        <v/>
      </c>
      <c r="F66" s="132" t="str">
        <f aca="false">IF('MaryFran Anderson'!$B26="","",'MaryFran Anderson'!$F26)</f>
        <v/>
      </c>
      <c r="G66" s="132" t="str">
        <f aca="false">IF('MaryFran Anderson'!$B26="","",'MaryFran Anderson'!$G26)</f>
        <v/>
      </c>
      <c r="H66" s="131" t="str">
        <f aca="false">IF('MaryFran Anderson'!$B26="","",'MaryFran Anderson'!$H26)</f>
        <v/>
      </c>
      <c r="I66" s="131" t="str">
        <f aca="false">IF('MaryFran Anderson'!$B26="","",'MaryFran Anderson'!$I26)</f>
        <v/>
      </c>
      <c r="J66" s="133" t="str">
        <f aca="false">IF('MaryFran Anderson'!$B26="","",'MaryFran Anderson'!$J26)</f>
        <v/>
      </c>
      <c r="K66" s="134" t="str">
        <f aca="false">IF('MaryFran Anderson'!$B26="","",'MaryFran Anderson'!$K26)</f>
        <v/>
      </c>
      <c r="L66" s="134" t="str">
        <f aca="false">IF('MaryFran Anderson'!$B26="","",'MaryFran Anderson'!$L26)</f>
        <v/>
      </c>
      <c r="M66" s="132" t="str">
        <f aca="false">IF('MaryFran Anderson'!$B26="","",'MaryFran Anderson'!$M26)</f>
        <v/>
      </c>
      <c r="N66" s="132" t="str">
        <f aca="false">IF('MaryFran Anderson'!$B26="","",'MaryFran Anderson'!$N26)</f>
        <v/>
      </c>
      <c r="O66" s="134" t="str">
        <f aca="false">IF('MaryFran Anderson'!$B26="","",'MaryFran Anderson'!$O26)</f>
        <v/>
      </c>
      <c r="P66" s="132" t="str">
        <f aca="false">IF('MaryFran Anderson'!$B26="","",'MaryFran Anderson'!$P26)</f>
        <v/>
      </c>
      <c r="Q66" s="131" t="str">
        <f aca="false">IF('MaryFran Anderson'!$B26="","","MaryFran Anderson")</f>
        <v/>
      </c>
      <c r="R66" s="131" t="n">
        <f aca="true">IF(OR($B66="",$I66="Complete",$L66=""),0,IF($L66&lt;TODAY(),1,0))</f>
        <v>0</v>
      </c>
      <c r="S66" s="131" t="n">
        <f aca="true">IF(OR($B66="",$I66="Complete",$L66=""),0,IF(AND($L66&gt;=TODAY(),$L66&lt;=TODAY()+7),1,0))</f>
        <v>0</v>
      </c>
      <c r="T66" s="131" t="str">
        <f aca="true">IF(OR($B66="",$L66=""),"",$L66-TODAY())</f>
        <v/>
      </c>
      <c r="U66" s="135" t="str">
        <f aca="false">IF($B66="","",IF($I66="Complete",1,IF($J66="",0,$J66)))</f>
        <v/>
      </c>
      <c r="V66" s="131" t="n">
        <f aca="false">IF($B66="",0,IF($N66="",0,1))</f>
        <v>0</v>
      </c>
      <c r="W66" s="131" t="n">
        <f aca="false">IF($B66="",0,1)</f>
        <v>0</v>
      </c>
    </row>
    <row r="67" customFormat="false" ht="15" hidden="false" customHeight="false" outlineLevel="0" collapsed="false">
      <c r="A67" s="131" t="str">
        <f aca="false">IF('MaryFran Anderson'!$B27="","",'MaryFran Anderson'!$A27)</f>
        <v/>
      </c>
      <c r="B67" s="131" t="str">
        <f aca="false">IF('MaryFran Anderson'!$B27="","",'MaryFran Anderson'!$B27)</f>
        <v/>
      </c>
      <c r="C67" s="132" t="str">
        <f aca="false">IF('MaryFran Anderson'!$B27="","",'MaryFran Anderson'!$C27)</f>
        <v/>
      </c>
      <c r="D67" s="132" t="str">
        <f aca="false">IF('MaryFran Anderson'!$B27="","",'MaryFran Anderson'!$D27)</f>
        <v/>
      </c>
      <c r="E67" s="132" t="str">
        <f aca="false">IF('MaryFran Anderson'!$B27="","",'MaryFran Anderson'!$E27)</f>
        <v/>
      </c>
      <c r="F67" s="132" t="str">
        <f aca="false">IF('MaryFran Anderson'!$B27="","",'MaryFran Anderson'!$F27)</f>
        <v/>
      </c>
      <c r="G67" s="132" t="str">
        <f aca="false">IF('MaryFran Anderson'!$B27="","",'MaryFran Anderson'!$G27)</f>
        <v/>
      </c>
      <c r="H67" s="131" t="str">
        <f aca="false">IF('MaryFran Anderson'!$B27="","",'MaryFran Anderson'!$H27)</f>
        <v/>
      </c>
      <c r="I67" s="131" t="str">
        <f aca="false">IF('MaryFran Anderson'!$B27="","",'MaryFran Anderson'!$I27)</f>
        <v/>
      </c>
      <c r="J67" s="133" t="str">
        <f aca="false">IF('MaryFran Anderson'!$B27="","",'MaryFran Anderson'!$J27)</f>
        <v/>
      </c>
      <c r="K67" s="134" t="str">
        <f aca="false">IF('MaryFran Anderson'!$B27="","",'MaryFran Anderson'!$K27)</f>
        <v/>
      </c>
      <c r="L67" s="134" t="str">
        <f aca="false">IF('MaryFran Anderson'!$B27="","",'MaryFran Anderson'!$L27)</f>
        <v/>
      </c>
      <c r="M67" s="132" t="str">
        <f aca="false">IF('MaryFran Anderson'!$B27="","",'MaryFran Anderson'!$M27)</f>
        <v/>
      </c>
      <c r="N67" s="132" t="str">
        <f aca="false">IF('MaryFran Anderson'!$B27="","",'MaryFran Anderson'!$N27)</f>
        <v/>
      </c>
      <c r="O67" s="134" t="str">
        <f aca="false">IF('MaryFran Anderson'!$B27="","",'MaryFran Anderson'!$O27)</f>
        <v/>
      </c>
      <c r="P67" s="132" t="str">
        <f aca="false">IF('MaryFran Anderson'!$B27="","",'MaryFran Anderson'!$P27)</f>
        <v/>
      </c>
      <c r="Q67" s="131" t="str">
        <f aca="false">IF('MaryFran Anderson'!$B27="","","MaryFran Anderson")</f>
        <v/>
      </c>
      <c r="R67" s="131" t="n">
        <f aca="true">IF(OR($B67="",$I67="Complete",$L67=""),0,IF($L67&lt;TODAY(),1,0))</f>
        <v>0</v>
      </c>
      <c r="S67" s="131" t="n">
        <f aca="true">IF(OR($B67="",$I67="Complete",$L67=""),0,IF(AND($L67&gt;=TODAY(),$L67&lt;=TODAY()+7),1,0))</f>
        <v>0</v>
      </c>
      <c r="T67" s="131" t="str">
        <f aca="true">IF(OR($B67="",$L67=""),"",$L67-TODAY())</f>
        <v/>
      </c>
      <c r="U67" s="135" t="str">
        <f aca="false">IF($B67="","",IF($I67="Complete",1,IF($J67="",0,$J67)))</f>
        <v/>
      </c>
      <c r="V67" s="131" t="n">
        <f aca="false">IF($B67="",0,IF($N67="",0,1))</f>
        <v>0</v>
      </c>
      <c r="W67" s="131" t="n">
        <f aca="false">IF($B67="",0,1)</f>
        <v>0</v>
      </c>
    </row>
    <row r="68" customFormat="false" ht="15" hidden="false" customHeight="false" outlineLevel="0" collapsed="false">
      <c r="A68" s="131" t="str">
        <f aca="false">IF('MaryFran Anderson'!$B28="","",'MaryFran Anderson'!$A28)</f>
        <v/>
      </c>
      <c r="B68" s="131" t="str">
        <f aca="false">IF('MaryFran Anderson'!$B28="","",'MaryFran Anderson'!$B28)</f>
        <v/>
      </c>
      <c r="C68" s="132" t="str">
        <f aca="false">IF('MaryFran Anderson'!$B28="","",'MaryFran Anderson'!$C28)</f>
        <v/>
      </c>
      <c r="D68" s="132" t="str">
        <f aca="false">IF('MaryFran Anderson'!$B28="","",'MaryFran Anderson'!$D28)</f>
        <v/>
      </c>
      <c r="E68" s="132" t="str">
        <f aca="false">IF('MaryFran Anderson'!$B28="","",'MaryFran Anderson'!$E28)</f>
        <v/>
      </c>
      <c r="F68" s="132" t="str">
        <f aca="false">IF('MaryFran Anderson'!$B28="","",'MaryFran Anderson'!$F28)</f>
        <v/>
      </c>
      <c r="G68" s="132" t="str">
        <f aca="false">IF('MaryFran Anderson'!$B28="","",'MaryFran Anderson'!$G28)</f>
        <v/>
      </c>
      <c r="H68" s="131" t="str">
        <f aca="false">IF('MaryFran Anderson'!$B28="","",'MaryFran Anderson'!$H28)</f>
        <v/>
      </c>
      <c r="I68" s="131" t="str">
        <f aca="false">IF('MaryFran Anderson'!$B28="","",'MaryFran Anderson'!$I28)</f>
        <v/>
      </c>
      <c r="J68" s="133" t="str">
        <f aca="false">IF('MaryFran Anderson'!$B28="","",'MaryFran Anderson'!$J28)</f>
        <v/>
      </c>
      <c r="K68" s="134" t="str">
        <f aca="false">IF('MaryFran Anderson'!$B28="","",'MaryFran Anderson'!$K28)</f>
        <v/>
      </c>
      <c r="L68" s="134" t="str">
        <f aca="false">IF('MaryFran Anderson'!$B28="","",'MaryFran Anderson'!$L28)</f>
        <v/>
      </c>
      <c r="M68" s="132" t="str">
        <f aca="false">IF('MaryFran Anderson'!$B28="","",'MaryFran Anderson'!$M28)</f>
        <v/>
      </c>
      <c r="N68" s="132" t="str">
        <f aca="false">IF('MaryFran Anderson'!$B28="","",'MaryFran Anderson'!$N28)</f>
        <v/>
      </c>
      <c r="O68" s="134" t="str">
        <f aca="false">IF('MaryFran Anderson'!$B28="","",'MaryFran Anderson'!$O28)</f>
        <v/>
      </c>
      <c r="P68" s="132" t="str">
        <f aca="false">IF('MaryFran Anderson'!$B28="","",'MaryFran Anderson'!$P28)</f>
        <v/>
      </c>
      <c r="Q68" s="131" t="str">
        <f aca="false">IF('MaryFran Anderson'!$B28="","","MaryFran Anderson")</f>
        <v/>
      </c>
      <c r="R68" s="131" t="n">
        <f aca="true">IF(OR($B68="",$I68="Complete",$L68=""),0,IF($L68&lt;TODAY(),1,0))</f>
        <v>0</v>
      </c>
      <c r="S68" s="131" t="n">
        <f aca="true">IF(OR($B68="",$I68="Complete",$L68=""),0,IF(AND($L68&gt;=TODAY(),$L68&lt;=TODAY()+7),1,0))</f>
        <v>0</v>
      </c>
      <c r="T68" s="131" t="str">
        <f aca="true">IF(OR($B68="",$L68=""),"",$L68-TODAY())</f>
        <v/>
      </c>
      <c r="U68" s="135" t="str">
        <f aca="false">IF($B68="","",IF($I68="Complete",1,IF($J68="",0,$J68)))</f>
        <v/>
      </c>
      <c r="V68" s="131" t="n">
        <f aca="false">IF($B68="",0,IF($N68="",0,1))</f>
        <v>0</v>
      </c>
      <c r="W68" s="131" t="n">
        <f aca="false">IF($B68="",0,1)</f>
        <v>0</v>
      </c>
    </row>
    <row r="69" customFormat="false" ht="15" hidden="false" customHeight="false" outlineLevel="0" collapsed="false">
      <c r="A69" s="131" t="str">
        <f aca="false">IF('MaryFran Anderson'!$B29="","",'MaryFran Anderson'!$A29)</f>
        <v/>
      </c>
      <c r="B69" s="131" t="str">
        <f aca="false">IF('MaryFran Anderson'!$B29="","",'MaryFran Anderson'!$B29)</f>
        <v/>
      </c>
      <c r="C69" s="132" t="str">
        <f aca="false">IF('MaryFran Anderson'!$B29="","",'MaryFran Anderson'!$C29)</f>
        <v/>
      </c>
      <c r="D69" s="132" t="str">
        <f aca="false">IF('MaryFran Anderson'!$B29="","",'MaryFran Anderson'!$D29)</f>
        <v/>
      </c>
      <c r="E69" s="132" t="str">
        <f aca="false">IF('MaryFran Anderson'!$B29="","",'MaryFran Anderson'!$E29)</f>
        <v/>
      </c>
      <c r="F69" s="132" t="str">
        <f aca="false">IF('MaryFran Anderson'!$B29="","",'MaryFran Anderson'!$F29)</f>
        <v/>
      </c>
      <c r="G69" s="132" t="str">
        <f aca="false">IF('MaryFran Anderson'!$B29="","",'MaryFran Anderson'!$G29)</f>
        <v/>
      </c>
      <c r="H69" s="131" t="str">
        <f aca="false">IF('MaryFran Anderson'!$B29="","",'MaryFran Anderson'!$H29)</f>
        <v/>
      </c>
      <c r="I69" s="131" t="str">
        <f aca="false">IF('MaryFran Anderson'!$B29="","",'MaryFran Anderson'!$I29)</f>
        <v/>
      </c>
      <c r="J69" s="133" t="str">
        <f aca="false">IF('MaryFran Anderson'!$B29="","",'MaryFran Anderson'!$J29)</f>
        <v/>
      </c>
      <c r="K69" s="134" t="str">
        <f aca="false">IF('MaryFran Anderson'!$B29="","",'MaryFran Anderson'!$K29)</f>
        <v/>
      </c>
      <c r="L69" s="134" t="str">
        <f aca="false">IF('MaryFran Anderson'!$B29="","",'MaryFran Anderson'!$L29)</f>
        <v/>
      </c>
      <c r="M69" s="132" t="str">
        <f aca="false">IF('MaryFran Anderson'!$B29="","",'MaryFran Anderson'!$M29)</f>
        <v/>
      </c>
      <c r="N69" s="132" t="str">
        <f aca="false">IF('MaryFran Anderson'!$B29="","",'MaryFran Anderson'!$N29)</f>
        <v/>
      </c>
      <c r="O69" s="134" t="str">
        <f aca="false">IF('MaryFran Anderson'!$B29="","",'MaryFran Anderson'!$O29)</f>
        <v/>
      </c>
      <c r="P69" s="132" t="str">
        <f aca="false">IF('MaryFran Anderson'!$B29="","",'MaryFran Anderson'!$P29)</f>
        <v/>
      </c>
      <c r="Q69" s="131" t="str">
        <f aca="false">IF('MaryFran Anderson'!$B29="","","MaryFran Anderson")</f>
        <v/>
      </c>
      <c r="R69" s="131" t="n">
        <f aca="true">IF(OR($B69="",$I69="Complete",$L69=""),0,IF($L69&lt;TODAY(),1,0))</f>
        <v>0</v>
      </c>
      <c r="S69" s="131" t="n">
        <f aca="true">IF(OR($B69="",$I69="Complete",$L69=""),0,IF(AND($L69&gt;=TODAY(),$L69&lt;=TODAY()+7),1,0))</f>
        <v>0</v>
      </c>
      <c r="T69" s="131" t="str">
        <f aca="true">IF(OR($B69="",$L69=""),"",$L69-TODAY())</f>
        <v/>
      </c>
      <c r="U69" s="135" t="str">
        <f aca="false">IF($B69="","",IF($I69="Complete",1,IF($J69="",0,$J69)))</f>
        <v/>
      </c>
      <c r="V69" s="131" t="n">
        <f aca="false">IF($B69="",0,IF($N69="",0,1))</f>
        <v>0</v>
      </c>
      <c r="W69" s="131" t="n">
        <f aca="false">IF($B69="",0,1)</f>
        <v>0</v>
      </c>
    </row>
    <row r="70" customFormat="false" ht="15" hidden="false" customHeight="false" outlineLevel="0" collapsed="false">
      <c r="A70" s="131" t="str">
        <f aca="false">IF('MaryFran Anderson'!$B30="","",'MaryFran Anderson'!$A30)</f>
        <v/>
      </c>
      <c r="B70" s="131" t="str">
        <f aca="false">IF('MaryFran Anderson'!$B30="","",'MaryFran Anderson'!$B30)</f>
        <v/>
      </c>
      <c r="C70" s="132" t="str">
        <f aca="false">IF('MaryFran Anderson'!$B30="","",'MaryFran Anderson'!$C30)</f>
        <v/>
      </c>
      <c r="D70" s="132" t="str">
        <f aca="false">IF('MaryFran Anderson'!$B30="","",'MaryFran Anderson'!$D30)</f>
        <v/>
      </c>
      <c r="E70" s="132" t="str">
        <f aca="false">IF('MaryFran Anderson'!$B30="","",'MaryFran Anderson'!$E30)</f>
        <v/>
      </c>
      <c r="F70" s="132" t="str">
        <f aca="false">IF('MaryFran Anderson'!$B30="","",'MaryFran Anderson'!$F30)</f>
        <v/>
      </c>
      <c r="G70" s="132" t="str">
        <f aca="false">IF('MaryFran Anderson'!$B30="","",'MaryFran Anderson'!$G30)</f>
        <v/>
      </c>
      <c r="H70" s="131" t="str">
        <f aca="false">IF('MaryFran Anderson'!$B30="","",'MaryFran Anderson'!$H30)</f>
        <v/>
      </c>
      <c r="I70" s="131" t="str">
        <f aca="false">IF('MaryFran Anderson'!$B30="","",'MaryFran Anderson'!$I30)</f>
        <v/>
      </c>
      <c r="J70" s="133" t="str">
        <f aca="false">IF('MaryFran Anderson'!$B30="","",'MaryFran Anderson'!$J30)</f>
        <v/>
      </c>
      <c r="K70" s="134" t="str">
        <f aca="false">IF('MaryFran Anderson'!$B30="","",'MaryFran Anderson'!$K30)</f>
        <v/>
      </c>
      <c r="L70" s="134" t="str">
        <f aca="false">IF('MaryFran Anderson'!$B30="","",'MaryFran Anderson'!$L30)</f>
        <v/>
      </c>
      <c r="M70" s="132" t="str">
        <f aca="false">IF('MaryFran Anderson'!$B30="","",'MaryFran Anderson'!$M30)</f>
        <v/>
      </c>
      <c r="N70" s="132" t="str">
        <f aca="false">IF('MaryFran Anderson'!$B30="","",'MaryFran Anderson'!$N30)</f>
        <v/>
      </c>
      <c r="O70" s="134" t="str">
        <f aca="false">IF('MaryFran Anderson'!$B30="","",'MaryFran Anderson'!$O30)</f>
        <v/>
      </c>
      <c r="P70" s="132" t="str">
        <f aca="false">IF('MaryFran Anderson'!$B30="","",'MaryFran Anderson'!$P30)</f>
        <v/>
      </c>
      <c r="Q70" s="131" t="str">
        <f aca="false">IF('MaryFran Anderson'!$B30="","","MaryFran Anderson")</f>
        <v/>
      </c>
      <c r="R70" s="131" t="n">
        <f aca="true">IF(OR($B70="",$I70="Complete",$L70=""),0,IF($L70&lt;TODAY(),1,0))</f>
        <v>0</v>
      </c>
      <c r="S70" s="131" t="n">
        <f aca="true">IF(OR($B70="",$I70="Complete",$L70=""),0,IF(AND($L70&gt;=TODAY(),$L70&lt;=TODAY()+7),1,0))</f>
        <v>0</v>
      </c>
      <c r="T70" s="131" t="str">
        <f aca="true">IF(OR($B70="",$L70=""),"",$L70-TODAY())</f>
        <v/>
      </c>
      <c r="U70" s="135" t="str">
        <f aca="false">IF($B70="","",IF($I70="Complete",1,IF($J70="",0,$J70)))</f>
        <v/>
      </c>
      <c r="V70" s="131" t="n">
        <f aca="false">IF($B70="",0,IF($N70="",0,1))</f>
        <v>0</v>
      </c>
      <c r="W70" s="131" t="n">
        <f aca="false">IF($B70="",0,1)</f>
        <v>0</v>
      </c>
    </row>
    <row r="71" customFormat="false" ht="15" hidden="false" customHeight="false" outlineLevel="0" collapsed="false">
      <c r="A71" s="131" t="str">
        <f aca="false">IF('MaryFran Anderson'!$B31="","",'MaryFran Anderson'!$A31)</f>
        <v/>
      </c>
      <c r="B71" s="131" t="str">
        <f aca="false">IF('MaryFran Anderson'!$B31="","",'MaryFran Anderson'!$B31)</f>
        <v/>
      </c>
      <c r="C71" s="132" t="str">
        <f aca="false">IF('MaryFran Anderson'!$B31="","",'MaryFran Anderson'!$C31)</f>
        <v/>
      </c>
      <c r="D71" s="132" t="str">
        <f aca="false">IF('MaryFran Anderson'!$B31="","",'MaryFran Anderson'!$D31)</f>
        <v/>
      </c>
      <c r="E71" s="132" t="str">
        <f aca="false">IF('MaryFran Anderson'!$B31="","",'MaryFran Anderson'!$E31)</f>
        <v/>
      </c>
      <c r="F71" s="132" t="str">
        <f aca="false">IF('MaryFran Anderson'!$B31="","",'MaryFran Anderson'!$F31)</f>
        <v/>
      </c>
      <c r="G71" s="132" t="str">
        <f aca="false">IF('MaryFran Anderson'!$B31="","",'MaryFran Anderson'!$G31)</f>
        <v/>
      </c>
      <c r="H71" s="131" t="str">
        <f aca="false">IF('MaryFran Anderson'!$B31="","",'MaryFran Anderson'!$H31)</f>
        <v/>
      </c>
      <c r="I71" s="131" t="str">
        <f aca="false">IF('MaryFran Anderson'!$B31="","",'MaryFran Anderson'!$I31)</f>
        <v/>
      </c>
      <c r="J71" s="133" t="str">
        <f aca="false">IF('MaryFran Anderson'!$B31="","",'MaryFran Anderson'!$J31)</f>
        <v/>
      </c>
      <c r="K71" s="134" t="str">
        <f aca="false">IF('MaryFran Anderson'!$B31="","",'MaryFran Anderson'!$K31)</f>
        <v/>
      </c>
      <c r="L71" s="134" t="str">
        <f aca="false">IF('MaryFran Anderson'!$B31="","",'MaryFran Anderson'!$L31)</f>
        <v/>
      </c>
      <c r="M71" s="132" t="str">
        <f aca="false">IF('MaryFran Anderson'!$B31="","",'MaryFran Anderson'!$M31)</f>
        <v/>
      </c>
      <c r="N71" s="132" t="str">
        <f aca="false">IF('MaryFran Anderson'!$B31="","",'MaryFran Anderson'!$N31)</f>
        <v/>
      </c>
      <c r="O71" s="134" t="str">
        <f aca="false">IF('MaryFran Anderson'!$B31="","",'MaryFran Anderson'!$O31)</f>
        <v/>
      </c>
      <c r="P71" s="132" t="str">
        <f aca="false">IF('MaryFran Anderson'!$B31="","",'MaryFran Anderson'!$P31)</f>
        <v/>
      </c>
      <c r="Q71" s="131" t="str">
        <f aca="false">IF('MaryFran Anderson'!$B31="","","MaryFran Anderson")</f>
        <v/>
      </c>
      <c r="R71" s="131" t="n">
        <f aca="true">IF(OR($B71="",$I71="Complete",$L71=""),0,IF($L71&lt;TODAY(),1,0))</f>
        <v>0</v>
      </c>
      <c r="S71" s="131" t="n">
        <f aca="true">IF(OR($B71="",$I71="Complete",$L71=""),0,IF(AND($L71&gt;=TODAY(),$L71&lt;=TODAY()+7),1,0))</f>
        <v>0</v>
      </c>
      <c r="T71" s="131" t="str">
        <f aca="true">IF(OR($B71="",$L71=""),"",$L71-TODAY())</f>
        <v/>
      </c>
      <c r="U71" s="135" t="str">
        <f aca="false">IF($B71="","",IF($I71="Complete",1,IF($J71="",0,$J71)))</f>
        <v/>
      </c>
      <c r="V71" s="131" t="n">
        <f aca="false">IF($B71="",0,IF($N71="",0,1))</f>
        <v>0</v>
      </c>
      <c r="W71" s="131" t="n">
        <f aca="false">IF($B71="",0,1)</f>
        <v>0</v>
      </c>
    </row>
    <row r="72" customFormat="false" ht="15" hidden="false" customHeight="false" outlineLevel="0" collapsed="false">
      <c r="A72" s="131" t="str">
        <f aca="false">IF('MaryFran Anderson'!$B32="","",'MaryFran Anderson'!$A32)</f>
        <v/>
      </c>
      <c r="B72" s="131" t="str">
        <f aca="false">IF('MaryFran Anderson'!$B32="","",'MaryFran Anderson'!$B32)</f>
        <v/>
      </c>
      <c r="C72" s="132" t="str">
        <f aca="false">IF('MaryFran Anderson'!$B32="","",'MaryFran Anderson'!$C32)</f>
        <v/>
      </c>
      <c r="D72" s="132" t="str">
        <f aca="false">IF('MaryFran Anderson'!$B32="","",'MaryFran Anderson'!$D32)</f>
        <v/>
      </c>
      <c r="E72" s="132" t="str">
        <f aca="false">IF('MaryFran Anderson'!$B32="","",'MaryFran Anderson'!$E32)</f>
        <v/>
      </c>
      <c r="F72" s="132" t="str">
        <f aca="false">IF('MaryFran Anderson'!$B32="","",'MaryFran Anderson'!$F32)</f>
        <v/>
      </c>
      <c r="G72" s="132" t="str">
        <f aca="false">IF('MaryFran Anderson'!$B32="","",'MaryFran Anderson'!$G32)</f>
        <v/>
      </c>
      <c r="H72" s="131" t="str">
        <f aca="false">IF('MaryFran Anderson'!$B32="","",'MaryFran Anderson'!$H32)</f>
        <v/>
      </c>
      <c r="I72" s="131" t="str">
        <f aca="false">IF('MaryFran Anderson'!$B32="","",'MaryFran Anderson'!$I32)</f>
        <v/>
      </c>
      <c r="J72" s="133" t="str">
        <f aca="false">IF('MaryFran Anderson'!$B32="","",'MaryFran Anderson'!$J32)</f>
        <v/>
      </c>
      <c r="K72" s="134" t="str">
        <f aca="false">IF('MaryFran Anderson'!$B32="","",'MaryFran Anderson'!$K32)</f>
        <v/>
      </c>
      <c r="L72" s="134" t="str">
        <f aca="false">IF('MaryFran Anderson'!$B32="","",'MaryFran Anderson'!$L32)</f>
        <v/>
      </c>
      <c r="M72" s="132" t="str">
        <f aca="false">IF('MaryFran Anderson'!$B32="","",'MaryFran Anderson'!$M32)</f>
        <v/>
      </c>
      <c r="N72" s="132" t="str">
        <f aca="false">IF('MaryFran Anderson'!$B32="","",'MaryFran Anderson'!$N32)</f>
        <v/>
      </c>
      <c r="O72" s="134" t="str">
        <f aca="false">IF('MaryFran Anderson'!$B32="","",'MaryFran Anderson'!$O32)</f>
        <v/>
      </c>
      <c r="P72" s="132" t="str">
        <f aca="false">IF('MaryFran Anderson'!$B32="","",'MaryFran Anderson'!$P32)</f>
        <v/>
      </c>
      <c r="Q72" s="131" t="str">
        <f aca="false">IF('MaryFran Anderson'!$B32="","","MaryFran Anderson")</f>
        <v/>
      </c>
      <c r="R72" s="131" t="n">
        <f aca="true">IF(OR($B72="",$I72="Complete",$L72=""),0,IF($L72&lt;TODAY(),1,0))</f>
        <v>0</v>
      </c>
      <c r="S72" s="131" t="n">
        <f aca="true">IF(OR($B72="",$I72="Complete",$L72=""),0,IF(AND($L72&gt;=TODAY(),$L72&lt;=TODAY()+7),1,0))</f>
        <v>0</v>
      </c>
      <c r="T72" s="131" t="str">
        <f aca="true">IF(OR($B72="",$L72=""),"",$L72-TODAY())</f>
        <v/>
      </c>
      <c r="U72" s="135" t="str">
        <f aca="false">IF($B72="","",IF($I72="Complete",1,IF($J72="",0,$J72)))</f>
        <v/>
      </c>
      <c r="V72" s="131" t="n">
        <f aca="false">IF($B72="",0,IF($N72="",0,1))</f>
        <v>0</v>
      </c>
      <c r="W72" s="131" t="n">
        <f aca="false">IF($B72="",0,1)</f>
        <v>0</v>
      </c>
    </row>
    <row r="73" customFormat="false" ht="15" hidden="false" customHeight="false" outlineLevel="0" collapsed="false">
      <c r="A73" s="131" t="str">
        <f aca="false">IF('MaryFran Anderson'!$B33="","",'MaryFran Anderson'!$A33)</f>
        <v/>
      </c>
      <c r="B73" s="131" t="str">
        <f aca="false">IF('MaryFran Anderson'!$B33="","",'MaryFran Anderson'!$B33)</f>
        <v/>
      </c>
      <c r="C73" s="132" t="str">
        <f aca="false">IF('MaryFran Anderson'!$B33="","",'MaryFran Anderson'!$C33)</f>
        <v/>
      </c>
      <c r="D73" s="132" t="str">
        <f aca="false">IF('MaryFran Anderson'!$B33="","",'MaryFran Anderson'!$D33)</f>
        <v/>
      </c>
      <c r="E73" s="132" t="str">
        <f aca="false">IF('MaryFran Anderson'!$B33="","",'MaryFran Anderson'!$E33)</f>
        <v/>
      </c>
      <c r="F73" s="132" t="str">
        <f aca="false">IF('MaryFran Anderson'!$B33="","",'MaryFran Anderson'!$F33)</f>
        <v/>
      </c>
      <c r="G73" s="132" t="str">
        <f aca="false">IF('MaryFran Anderson'!$B33="","",'MaryFran Anderson'!$G33)</f>
        <v/>
      </c>
      <c r="H73" s="131" t="str">
        <f aca="false">IF('MaryFran Anderson'!$B33="","",'MaryFran Anderson'!$H33)</f>
        <v/>
      </c>
      <c r="I73" s="131" t="str">
        <f aca="false">IF('MaryFran Anderson'!$B33="","",'MaryFran Anderson'!$I33)</f>
        <v/>
      </c>
      <c r="J73" s="133" t="str">
        <f aca="false">IF('MaryFran Anderson'!$B33="","",'MaryFran Anderson'!$J33)</f>
        <v/>
      </c>
      <c r="K73" s="134" t="str">
        <f aca="false">IF('MaryFran Anderson'!$B33="","",'MaryFran Anderson'!$K33)</f>
        <v/>
      </c>
      <c r="L73" s="134" t="str">
        <f aca="false">IF('MaryFran Anderson'!$B33="","",'MaryFran Anderson'!$L33)</f>
        <v/>
      </c>
      <c r="M73" s="132" t="str">
        <f aca="false">IF('MaryFran Anderson'!$B33="","",'MaryFran Anderson'!$M33)</f>
        <v/>
      </c>
      <c r="N73" s="132" t="str">
        <f aca="false">IF('MaryFran Anderson'!$B33="","",'MaryFran Anderson'!$N33)</f>
        <v/>
      </c>
      <c r="O73" s="134" t="str">
        <f aca="false">IF('MaryFran Anderson'!$B33="","",'MaryFran Anderson'!$O33)</f>
        <v/>
      </c>
      <c r="P73" s="132" t="str">
        <f aca="false">IF('MaryFran Anderson'!$B33="","",'MaryFran Anderson'!$P33)</f>
        <v/>
      </c>
      <c r="Q73" s="131" t="str">
        <f aca="false">IF('MaryFran Anderson'!$B33="","","MaryFran Anderson")</f>
        <v/>
      </c>
      <c r="R73" s="131" t="n">
        <f aca="true">IF(OR($B73="",$I73="Complete",$L73=""),0,IF($L73&lt;TODAY(),1,0))</f>
        <v>0</v>
      </c>
      <c r="S73" s="131" t="n">
        <f aca="true">IF(OR($B73="",$I73="Complete",$L73=""),0,IF(AND($L73&gt;=TODAY(),$L73&lt;=TODAY()+7),1,0))</f>
        <v>0</v>
      </c>
      <c r="T73" s="131" t="str">
        <f aca="true">IF(OR($B73="",$L73=""),"",$L73-TODAY())</f>
        <v/>
      </c>
      <c r="U73" s="135" t="str">
        <f aca="false">IF($B73="","",IF($I73="Complete",1,IF($J73="",0,$J73)))</f>
        <v/>
      </c>
      <c r="V73" s="131" t="n">
        <f aca="false">IF($B73="",0,IF($N73="",0,1))</f>
        <v>0</v>
      </c>
      <c r="W73" s="131" t="n">
        <f aca="false">IF($B73="",0,1)</f>
        <v>0</v>
      </c>
    </row>
    <row r="74" customFormat="false" ht="15" hidden="false" customHeight="false" outlineLevel="0" collapsed="false">
      <c r="A74" s="131" t="str">
        <f aca="false">IF('MaryFran Anderson'!$B34="","",'MaryFran Anderson'!$A34)</f>
        <v/>
      </c>
      <c r="B74" s="131" t="str">
        <f aca="false">IF('MaryFran Anderson'!$B34="","",'MaryFran Anderson'!$B34)</f>
        <v/>
      </c>
      <c r="C74" s="132" t="str">
        <f aca="false">IF('MaryFran Anderson'!$B34="","",'MaryFran Anderson'!$C34)</f>
        <v/>
      </c>
      <c r="D74" s="132" t="str">
        <f aca="false">IF('MaryFran Anderson'!$B34="","",'MaryFran Anderson'!$D34)</f>
        <v/>
      </c>
      <c r="E74" s="132" t="str">
        <f aca="false">IF('MaryFran Anderson'!$B34="","",'MaryFran Anderson'!$E34)</f>
        <v/>
      </c>
      <c r="F74" s="132" t="str">
        <f aca="false">IF('MaryFran Anderson'!$B34="","",'MaryFran Anderson'!$F34)</f>
        <v/>
      </c>
      <c r="G74" s="132" t="str">
        <f aca="false">IF('MaryFran Anderson'!$B34="","",'MaryFran Anderson'!$G34)</f>
        <v/>
      </c>
      <c r="H74" s="131" t="str">
        <f aca="false">IF('MaryFran Anderson'!$B34="","",'MaryFran Anderson'!$H34)</f>
        <v/>
      </c>
      <c r="I74" s="131" t="str">
        <f aca="false">IF('MaryFran Anderson'!$B34="","",'MaryFran Anderson'!$I34)</f>
        <v/>
      </c>
      <c r="J74" s="133" t="str">
        <f aca="false">IF('MaryFran Anderson'!$B34="","",'MaryFran Anderson'!$J34)</f>
        <v/>
      </c>
      <c r="K74" s="134" t="str">
        <f aca="false">IF('MaryFran Anderson'!$B34="","",'MaryFran Anderson'!$K34)</f>
        <v/>
      </c>
      <c r="L74" s="134" t="str">
        <f aca="false">IF('MaryFran Anderson'!$B34="","",'MaryFran Anderson'!$L34)</f>
        <v/>
      </c>
      <c r="M74" s="132" t="str">
        <f aca="false">IF('MaryFran Anderson'!$B34="","",'MaryFran Anderson'!$M34)</f>
        <v/>
      </c>
      <c r="N74" s="132" t="str">
        <f aca="false">IF('MaryFran Anderson'!$B34="","",'MaryFran Anderson'!$N34)</f>
        <v/>
      </c>
      <c r="O74" s="134" t="str">
        <f aca="false">IF('MaryFran Anderson'!$B34="","",'MaryFran Anderson'!$O34)</f>
        <v/>
      </c>
      <c r="P74" s="132" t="str">
        <f aca="false">IF('MaryFran Anderson'!$B34="","",'MaryFran Anderson'!$P34)</f>
        <v/>
      </c>
      <c r="Q74" s="131" t="str">
        <f aca="false">IF('MaryFran Anderson'!$B34="","","MaryFran Anderson")</f>
        <v/>
      </c>
      <c r="R74" s="131" t="n">
        <f aca="true">IF(OR($B74="",$I74="Complete",$L74=""),0,IF($L74&lt;TODAY(),1,0))</f>
        <v>0</v>
      </c>
      <c r="S74" s="131" t="n">
        <f aca="true">IF(OR($B74="",$I74="Complete",$L74=""),0,IF(AND($L74&gt;=TODAY(),$L74&lt;=TODAY()+7),1,0))</f>
        <v>0</v>
      </c>
      <c r="T74" s="131" t="str">
        <f aca="true">IF(OR($B74="",$L74=""),"",$L74-TODAY())</f>
        <v/>
      </c>
      <c r="U74" s="135" t="str">
        <f aca="false">IF($B74="","",IF($I74="Complete",1,IF($J74="",0,$J74)))</f>
        <v/>
      </c>
      <c r="V74" s="131" t="n">
        <f aca="false">IF($B74="",0,IF($N74="",0,1))</f>
        <v>0</v>
      </c>
      <c r="W74" s="131" t="n">
        <f aca="false">IF($B74="",0,1)</f>
        <v>0</v>
      </c>
    </row>
    <row r="75" customFormat="false" ht="15" hidden="false" customHeight="false" outlineLevel="0" collapsed="false">
      <c r="A75" s="131" t="str">
        <f aca="false">IF('MaryFran Anderson'!$B35="","",'MaryFran Anderson'!$A35)</f>
        <v/>
      </c>
      <c r="B75" s="131" t="str">
        <f aca="false">IF('MaryFran Anderson'!$B35="","",'MaryFran Anderson'!$B35)</f>
        <v/>
      </c>
      <c r="C75" s="132" t="str">
        <f aca="false">IF('MaryFran Anderson'!$B35="","",'MaryFran Anderson'!$C35)</f>
        <v/>
      </c>
      <c r="D75" s="132" t="str">
        <f aca="false">IF('MaryFran Anderson'!$B35="","",'MaryFran Anderson'!$D35)</f>
        <v/>
      </c>
      <c r="E75" s="132" t="str">
        <f aca="false">IF('MaryFran Anderson'!$B35="","",'MaryFran Anderson'!$E35)</f>
        <v/>
      </c>
      <c r="F75" s="132" t="str">
        <f aca="false">IF('MaryFran Anderson'!$B35="","",'MaryFran Anderson'!$F35)</f>
        <v/>
      </c>
      <c r="G75" s="132" t="str">
        <f aca="false">IF('MaryFran Anderson'!$B35="","",'MaryFran Anderson'!$G35)</f>
        <v/>
      </c>
      <c r="H75" s="131" t="str">
        <f aca="false">IF('MaryFran Anderson'!$B35="","",'MaryFran Anderson'!$H35)</f>
        <v/>
      </c>
      <c r="I75" s="131" t="str">
        <f aca="false">IF('MaryFran Anderson'!$B35="","",'MaryFran Anderson'!$I35)</f>
        <v/>
      </c>
      <c r="J75" s="133" t="str">
        <f aca="false">IF('MaryFran Anderson'!$B35="","",'MaryFran Anderson'!$J35)</f>
        <v/>
      </c>
      <c r="K75" s="134" t="str">
        <f aca="false">IF('MaryFran Anderson'!$B35="","",'MaryFran Anderson'!$K35)</f>
        <v/>
      </c>
      <c r="L75" s="134" t="str">
        <f aca="false">IF('MaryFran Anderson'!$B35="","",'MaryFran Anderson'!$L35)</f>
        <v/>
      </c>
      <c r="M75" s="132" t="str">
        <f aca="false">IF('MaryFran Anderson'!$B35="","",'MaryFran Anderson'!$M35)</f>
        <v/>
      </c>
      <c r="N75" s="132" t="str">
        <f aca="false">IF('MaryFran Anderson'!$B35="","",'MaryFran Anderson'!$N35)</f>
        <v/>
      </c>
      <c r="O75" s="134" t="str">
        <f aca="false">IF('MaryFran Anderson'!$B35="","",'MaryFran Anderson'!$O35)</f>
        <v/>
      </c>
      <c r="P75" s="132" t="str">
        <f aca="false">IF('MaryFran Anderson'!$B35="","",'MaryFran Anderson'!$P35)</f>
        <v/>
      </c>
      <c r="Q75" s="131" t="str">
        <f aca="false">IF('MaryFran Anderson'!$B35="","","MaryFran Anderson")</f>
        <v/>
      </c>
      <c r="R75" s="131" t="n">
        <f aca="true">IF(OR($B75="",$I75="Complete",$L75=""),0,IF($L75&lt;TODAY(),1,0))</f>
        <v>0</v>
      </c>
      <c r="S75" s="131" t="n">
        <f aca="true">IF(OR($B75="",$I75="Complete",$L75=""),0,IF(AND($L75&gt;=TODAY(),$L75&lt;=TODAY()+7),1,0))</f>
        <v>0</v>
      </c>
      <c r="T75" s="131" t="str">
        <f aca="true">IF(OR($B75="",$L75=""),"",$L75-TODAY())</f>
        <v/>
      </c>
      <c r="U75" s="135" t="str">
        <f aca="false">IF($B75="","",IF($I75="Complete",1,IF($J75="",0,$J75)))</f>
        <v/>
      </c>
      <c r="V75" s="131" t="n">
        <f aca="false">IF($B75="",0,IF($N75="",0,1))</f>
        <v>0</v>
      </c>
      <c r="W75" s="131" t="n">
        <f aca="false">IF($B75="",0,1)</f>
        <v>0</v>
      </c>
    </row>
    <row r="76" customFormat="false" ht="15" hidden="false" customHeight="false" outlineLevel="0" collapsed="false">
      <c r="A76" s="131" t="str">
        <f aca="false">IF('MaryFran Anderson'!$B36="","",'MaryFran Anderson'!$A36)</f>
        <v/>
      </c>
      <c r="B76" s="131" t="str">
        <f aca="false">IF('MaryFran Anderson'!$B36="","",'MaryFran Anderson'!$B36)</f>
        <v/>
      </c>
      <c r="C76" s="132" t="str">
        <f aca="false">IF('MaryFran Anderson'!$B36="","",'MaryFran Anderson'!$C36)</f>
        <v/>
      </c>
      <c r="D76" s="132" t="str">
        <f aca="false">IF('MaryFran Anderson'!$B36="","",'MaryFran Anderson'!$D36)</f>
        <v/>
      </c>
      <c r="E76" s="132" t="str">
        <f aca="false">IF('MaryFran Anderson'!$B36="","",'MaryFran Anderson'!$E36)</f>
        <v/>
      </c>
      <c r="F76" s="132" t="str">
        <f aca="false">IF('MaryFran Anderson'!$B36="","",'MaryFran Anderson'!$F36)</f>
        <v/>
      </c>
      <c r="G76" s="132" t="str">
        <f aca="false">IF('MaryFran Anderson'!$B36="","",'MaryFran Anderson'!$G36)</f>
        <v/>
      </c>
      <c r="H76" s="131" t="str">
        <f aca="false">IF('MaryFran Anderson'!$B36="","",'MaryFran Anderson'!$H36)</f>
        <v/>
      </c>
      <c r="I76" s="131" t="str">
        <f aca="false">IF('MaryFran Anderson'!$B36="","",'MaryFran Anderson'!$I36)</f>
        <v/>
      </c>
      <c r="J76" s="133" t="str">
        <f aca="false">IF('MaryFran Anderson'!$B36="","",'MaryFran Anderson'!$J36)</f>
        <v/>
      </c>
      <c r="K76" s="134" t="str">
        <f aca="false">IF('MaryFran Anderson'!$B36="","",'MaryFran Anderson'!$K36)</f>
        <v/>
      </c>
      <c r="L76" s="134" t="str">
        <f aca="false">IF('MaryFran Anderson'!$B36="","",'MaryFran Anderson'!$L36)</f>
        <v/>
      </c>
      <c r="M76" s="132" t="str">
        <f aca="false">IF('MaryFran Anderson'!$B36="","",'MaryFran Anderson'!$M36)</f>
        <v/>
      </c>
      <c r="N76" s="132" t="str">
        <f aca="false">IF('MaryFran Anderson'!$B36="","",'MaryFran Anderson'!$N36)</f>
        <v/>
      </c>
      <c r="O76" s="134" t="str">
        <f aca="false">IF('MaryFran Anderson'!$B36="","",'MaryFran Anderson'!$O36)</f>
        <v/>
      </c>
      <c r="P76" s="132" t="str">
        <f aca="false">IF('MaryFran Anderson'!$B36="","",'MaryFran Anderson'!$P36)</f>
        <v/>
      </c>
      <c r="Q76" s="131" t="str">
        <f aca="false">IF('MaryFran Anderson'!$B36="","","MaryFran Anderson")</f>
        <v/>
      </c>
      <c r="R76" s="131" t="n">
        <f aca="true">IF(OR($B76="",$I76="Complete",$L76=""),0,IF($L76&lt;TODAY(),1,0))</f>
        <v>0</v>
      </c>
      <c r="S76" s="131" t="n">
        <f aca="true">IF(OR($B76="",$I76="Complete",$L76=""),0,IF(AND($L76&gt;=TODAY(),$L76&lt;=TODAY()+7),1,0))</f>
        <v>0</v>
      </c>
      <c r="T76" s="131" t="str">
        <f aca="true">IF(OR($B76="",$L76=""),"",$L76-TODAY())</f>
        <v/>
      </c>
      <c r="U76" s="135" t="str">
        <f aca="false">IF($B76="","",IF($I76="Complete",1,IF($J76="",0,$J76)))</f>
        <v/>
      </c>
      <c r="V76" s="131" t="n">
        <f aca="false">IF($B76="",0,IF($N76="",0,1))</f>
        <v>0</v>
      </c>
      <c r="W76" s="131" t="n">
        <f aca="false">IF($B76="",0,1)</f>
        <v>0</v>
      </c>
    </row>
    <row r="77" customFormat="false" ht="15" hidden="false" customHeight="false" outlineLevel="0" collapsed="false">
      <c r="A77" s="131" t="str">
        <f aca="false">IF('MaryFran Anderson'!$B37="","",'MaryFran Anderson'!$A37)</f>
        <v/>
      </c>
      <c r="B77" s="131" t="str">
        <f aca="false">IF('MaryFran Anderson'!$B37="","",'MaryFran Anderson'!$B37)</f>
        <v/>
      </c>
      <c r="C77" s="132" t="str">
        <f aca="false">IF('MaryFran Anderson'!$B37="","",'MaryFran Anderson'!$C37)</f>
        <v/>
      </c>
      <c r="D77" s="132" t="str">
        <f aca="false">IF('MaryFran Anderson'!$B37="","",'MaryFran Anderson'!$D37)</f>
        <v/>
      </c>
      <c r="E77" s="132" t="str">
        <f aca="false">IF('MaryFran Anderson'!$B37="","",'MaryFran Anderson'!$E37)</f>
        <v/>
      </c>
      <c r="F77" s="132" t="str">
        <f aca="false">IF('MaryFran Anderson'!$B37="","",'MaryFran Anderson'!$F37)</f>
        <v/>
      </c>
      <c r="G77" s="132" t="str">
        <f aca="false">IF('MaryFran Anderson'!$B37="","",'MaryFran Anderson'!$G37)</f>
        <v/>
      </c>
      <c r="H77" s="131" t="str">
        <f aca="false">IF('MaryFran Anderson'!$B37="","",'MaryFran Anderson'!$H37)</f>
        <v/>
      </c>
      <c r="I77" s="131" t="str">
        <f aca="false">IF('MaryFran Anderson'!$B37="","",'MaryFran Anderson'!$I37)</f>
        <v/>
      </c>
      <c r="J77" s="133" t="str">
        <f aca="false">IF('MaryFran Anderson'!$B37="","",'MaryFran Anderson'!$J37)</f>
        <v/>
      </c>
      <c r="K77" s="134" t="str">
        <f aca="false">IF('MaryFran Anderson'!$B37="","",'MaryFran Anderson'!$K37)</f>
        <v/>
      </c>
      <c r="L77" s="134" t="str">
        <f aca="false">IF('MaryFran Anderson'!$B37="","",'MaryFran Anderson'!$L37)</f>
        <v/>
      </c>
      <c r="M77" s="132" t="str">
        <f aca="false">IF('MaryFran Anderson'!$B37="","",'MaryFran Anderson'!$M37)</f>
        <v/>
      </c>
      <c r="N77" s="132" t="str">
        <f aca="false">IF('MaryFran Anderson'!$B37="","",'MaryFran Anderson'!$N37)</f>
        <v/>
      </c>
      <c r="O77" s="134" t="str">
        <f aca="false">IF('MaryFran Anderson'!$B37="","",'MaryFran Anderson'!$O37)</f>
        <v/>
      </c>
      <c r="P77" s="132" t="str">
        <f aca="false">IF('MaryFran Anderson'!$B37="","",'MaryFran Anderson'!$P37)</f>
        <v/>
      </c>
      <c r="Q77" s="131" t="str">
        <f aca="false">IF('MaryFran Anderson'!$B37="","","MaryFran Anderson")</f>
        <v/>
      </c>
      <c r="R77" s="131" t="n">
        <f aca="true">IF(OR($B77="",$I77="Complete",$L77=""),0,IF($L77&lt;TODAY(),1,0))</f>
        <v>0</v>
      </c>
      <c r="S77" s="131" t="n">
        <f aca="true">IF(OR($B77="",$I77="Complete",$L77=""),0,IF(AND($L77&gt;=TODAY(),$L77&lt;=TODAY()+7),1,0))</f>
        <v>0</v>
      </c>
      <c r="T77" s="131" t="str">
        <f aca="true">IF(OR($B77="",$L77=""),"",$L77-TODAY())</f>
        <v/>
      </c>
      <c r="U77" s="135" t="str">
        <f aca="false">IF($B77="","",IF($I77="Complete",1,IF($J77="",0,$J77)))</f>
        <v/>
      </c>
      <c r="V77" s="131" t="n">
        <f aca="false">IF($B77="",0,IF($N77="",0,1))</f>
        <v>0</v>
      </c>
      <c r="W77" s="131" t="n">
        <f aca="false">IF($B77="",0,1)</f>
        <v>0</v>
      </c>
    </row>
    <row r="78" customFormat="false" ht="15" hidden="false" customHeight="false" outlineLevel="0" collapsed="false">
      <c r="A78" s="131" t="str">
        <f aca="false">IF('MaryFran Anderson'!$B38="","",'MaryFran Anderson'!$A38)</f>
        <v/>
      </c>
      <c r="B78" s="131" t="str">
        <f aca="false">IF('MaryFran Anderson'!$B38="","",'MaryFran Anderson'!$B38)</f>
        <v/>
      </c>
      <c r="C78" s="132" t="str">
        <f aca="false">IF('MaryFran Anderson'!$B38="","",'MaryFran Anderson'!$C38)</f>
        <v/>
      </c>
      <c r="D78" s="132" t="str">
        <f aca="false">IF('MaryFran Anderson'!$B38="","",'MaryFran Anderson'!$D38)</f>
        <v/>
      </c>
      <c r="E78" s="132" t="str">
        <f aca="false">IF('MaryFran Anderson'!$B38="","",'MaryFran Anderson'!$E38)</f>
        <v/>
      </c>
      <c r="F78" s="132" t="str">
        <f aca="false">IF('MaryFran Anderson'!$B38="","",'MaryFran Anderson'!$F38)</f>
        <v/>
      </c>
      <c r="G78" s="132" t="str">
        <f aca="false">IF('MaryFran Anderson'!$B38="","",'MaryFran Anderson'!$G38)</f>
        <v/>
      </c>
      <c r="H78" s="131" t="str">
        <f aca="false">IF('MaryFran Anderson'!$B38="","",'MaryFran Anderson'!$H38)</f>
        <v/>
      </c>
      <c r="I78" s="131" t="str">
        <f aca="false">IF('MaryFran Anderson'!$B38="","",'MaryFran Anderson'!$I38)</f>
        <v/>
      </c>
      <c r="J78" s="133" t="str">
        <f aca="false">IF('MaryFran Anderson'!$B38="","",'MaryFran Anderson'!$J38)</f>
        <v/>
      </c>
      <c r="K78" s="134" t="str">
        <f aca="false">IF('MaryFran Anderson'!$B38="","",'MaryFran Anderson'!$K38)</f>
        <v/>
      </c>
      <c r="L78" s="134" t="str">
        <f aca="false">IF('MaryFran Anderson'!$B38="","",'MaryFran Anderson'!$L38)</f>
        <v/>
      </c>
      <c r="M78" s="132" t="str">
        <f aca="false">IF('MaryFran Anderson'!$B38="","",'MaryFran Anderson'!$M38)</f>
        <v/>
      </c>
      <c r="N78" s="132" t="str">
        <f aca="false">IF('MaryFran Anderson'!$B38="","",'MaryFran Anderson'!$N38)</f>
        <v/>
      </c>
      <c r="O78" s="134" t="str">
        <f aca="false">IF('MaryFran Anderson'!$B38="","",'MaryFran Anderson'!$O38)</f>
        <v/>
      </c>
      <c r="P78" s="132" t="str">
        <f aca="false">IF('MaryFran Anderson'!$B38="","",'MaryFran Anderson'!$P38)</f>
        <v/>
      </c>
      <c r="Q78" s="131" t="str">
        <f aca="false">IF('MaryFran Anderson'!$B38="","","MaryFran Anderson")</f>
        <v/>
      </c>
      <c r="R78" s="131" t="n">
        <f aca="true">IF(OR($B78="",$I78="Complete",$L78=""),0,IF($L78&lt;TODAY(),1,0))</f>
        <v>0</v>
      </c>
      <c r="S78" s="131" t="n">
        <f aca="true">IF(OR($B78="",$I78="Complete",$L78=""),0,IF(AND($L78&gt;=TODAY(),$L78&lt;=TODAY()+7),1,0))</f>
        <v>0</v>
      </c>
      <c r="T78" s="131" t="str">
        <f aca="true">IF(OR($B78="",$L78=""),"",$L78-TODAY())</f>
        <v/>
      </c>
      <c r="U78" s="135" t="str">
        <f aca="false">IF($B78="","",IF($I78="Complete",1,IF($J78="",0,$J78)))</f>
        <v/>
      </c>
      <c r="V78" s="131" t="n">
        <f aca="false">IF($B78="",0,IF($N78="",0,1))</f>
        <v>0</v>
      </c>
      <c r="W78" s="131" t="n">
        <f aca="false">IF($B78="",0,1)</f>
        <v>0</v>
      </c>
    </row>
    <row r="79" customFormat="false" ht="15" hidden="false" customHeight="false" outlineLevel="0" collapsed="false">
      <c r="A79" s="131" t="str">
        <f aca="false">IF('MaryFran Anderson'!$B39="","",'MaryFran Anderson'!$A39)</f>
        <v/>
      </c>
      <c r="B79" s="131" t="str">
        <f aca="false">IF('MaryFran Anderson'!$B39="","",'MaryFran Anderson'!$B39)</f>
        <v/>
      </c>
      <c r="C79" s="132" t="str">
        <f aca="false">IF('MaryFran Anderson'!$B39="","",'MaryFran Anderson'!$C39)</f>
        <v/>
      </c>
      <c r="D79" s="132" t="str">
        <f aca="false">IF('MaryFran Anderson'!$B39="","",'MaryFran Anderson'!$D39)</f>
        <v/>
      </c>
      <c r="E79" s="132" t="str">
        <f aca="false">IF('MaryFran Anderson'!$B39="","",'MaryFran Anderson'!$E39)</f>
        <v/>
      </c>
      <c r="F79" s="132" t="str">
        <f aca="false">IF('MaryFran Anderson'!$B39="","",'MaryFran Anderson'!$F39)</f>
        <v/>
      </c>
      <c r="G79" s="132" t="str">
        <f aca="false">IF('MaryFran Anderson'!$B39="","",'MaryFran Anderson'!$G39)</f>
        <v/>
      </c>
      <c r="H79" s="131" t="str">
        <f aca="false">IF('MaryFran Anderson'!$B39="","",'MaryFran Anderson'!$H39)</f>
        <v/>
      </c>
      <c r="I79" s="131" t="str">
        <f aca="false">IF('MaryFran Anderson'!$B39="","",'MaryFran Anderson'!$I39)</f>
        <v/>
      </c>
      <c r="J79" s="133" t="str">
        <f aca="false">IF('MaryFran Anderson'!$B39="","",'MaryFran Anderson'!$J39)</f>
        <v/>
      </c>
      <c r="K79" s="134" t="str">
        <f aca="false">IF('MaryFran Anderson'!$B39="","",'MaryFran Anderson'!$K39)</f>
        <v/>
      </c>
      <c r="L79" s="134" t="str">
        <f aca="false">IF('MaryFran Anderson'!$B39="","",'MaryFran Anderson'!$L39)</f>
        <v/>
      </c>
      <c r="M79" s="132" t="str">
        <f aca="false">IF('MaryFran Anderson'!$B39="","",'MaryFran Anderson'!$M39)</f>
        <v/>
      </c>
      <c r="N79" s="132" t="str">
        <f aca="false">IF('MaryFran Anderson'!$B39="","",'MaryFran Anderson'!$N39)</f>
        <v/>
      </c>
      <c r="O79" s="134" t="str">
        <f aca="false">IF('MaryFran Anderson'!$B39="","",'MaryFran Anderson'!$O39)</f>
        <v/>
      </c>
      <c r="P79" s="132" t="str">
        <f aca="false">IF('MaryFran Anderson'!$B39="","",'MaryFran Anderson'!$P39)</f>
        <v/>
      </c>
      <c r="Q79" s="131" t="str">
        <f aca="false">IF('MaryFran Anderson'!$B39="","","MaryFran Anderson")</f>
        <v/>
      </c>
      <c r="R79" s="131" t="n">
        <f aca="true">IF(OR($B79="",$I79="Complete",$L79=""),0,IF($L79&lt;TODAY(),1,0))</f>
        <v>0</v>
      </c>
      <c r="S79" s="131" t="n">
        <f aca="true">IF(OR($B79="",$I79="Complete",$L79=""),0,IF(AND($L79&gt;=TODAY(),$L79&lt;=TODAY()+7),1,0))</f>
        <v>0</v>
      </c>
      <c r="T79" s="131" t="str">
        <f aca="true">IF(OR($B79="",$L79=""),"",$L79-TODAY())</f>
        <v/>
      </c>
      <c r="U79" s="135" t="str">
        <f aca="false">IF($B79="","",IF($I79="Complete",1,IF($J79="",0,$J79)))</f>
        <v/>
      </c>
      <c r="V79" s="131" t="n">
        <f aca="false">IF($B79="",0,IF($N79="",0,1))</f>
        <v>0</v>
      </c>
      <c r="W79" s="131" t="n">
        <f aca="false">IF($B79="",0,1)</f>
        <v>0</v>
      </c>
    </row>
    <row r="80" customFormat="false" ht="15" hidden="false" customHeight="false" outlineLevel="0" collapsed="false">
      <c r="A80" s="131" t="str">
        <f aca="false">IF('MaryFran Anderson'!$B40="","",'MaryFran Anderson'!$A40)</f>
        <v/>
      </c>
      <c r="B80" s="131" t="str">
        <f aca="false">IF('MaryFran Anderson'!$B40="","",'MaryFran Anderson'!$B40)</f>
        <v/>
      </c>
      <c r="C80" s="132" t="str">
        <f aca="false">IF('MaryFran Anderson'!$B40="","",'MaryFran Anderson'!$C40)</f>
        <v/>
      </c>
      <c r="D80" s="132" t="str">
        <f aca="false">IF('MaryFran Anderson'!$B40="","",'MaryFran Anderson'!$D40)</f>
        <v/>
      </c>
      <c r="E80" s="132" t="str">
        <f aca="false">IF('MaryFran Anderson'!$B40="","",'MaryFran Anderson'!$E40)</f>
        <v/>
      </c>
      <c r="F80" s="132" t="str">
        <f aca="false">IF('MaryFran Anderson'!$B40="","",'MaryFran Anderson'!$F40)</f>
        <v/>
      </c>
      <c r="G80" s="132" t="str">
        <f aca="false">IF('MaryFran Anderson'!$B40="","",'MaryFran Anderson'!$G40)</f>
        <v/>
      </c>
      <c r="H80" s="131" t="str">
        <f aca="false">IF('MaryFran Anderson'!$B40="","",'MaryFran Anderson'!$H40)</f>
        <v/>
      </c>
      <c r="I80" s="131" t="str">
        <f aca="false">IF('MaryFran Anderson'!$B40="","",'MaryFran Anderson'!$I40)</f>
        <v/>
      </c>
      <c r="J80" s="133" t="str">
        <f aca="false">IF('MaryFran Anderson'!$B40="","",'MaryFran Anderson'!$J40)</f>
        <v/>
      </c>
      <c r="K80" s="134" t="str">
        <f aca="false">IF('MaryFran Anderson'!$B40="","",'MaryFran Anderson'!$K40)</f>
        <v/>
      </c>
      <c r="L80" s="134" t="str">
        <f aca="false">IF('MaryFran Anderson'!$B40="","",'MaryFran Anderson'!$L40)</f>
        <v/>
      </c>
      <c r="M80" s="132" t="str">
        <f aca="false">IF('MaryFran Anderson'!$B40="","",'MaryFran Anderson'!$M40)</f>
        <v/>
      </c>
      <c r="N80" s="132" t="str">
        <f aca="false">IF('MaryFran Anderson'!$B40="","",'MaryFran Anderson'!$N40)</f>
        <v/>
      </c>
      <c r="O80" s="134" t="str">
        <f aca="false">IF('MaryFran Anderson'!$B40="","",'MaryFran Anderson'!$O40)</f>
        <v/>
      </c>
      <c r="P80" s="132" t="str">
        <f aca="false">IF('MaryFran Anderson'!$B40="","",'MaryFran Anderson'!$P40)</f>
        <v/>
      </c>
      <c r="Q80" s="131" t="str">
        <f aca="false">IF('MaryFran Anderson'!$B40="","","MaryFran Anderson")</f>
        <v/>
      </c>
      <c r="R80" s="131" t="n">
        <f aca="true">IF(OR($B80="",$I80="Complete",$L80=""),0,IF($L80&lt;TODAY(),1,0))</f>
        <v>0</v>
      </c>
      <c r="S80" s="131" t="n">
        <f aca="true">IF(OR($B80="",$I80="Complete",$L80=""),0,IF(AND($L80&gt;=TODAY(),$L80&lt;=TODAY()+7),1,0))</f>
        <v>0</v>
      </c>
      <c r="T80" s="131" t="str">
        <f aca="true">IF(OR($B80="",$L80=""),"",$L80-TODAY())</f>
        <v/>
      </c>
      <c r="U80" s="135" t="str">
        <f aca="false">IF($B80="","",IF($I80="Complete",1,IF($J80="",0,$J80)))</f>
        <v/>
      </c>
      <c r="V80" s="131" t="n">
        <f aca="false">IF($B80="",0,IF($N80="",0,1))</f>
        <v>0</v>
      </c>
      <c r="W80" s="131" t="n">
        <f aca="false">IF($B80="",0,1)</f>
        <v>0</v>
      </c>
    </row>
    <row r="81" customFormat="false" ht="15" hidden="false" customHeight="false" outlineLevel="0" collapsed="false">
      <c r="A81" s="131" t="str">
        <f aca="false">IF('MaryFran Anderson'!$B41="","",'MaryFran Anderson'!$A41)</f>
        <v/>
      </c>
      <c r="B81" s="131" t="str">
        <f aca="false">IF('MaryFran Anderson'!$B41="","",'MaryFran Anderson'!$B41)</f>
        <v/>
      </c>
      <c r="C81" s="132" t="str">
        <f aca="false">IF('MaryFran Anderson'!$B41="","",'MaryFran Anderson'!$C41)</f>
        <v/>
      </c>
      <c r="D81" s="132" t="str">
        <f aca="false">IF('MaryFran Anderson'!$B41="","",'MaryFran Anderson'!$D41)</f>
        <v/>
      </c>
      <c r="E81" s="132" t="str">
        <f aca="false">IF('MaryFran Anderson'!$B41="","",'MaryFran Anderson'!$E41)</f>
        <v/>
      </c>
      <c r="F81" s="132" t="str">
        <f aca="false">IF('MaryFran Anderson'!$B41="","",'MaryFran Anderson'!$F41)</f>
        <v/>
      </c>
      <c r="G81" s="132" t="str">
        <f aca="false">IF('MaryFran Anderson'!$B41="","",'MaryFran Anderson'!$G41)</f>
        <v/>
      </c>
      <c r="H81" s="131" t="str">
        <f aca="false">IF('MaryFran Anderson'!$B41="","",'MaryFran Anderson'!$H41)</f>
        <v/>
      </c>
      <c r="I81" s="131" t="str">
        <f aca="false">IF('MaryFran Anderson'!$B41="","",'MaryFran Anderson'!$I41)</f>
        <v/>
      </c>
      <c r="J81" s="133" t="str">
        <f aca="false">IF('MaryFran Anderson'!$B41="","",'MaryFran Anderson'!$J41)</f>
        <v/>
      </c>
      <c r="K81" s="134" t="str">
        <f aca="false">IF('MaryFran Anderson'!$B41="","",'MaryFran Anderson'!$K41)</f>
        <v/>
      </c>
      <c r="L81" s="134" t="str">
        <f aca="false">IF('MaryFran Anderson'!$B41="","",'MaryFran Anderson'!$L41)</f>
        <v/>
      </c>
      <c r="M81" s="132" t="str">
        <f aca="false">IF('MaryFran Anderson'!$B41="","",'MaryFran Anderson'!$M41)</f>
        <v/>
      </c>
      <c r="N81" s="132" t="str">
        <f aca="false">IF('MaryFran Anderson'!$B41="","",'MaryFran Anderson'!$N41)</f>
        <v/>
      </c>
      <c r="O81" s="134" t="str">
        <f aca="false">IF('MaryFran Anderson'!$B41="","",'MaryFran Anderson'!$O41)</f>
        <v/>
      </c>
      <c r="P81" s="132" t="str">
        <f aca="false">IF('MaryFran Anderson'!$B41="","",'MaryFran Anderson'!$P41)</f>
        <v/>
      </c>
      <c r="Q81" s="131" t="str">
        <f aca="false">IF('MaryFran Anderson'!$B41="","","MaryFran Anderson")</f>
        <v/>
      </c>
      <c r="R81" s="131" t="n">
        <f aca="true">IF(OR($B81="",$I81="Complete",$L81=""),0,IF($L81&lt;TODAY(),1,0))</f>
        <v>0</v>
      </c>
      <c r="S81" s="131" t="n">
        <f aca="true">IF(OR($B81="",$I81="Complete",$L81=""),0,IF(AND($L81&gt;=TODAY(),$L81&lt;=TODAY()+7),1,0))</f>
        <v>0</v>
      </c>
      <c r="T81" s="131" t="str">
        <f aca="true">IF(OR($B81="",$L81=""),"",$L81-TODAY())</f>
        <v/>
      </c>
      <c r="U81" s="135" t="str">
        <f aca="false">IF($B81="","",IF($I81="Complete",1,IF($J81="",0,$J81)))</f>
        <v/>
      </c>
      <c r="V81" s="131" t="n">
        <f aca="false">IF($B81="",0,IF($N81="",0,1))</f>
        <v>0</v>
      </c>
      <c r="W81" s="131" t="n">
        <f aca="false">IF($B81="",0,1)</f>
        <v>0</v>
      </c>
    </row>
    <row r="82" customFormat="false" ht="15" hidden="false" customHeight="false" outlineLevel="0" collapsed="false">
      <c r="A82" s="131" t="str">
        <f aca="false">IF('MaryFran Anderson'!$B42="","",'MaryFran Anderson'!$A42)</f>
        <v/>
      </c>
      <c r="B82" s="131" t="str">
        <f aca="false">IF('MaryFran Anderson'!$B42="","",'MaryFran Anderson'!$B42)</f>
        <v/>
      </c>
      <c r="C82" s="132" t="str">
        <f aca="false">IF('MaryFran Anderson'!$B42="","",'MaryFran Anderson'!$C42)</f>
        <v/>
      </c>
      <c r="D82" s="132" t="str">
        <f aca="false">IF('MaryFran Anderson'!$B42="","",'MaryFran Anderson'!$D42)</f>
        <v/>
      </c>
      <c r="E82" s="132" t="str">
        <f aca="false">IF('MaryFran Anderson'!$B42="","",'MaryFran Anderson'!$E42)</f>
        <v/>
      </c>
      <c r="F82" s="132" t="str">
        <f aca="false">IF('MaryFran Anderson'!$B42="","",'MaryFran Anderson'!$F42)</f>
        <v/>
      </c>
      <c r="G82" s="132" t="str">
        <f aca="false">IF('MaryFran Anderson'!$B42="","",'MaryFran Anderson'!$G42)</f>
        <v/>
      </c>
      <c r="H82" s="131" t="str">
        <f aca="false">IF('MaryFran Anderson'!$B42="","",'MaryFran Anderson'!$H42)</f>
        <v/>
      </c>
      <c r="I82" s="131" t="str">
        <f aca="false">IF('MaryFran Anderson'!$B42="","",'MaryFran Anderson'!$I42)</f>
        <v/>
      </c>
      <c r="J82" s="133" t="str">
        <f aca="false">IF('MaryFran Anderson'!$B42="","",'MaryFran Anderson'!$J42)</f>
        <v/>
      </c>
      <c r="K82" s="134" t="str">
        <f aca="false">IF('MaryFran Anderson'!$B42="","",'MaryFran Anderson'!$K42)</f>
        <v/>
      </c>
      <c r="L82" s="134" t="str">
        <f aca="false">IF('MaryFran Anderson'!$B42="","",'MaryFran Anderson'!$L42)</f>
        <v/>
      </c>
      <c r="M82" s="132" t="str">
        <f aca="false">IF('MaryFran Anderson'!$B42="","",'MaryFran Anderson'!$M42)</f>
        <v/>
      </c>
      <c r="N82" s="132" t="str">
        <f aca="false">IF('MaryFran Anderson'!$B42="","",'MaryFran Anderson'!$N42)</f>
        <v/>
      </c>
      <c r="O82" s="134" t="str">
        <f aca="false">IF('MaryFran Anderson'!$B42="","",'MaryFran Anderson'!$O42)</f>
        <v/>
      </c>
      <c r="P82" s="132" t="str">
        <f aca="false">IF('MaryFran Anderson'!$B42="","",'MaryFran Anderson'!$P42)</f>
        <v/>
      </c>
      <c r="Q82" s="131" t="str">
        <f aca="false">IF('MaryFran Anderson'!$B42="","","MaryFran Anderson")</f>
        <v/>
      </c>
      <c r="R82" s="131" t="n">
        <f aca="true">IF(OR($B82="",$I82="Complete",$L82=""),0,IF($L82&lt;TODAY(),1,0))</f>
        <v>0</v>
      </c>
      <c r="S82" s="131" t="n">
        <f aca="true">IF(OR($B82="",$I82="Complete",$L82=""),0,IF(AND($L82&gt;=TODAY(),$L82&lt;=TODAY()+7),1,0))</f>
        <v>0</v>
      </c>
      <c r="T82" s="131" t="str">
        <f aca="true">IF(OR($B82="",$L82=""),"",$L82-TODAY())</f>
        <v/>
      </c>
      <c r="U82" s="135" t="str">
        <f aca="false">IF($B82="","",IF($I82="Complete",1,IF($J82="",0,$J82)))</f>
        <v/>
      </c>
      <c r="V82" s="131" t="n">
        <f aca="false">IF($B82="",0,IF($N82="",0,1))</f>
        <v>0</v>
      </c>
      <c r="W82" s="131" t="n">
        <f aca="false">IF($B82="",0,1)</f>
        <v>0</v>
      </c>
    </row>
    <row r="83" customFormat="false" ht="15" hidden="false" customHeight="false" outlineLevel="0" collapsed="false">
      <c r="A83" s="131" t="str">
        <f aca="false">IF('MaryFran Anderson'!$B43="","",'MaryFran Anderson'!$A43)</f>
        <v/>
      </c>
      <c r="B83" s="131" t="str">
        <f aca="false">IF('MaryFran Anderson'!$B43="","",'MaryFran Anderson'!$B43)</f>
        <v/>
      </c>
      <c r="C83" s="132" t="str">
        <f aca="false">IF('MaryFran Anderson'!$B43="","",'MaryFran Anderson'!$C43)</f>
        <v/>
      </c>
      <c r="D83" s="132" t="str">
        <f aca="false">IF('MaryFran Anderson'!$B43="","",'MaryFran Anderson'!$D43)</f>
        <v/>
      </c>
      <c r="E83" s="132" t="str">
        <f aca="false">IF('MaryFran Anderson'!$B43="","",'MaryFran Anderson'!$E43)</f>
        <v/>
      </c>
      <c r="F83" s="132" t="str">
        <f aca="false">IF('MaryFran Anderson'!$B43="","",'MaryFran Anderson'!$F43)</f>
        <v/>
      </c>
      <c r="G83" s="132" t="str">
        <f aca="false">IF('MaryFran Anderson'!$B43="","",'MaryFran Anderson'!$G43)</f>
        <v/>
      </c>
      <c r="H83" s="131" t="str">
        <f aca="false">IF('MaryFran Anderson'!$B43="","",'MaryFran Anderson'!$H43)</f>
        <v/>
      </c>
      <c r="I83" s="131" t="str">
        <f aca="false">IF('MaryFran Anderson'!$B43="","",'MaryFran Anderson'!$I43)</f>
        <v/>
      </c>
      <c r="J83" s="133" t="str">
        <f aca="false">IF('MaryFran Anderson'!$B43="","",'MaryFran Anderson'!$J43)</f>
        <v/>
      </c>
      <c r="K83" s="134" t="str">
        <f aca="false">IF('MaryFran Anderson'!$B43="","",'MaryFran Anderson'!$K43)</f>
        <v/>
      </c>
      <c r="L83" s="134" t="str">
        <f aca="false">IF('MaryFran Anderson'!$B43="","",'MaryFran Anderson'!$L43)</f>
        <v/>
      </c>
      <c r="M83" s="132" t="str">
        <f aca="false">IF('MaryFran Anderson'!$B43="","",'MaryFran Anderson'!$M43)</f>
        <v/>
      </c>
      <c r="N83" s="132" t="str">
        <f aca="false">IF('MaryFran Anderson'!$B43="","",'MaryFran Anderson'!$N43)</f>
        <v/>
      </c>
      <c r="O83" s="134" t="str">
        <f aca="false">IF('MaryFran Anderson'!$B43="","",'MaryFran Anderson'!$O43)</f>
        <v/>
      </c>
      <c r="P83" s="132" t="str">
        <f aca="false">IF('MaryFran Anderson'!$B43="","",'MaryFran Anderson'!$P43)</f>
        <v/>
      </c>
      <c r="Q83" s="131" t="str">
        <f aca="false">IF('MaryFran Anderson'!$B43="","","MaryFran Anderson")</f>
        <v/>
      </c>
      <c r="R83" s="131" t="n">
        <f aca="true">IF(OR($B83="",$I83="Complete",$L83=""),0,IF($L83&lt;TODAY(),1,0))</f>
        <v>0</v>
      </c>
      <c r="S83" s="131" t="n">
        <f aca="true">IF(OR($B83="",$I83="Complete",$L83=""),0,IF(AND($L83&gt;=TODAY(),$L83&lt;=TODAY()+7),1,0))</f>
        <v>0</v>
      </c>
      <c r="T83" s="131" t="str">
        <f aca="true">IF(OR($B83="",$L83=""),"",$L83-TODAY())</f>
        <v/>
      </c>
      <c r="U83" s="135" t="str">
        <f aca="false">IF($B83="","",IF($I83="Complete",1,IF($J83="",0,$J83)))</f>
        <v/>
      </c>
      <c r="V83" s="131" t="n">
        <f aca="false">IF($B83="",0,IF($N83="",0,1))</f>
        <v>0</v>
      </c>
      <c r="W83" s="131" t="n">
        <f aca="false">IF($B83="",0,1)</f>
        <v>0</v>
      </c>
    </row>
    <row r="84" customFormat="false" ht="15" hidden="false" customHeight="false" outlineLevel="0" collapsed="false">
      <c r="A84" s="131" t="str">
        <f aca="false">IF('MaryFran Anderson'!$B44="","",'MaryFran Anderson'!$A44)</f>
        <v/>
      </c>
      <c r="B84" s="131" t="str">
        <f aca="false">IF('MaryFran Anderson'!$B44="","",'MaryFran Anderson'!$B44)</f>
        <v/>
      </c>
      <c r="C84" s="132" t="str">
        <f aca="false">IF('MaryFran Anderson'!$B44="","",'MaryFran Anderson'!$C44)</f>
        <v/>
      </c>
      <c r="D84" s="132" t="str">
        <f aca="false">IF('MaryFran Anderson'!$B44="","",'MaryFran Anderson'!$D44)</f>
        <v/>
      </c>
      <c r="E84" s="132" t="str">
        <f aca="false">IF('MaryFran Anderson'!$B44="","",'MaryFran Anderson'!$E44)</f>
        <v/>
      </c>
      <c r="F84" s="132" t="str">
        <f aca="false">IF('MaryFran Anderson'!$B44="","",'MaryFran Anderson'!$F44)</f>
        <v/>
      </c>
      <c r="G84" s="132" t="str">
        <f aca="false">IF('MaryFran Anderson'!$B44="","",'MaryFran Anderson'!$G44)</f>
        <v/>
      </c>
      <c r="H84" s="131" t="str">
        <f aca="false">IF('MaryFran Anderson'!$B44="","",'MaryFran Anderson'!$H44)</f>
        <v/>
      </c>
      <c r="I84" s="131" t="str">
        <f aca="false">IF('MaryFran Anderson'!$B44="","",'MaryFran Anderson'!$I44)</f>
        <v/>
      </c>
      <c r="J84" s="133" t="str">
        <f aca="false">IF('MaryFran Anderson'!$B44="","",'MaryFran Anderson'!$J44)</f>
        <v/>
      </c>
      <c r="K84" s="134" t="str">
        <f aca="false">IF('MaryFran Anderson'!$B44="","",'MaryFran Anderson'!$K44)</f>
        <v/>
      </c>
      <c r="L84" s="134" t="str">
        <f aca="false">IF('MaryFran Anderson'!$B44="","",'MaryFran Anderson'!$L44)</f>
        <v/>
      </c>
      <c r="M84" s="132" t="str">
        <f aca="false">IF('MaryFran Anderson'!$B44="","",'MaryFran Anderson'!$M44)</f>
        <v/>
      </c>
      <c r="N84" s="132" t="str">
        <f aca="false">IF('MaryFran Anderson'!$B44="","",'MaryFran Anderson'!$N44)</f>
        <v/>
      </c>
      <c r="O84" s="134" t="str">
        <f aca="false">IF('MaryFran Anderson'!$B44="","",'MaryFran Anderson'!$O44)</f>
        <v/>
      </c>
      <c r="P84" s="132" t="str">
        <f aca="false">IF('MaryFran Anderson'!$B44="","",'MaryFran Anderson'!$P44)</f>
        <v/>
      </c>
      <c r="Q84" s="131" t="str">
        <f aca="false">IF('MaryFran Anderson'!$B44="","","MaryFran Anderson")</f>
        <v/>
      </c>
      <c r="R84" s="131" t="n">
        <f aca="true">IF(OR($B84="",$I84="Complete",$L84=""),0,IF($L84&lt;TODAY(),1,0))</f>
        <v>0</v>
      </c>
      <c r="S84" s="131" t="n">
        <f aca="true">IF(OR($B84="",$I84="Complete",$L84=""),0,IF(AND($L84&gt;=TODAY(),$L84&lt;=TODAY()+7),1,0))</f>
        <v>0</v>
      </c>
      <c r="T84" s="131" t="str">
        <f aca="true">IF(OR($B84="",$L84=""),"",$L84-TODAY())</f>
        <v/>
      </c>
      <c r="U84" s="135" t="str">
        <f aca="false">IF($B84="","",IF($I84="Complete",1,IF($J84="",0,$J84)))</f>
        <v/>
      </c>
      <c r="V84" s="131" t="n">
        <f aca="false">IF($B84="",0,IF($N84="",0,1))</f>
        <v>0</v>
      </c>
      <c r="W84" s="131" t="n">
        <f aca="false">IF($B84="",0,1)</f>
        <v>0</v>
      </c>
    </row>
    <row r="85" customFormat="false" ht="19.4" hidden="false" customHeight="false" outlineLevel="0" collapsed="false">
      <c r="A85" s="131" t="str">
        <f aca="false">IF('Shane Mattingly'!$B5="","",'Shane Mattingly'!$A5)</f>
        <v>SM-001</v>
      </c>
      <c r="B85" s="131" t="str">
        <f aca="false">IF('Shane Mattingly'!$B5="","",'Shane Mattingly'!$B5)</f>
        <v>P1-1</v>
      </c>
      <c r="C85" s="132" t="str">
        <f aca="false">IF('Shane Mattingly'!$B5="","",'Shane Mattingly'!$C5)</f>
        <v>1 – Unified Development System</v>
      </c>
      <c r="D85" s="132" t="str">
        <f aca="false">IF('Shane Mattingly'!$B5="","",'Shane Mattingly'!$D5)</f>
        <v>Implement standardized Mutual Evaluation Process (MEP) across all brands</v>
      </c>
      <c r="E85" s="132" t="str">
        <f aca="false">IF('Shane Mattingly'!$B5="","",'Shane Mattingly'!$E5)</f>
        <v>Shane Mattingly</v>
      </c>
      <c r="F85" s="132" t="str">
        <f aca="false">IF('Shane Mattingly'!$B5="","",'Shane Mattingly'!$F5)</f>
        <v>Contributor</v>
      </c>
      <c r="G85" s="132" t="str">
        <f aca="false">IF('Shane Mattingly'!$B5="","",'Shane Mattingly'!$G5)</f>
        <v>Training Section 1-3 in Fran Dev 101</v>
      </c>
      <c r="H85" s="131" t="str">
        <f aca="false">IF('Shane Mattingly'!$B5="","",'Shane Mattingly'!$H5)</f>
        <v>Medium</v>
      </c>
      <c r="I85" s="131" t="str">
        <f aca="false">IF('Shane Mattingly'!$B5="","",'Shane Mattingly'!$I5)</f>
        <v>In Progress</v>
      </c>
      <c r="J85" s="133" t="n">
        <f aca="false">IF('Shane Mattingly'!$B5="","",'Shane Mattingly'!$J5)</f>
        <v>0.5</v>
      </c>
      <c r="K85" s="134" t="n">
        <f aca="false">IF('Shane Mattingly'!$B5="","",'Shane Mattingly'!$K5)</f>
        <v>46162</v>
      </c>
      <c r="L85" s="134" t="n">
        <f aca="false">IF('Shane Mattingly'!$B5="","",'Shane Mattingly'!$L5)</f>
        <v>46186</v>
      </c>
      <c r="M85" s="132" t="n">
        <f aca="false">IF('Shane Mattingly'!$B5="","",'Shane Mattingly'!$M5)</f>
        <v>0</v>
      </c>
      <c r="N85" s="132" t="n">
        <f aca="false">IF('Shane Mattingly'!$B5="","",'Shane Mattingly'!$N5)</f>
        <v>0</v>
      </c>
      <c r="O85" s="134" t="str">
        <f aca="false">IF('Shane Mattingly'!$B5="","",'Shane Mattingly'!$O5)</f>
        <v>Assigned 5/20</v>
      </c>
      <c r="P85" s="132" t="str">
        <f aca="false">IF('Shane Mattingly'!$B5="","",'Shane Mattingly'!$P5)</f>
        <v>Complete sections 2-3</v>
      </c>
      <c r="Q85" s="131" t="str">
        <f aca="false">IF('Shane Mattingly'!$B5="","","Shane Mattingly")</f>
        <v>Shane Mattingly</v>
      </c>
      <c r="R85" s="131" t="n">
        <f aca="true">IF(OR($B85="",$I85="Complete",$L85=""),0,IF($L85&lt;TODAY(),1,0))</f>
        <v>0</v>
      </c>
      <c r="S85" s="131" t="n">
        <f aca="true">IF(OR($B85="",$I85="Complete",$L85=""),0,IF(AND($L85&gt;=TODAY(),$L85&lt;=TODAY()+7),1,0))</f>
        <v>0</v>
      </c>
      <c r="T85" s="131" t="n">
        <f aca="true">IF(OR($B85="",$L85=""),"",$L85-TODAY())</f>
        <v>16</v>
      </c>
      <c r="U85" s="135" t="n">
        <f aca="false">IF($B85="","",IF($I85="Complete",1,IF($J85="",0,$J85)))</f>
        <v>0.5</v>
      </c>
      <c r="V85" s="131" t="n">
        <f aca="false">IF($B85="",0,IF($N85="",0,1))</f>
        <v>0</v>
      </c>
      <c r="W85" s="131" t="n">
        <f aca="false">IF($B85="",0,1)</f>
        <v>1</v>
      </c>
    </row>
    <row r="86" customFormat="false" ht="28.35" hidden="false" customHeight="false" outlineLevel="0" collapsed="false">
      <c r="A86" s="131" t="str">
        <f aca="false">IF('Shane Mattingly'!$B6="","",'Shane Mattingly'!$A6)</f>
        <v>SM-002</v>
      </c>
      <c r="B86" s="131" t="str">
        <f aca="false">IF('Shane Mattingly'!$B6="","",'Shane Mattingly'!$B6)</f>
        <v>P1-2</v>
      </c>
      <c r="C86" s="132" t="str">
        <f aca="false">IF('Shane Mattingly'!$B6="","",'Shane Mattingly'!$C6)</f>
        <v>1 – Unified Development System</v>
      </c>
      <c r="D86" s="132" t="str">
        <f aca="false">IF('Shane Mattingly'!$B6="","",'Shane Mattingly'!$D6)</f>
        <v>Standardize pipeline stages, definitions, and reporting in CRM</v>
      </c>
      <c r="E86" s="132" t="str">
        <f aca="false">IF('Shane Mattingly'!$B6="","",'Shane Mattingly'!$E6)</f>
        <v>Shane Mattingly</v>
      </c>
      <c r="F86" s="132" t="str">
        <f aca="false">IF('Shane Mattingly'!$B6="","",'Shane Mattingly'!$F6)</f>
        <v>Owner</v>
      </c>
      <c r="G86" s="132" t="str">
        <f aca="false">IF('Shane Mattingly'!$B6="","",'Shane Mattingly'!$G6)</f>
        <v>Standardize pipeline stages, definitions &amp; reporting in CRM</v>
      </c>
      <c r="H86" s="131" t="str">
        <f aca="false">IF('Shane Mattingly'!$B6="","",'Shane Mattingly'!$H6)</f>
        <v>Critical</v>
      </c>
      <c r="I86" s="131" t="str">
        <f aca="false">IF('Shane Mattingly'!$B6="","",'Shane Mattingly'!$I6)</f>
        <v>In Progress</v>
      </c>
      <c r="J86" s="133" t="n">
        <f aca="false">IF('Shane Mattingly'!$B6="","",'Shane Mattingly'!$J6)</f>
        <v>0.5</v>
      </c>
      <c r="K86" s="134" t="n">
        <f aca="false">IF('Shane Mattingly'!$B6="","",'Shane Mattingly'!$K6)</f>
        <v>46143</v>
      </c>
      <c r="L86" s="134" t="n">
        <f aca="false">IF('Shane Mattingly'!$B6="","",'Shane Mattingly'!$L6)</f>
        <v>46168</v>
      </c>
      <c r="M86" s="132" t="n">
        <f aca="false">IF('Shane Mattingly'!$B6="","",'Shane Mattingly'!$M6)</f>
        <v>0</v>
      </c>
      <c r="N86" s="132" t="n">
        <f aca="false">IF('Shane Mattingly'!$B6="","",'Shane Mattingly'!$N6)</f>
        <v>0</v>
      </c>
      <c r="O86" s="134" t="str">
        <f aca="false">IF('Shane Mattingly'!$B6="","",'Shane Mattingly'!$O6)</f>
        <v>Draft stage definitions circulated</v>
      </c>
      <c r="P86" s="132" t="str">
        <f aca="false">IF('Shane Mattingly'!$B6="","",'Shane Mattingly'!$P6)</f>
        <v>Finalize stage definitions &amp; lock CRM config</v>
      </c>
      <c r="Q86" s="131" t="str">
        <f aca="false">IF('Shane Mattingly'!$B6="","","Shane Mattingly")</f>
        <v>Shane Mattingly</v>
      </c>
      <c r="R86" s="131" t="n">
        <f aca="true">IF(OR($B86="",$I86="Complete",$L86=""),0,IF($L86&lt;TODAY(),1,0))</f>
        <v>1</v>
      </c>
      <c r="S86" s="131" t="n">
        <f aca="true">IF(OR($B86="",$I86="Complete",$L86=""),0,IF(AND($L86&gt;=TODAY(),$L86&lt;=TODAY()+7),1,0))</f>
        <v>0</v>
      </c>
      <c r="T86" s="131" t="n">
        <f aca="true">IF(OR($B86="",$L86=""),"",$L86-TODAY())</f>
        <v>-2</v>
      </c>
      <c r="U86" s="135" t="n">
        <f aca="false">IF($B86="","",IF($I86="Complete",1,IF($J86="",0,$J86)))</f>
        <v>0.5</v>
      </c>
      <c r="V86" s="131" t="n">
        <f aca="false">IF($B86="",0,IF($N86="",0,1))</f>
        <v>0</v>
      </c>
      <c r="W86" s="131" t="n">
        <f aca="false">IF($B86="",0,1)</f>
        <v>1</v>
      </c>
    </row>
    <row r="87" customFormat="false" ht="19.4" hidden="false" customHeight="false" outlineLevel="0" collapsed="false">
      <c r="A87" s="131" t="str">
        <f aca="false">IF('Shane Mattingly'!$B7="","",'Shane Mattingly'!$A7)</f>
        <v>SM-003</v>
      </c>
      <c r="B87" s="131" t="str">
        <f aca="false">IF('Shane Mattingly'!$B7="","",'Shane Mattingly'!$B7)</f>
        <v>P3-2</v>
      </c>
      <c r="C87" s="132" t="str">
        <f aca="false">IF('Shane Mattingly'!$B7="","",'Shane Mattingly'!$C7)</f>
        <v>3 – Broker Channel</v>
      </c>
      <c r="D87" s="132" t="str">
        <f aca="false">IF('Shane Mattingly'!$B7="","",'Shane Mattingly'!$D7)</f>
        <v>Route 100% of broker leads through CRM for centralized intake and visibility.</v>
      </c>
      <c r="E87" s="132" t="str">
        <f aca="false">IF('Shane Mattingly'!$B7="","",'Shane Mattingly'!$E7)</f>
        <v>Shane Mattingly</v>
      </c>
      <c r="F87" s="132" t="str">
        <f aca="false">IF('Shane Mattingly'!$B7="","",'Shane Mattingly'!$F7)</f>
        <v>Owner</v>
      </c>
      <c r="G87" s="132" t="str">
        <f aca="false">IF('Shane Mattingly'!$B7="","",'Shane Mattingly'!$G7)</f>
        <v>Route 100% of broker leads through CRM</v>
      </c>
      <c r="H87" s="131" t="str">
        <f aca="false">IF('Shane Mattingly'!$B7="","",'Shane Mattingly'!$H7)</f>
        <v>High</v>
      </c>
      <c r="I87" s="131" t="str">
        <f aca="false">IF('Shane Mattingly'!$B7="","",'Shane Mattingly'!$I7)</f>
        <v>In Progress</v>
      </c>
      <c r="J87" s="133" t="n">
        <f aca="false">IF('Shane Mattingly'!$B7="","",'Shane Mattingly'!$J7)</f>
        <v>0.4</v>
      </c>
      <c r="K87" s="134" t="n">
        <f aca="false">IF('Shane Mattingly'!$B7="","",'Shane Mattingly'!$K7)</f>
        <v>46147</v>
      </c>
      <c r="L87" s="134" t="n">
        <f aca="false">IF('Shane Mattingly'!$B7="","",'Shane Mattingly'!$L7)</f>
        <v>46193</v>
      </c>
      <c r="M87" s="132" t="str">
        <f aca="false">IF('Shane Mattingly'!$B7="","",'Shane Mattingly'!$M7)</f>
        <v>Broker portal update (MFA)</v>
      </c>
      <c r="N87" s="132" t="n">
        <f aca="false">IF('Shane Mattingly'!$B7="","",'Shane Mattingly'!$N7)</f>
        <v>0</v>
      </c>
      <c r="O87" s="134" t="str">
        <f aca="false">IF('Shane Mattingly'!$B7="","",'Shane Mattingly'!$O7)</f>
        <v>Building intake routing</v>
      </c>
      <c r="P87" s="132" t="str">
        <f aca="false">IF('Shane Mattingly'!$B7="","",'Shane Mattingly'!$P7)</f>
        <v>Test routing with sample broker leads</v>
      </c>
      <c r="Q87" s="131" t="str">
        <f aca="false">IF('Shane Mattingly'!$B7="","","Shane Mattingly")</f>
        <v>Shane Mattingly</v>
      </c>
      <c r="R87" s="131" t="n">
        <f aca="true">IF(OR($B87="",$I87="Complete",$L87=""),0,IF($L87&lt;TODAY(),1,0))</f>
        <v>0</v>
      </c>
      <c r="S87" s="131" t="n">
        <f aca="true">IF(OR($B87="",$I87="Complete",$L87=""),0,IF(AND($L87&gt;=TODAY(),$L87&lt;=TODAY()+7),1,0))</f>
        <v>0</v>
      </c>
      <c r="T87" s="131" t="n">
        <f aca="true">IF(OR($B87="",$L87=""),"",$L87-TODAY())</f>
        <v>23</v>
      </c>
      <c r="U87" s="135" t="n">
        <f aca="false">IF($B87="","",IF($I87="Complete",1,IF($J87="",0,$J87)))</f>
        <v>0.4</v>
      </c>
      <c r="V87" s="131" t="n">
        <f aca="false">IF($B87="",0,IF($N87="",0,1))</f>
        <v>0</v>
      </c>
      <c r="W87" s="131" t="n">
        <f aca="false">IF($B87="",0,1)</f>
        <v>1</v>
      </c>
    </row>
    <row r="88" customFormat="false" ht="19.4" hidden="false" customHeight="false" outlineLevel="0" collapsed="false">
      <c r="A88" s="131" t="str">
        <f aca="false">IF('Shane Mattingly'!$B8="","",'Shane Mattingly'!$A8)</f>
        <v>SM-004</v>
      </c>
      <c r="B88" s="131" t="str">
        <f aca="false">IF('Shane Mattingly'!$B8="","",'Shane Mattingly'!$B8)</f>
        <v>P5-4</v>
      </c>
      <c r="C88" s="132" t="str">
        <f aca="false">IF('Shane Mattingly'!$B8="","",'Shane Mattingly'!$C8)</f>
        <v>5 – Operational Infrastructure</v>
      </c>
      <c r="D88" s="132" t="str">
        <f aca="false">IF('Shane Mattingly'!$B8="","",'Shane Mattingly'!$D8)</f>
        <v>Build centralized KPI dashboard and reporting visibility</v>
      </c>
      <c r="E88" s="132" t="str">
        <f aca="false">IF('Shane Mattingly'!$B8="","",'Shane Mattingly'!$E8)</f>
        <v>Shane Mattingly</v>
      </c>
      <c r="F88" s="132" t="str">
        <f aca="false">IF('Shane Mattingly'!$B8="","",'Shane Mattingly'!$F8)</f>
        <v>Owner</v>
      </c>
      <c r="G88" s="132" t="str">
        <f aca="false">IF('Shane Mattingly'!$B8="","",'Shane Mattingly'!$G8)</f>
        <v>Build centralized KPI dashboard &amp; reporting visibility</v>
      </c>
      <c r="H88" s="131" t="str">
        <f aca="false">IF('Shane Mattingly'!$B8="","",'Shane Mattingly'!$H8)</f>
        <v>Critical</v>
      </c>
      <c r="I88" s="131" t="str">
        <f aca="false">IF('Shane Mattingly'!$B8="","",'Shane Mattingly'!$I8)</f>
        <v>Not Started</v>
      </c>
      <c r="J88" s="133" t="n">
        <f aca="false">IF('Shane Mattingly'!$B8="","",'Shane Mattingly'!$J8)</f>
        <v>0</v>
      </c>
      <c r="K88" s="134" t="n">
        <f aca="false">IF('Shane Mattingly'!$B8="","",'Shane Mattingly'!$K8)</f>
        <v>46174</v>
      </c>
      <c r="L88" s="134" t="n">
        <f aca="false">IF('Shane Mattingly'!$B8="","",'Shane Mattingly'!$L8)</f>
        <v>46221</v>
      </c>
      <c r="M88" s="132" t="str">
        <f aca="false">IF('Shane Mattingly'!$B8="","",'Shane Mattingly'!$M8)</f>
        <v>Pipeline stage standardization (P1-2)</v>
      </c>
      <c r="N88" s="132" t="n">
        <f aca="false">IF('Shane Mattingly'!$B8="","",'Shane Mattingly'!$N8)</f>
        <v>0</v>
      </c>
      <c r="O88" s="134" t="str">
        <f aca="false">IF('Shane Mattingly'!$B8="","",'Shane Mattingly'!$O8)</f>
        <v>Pending stage standardization</v>
      </c>
      <c r="P88" s="132" t="str">
        <f aca="false">IF('Shane Mattingly'!$B8="","",'Shane Mattingly'!$P8)</f>
        <v>Spec dashboard KPIs</v>
      </c>
      <c r="Q88" s="131" t="str">
        <f aca="false">IF('Shane Mattingly'!$B8="","","Shane Mattingly")</f>
        <v>Shane Mattingly</v>
      </c>
      <c r="R88" s="131" t="n">
        <f aca="true">IF(OR($B88="",$I88="Complete",$L88=""),0,IF($L88&lt;TODAY(),1,0))</f>
        <v>0</v>
      </c>
      <c r="S88" s="131" t="n">
        <f aca="true">IF(OR($B88="",$I88="Complete",$L88=""),0,IF(AND($L88&gt;=TODAY(),$L88&lt;=TODAY()+7),1,0))</f>
        <v>0</v>
      </c>
      <c r="T88" s="131" t="n">
        <f aca="true">IF(OR($B88="",$L88=""),"",$L88-TODAY())</f>
        <v>51</v>
      </c>
      <c r="U88" s="135" t="n">
        <f aca="false">IF($B88="","",IF($I88="Complete",1,IF($J88="",0,$J88)))</f>
        <v>0</v>
      </c>
      <c r="V88" s="131" t="n">
        <f aca="false">IF($B88="",0,IF($N88="",0,1))</f>
        <v>0</v>
      </c>
      <c r="W88" s="131" t="n">
        <f aca="false">IF($B88="",0,1)</f>
        <v>1</v>
      </c>
    </row>
    <row r="89" customFormat="false" ht="19.4" hidden="false" customHeight="false" outlineLevel="0" collapsed="false">
      <c r="A89" s="131" t="str">
        <f aca="false">IF('Shane Mattingly'!$B9="","",'Shane Mattingly'!$A9)</f>
        <v>SM-005</v>
      </c>
      <c r="B89" s="131" t="str">
        <f aca="false">IF('Shane Mattingly'!$B9="","",'Shane Mattingly'!$B9)</f>
        <v>P7-1</v>
      </c>
      <c r="C89" s="132" t="str">
        <f aca="false">IF('Shane Mattingly'!$B9="","",'Shane Mattingly'!$C9)</f>
        <v>7 – Operating Rhythm</v>
      </c>
      <c r="D89" s="132" t="str">
        <f aca="false">IF('Shane Mattingly'!$B9="","",'Shane Mattingly'!$D9)</f>
        <v>Implement weekly KPI scorecards by brand, developer, and source</v>
      </c>
      <c r="E89" s="132" t="str">
        <f aca="false">IF('Shane Mattingly'!$B9="","",'Shane Mattingly'!$E9)</f>
        <v>Shane Mattingly</v>
      </c>
      <c r="F89" s="132" t="str">
        <f aca="false">IF('Shane Mattingly'!$B9="","",'Shane Mattingly'!$F9)</f>
        <v>Owner</v>
      </c>
      <c r="G89" s="132" t="str">
        <f aca="false">IF('Shane Mattingly'!$B9="","",'Shane Mattingly'!$G9)</f>
        <v>Implement weekly KPI scorecards by brand, developer &amp; source</v>
      </c>
      <c r="H89" s="131" t="str">
        <f aca="false">IF('Shane Mattingly'!$B9="","",'Shane Mattingly'!$H9)</f>
        <v>High</v>
      </c>
      <c r="I89" s="131" t="str">
        <f aca="false">IF('Shane Mattingly'!$B9="","",'Shane Mattingly'!$I9)</f>
        <v>In Progress</v>
      </c>
      <c r="J89" s="133" t="n">
        <f aca="false">IF('Shane Mattingly'!$B9="","",'Shane Mattingly'!$J9)</f>
        <v>0.3</v>
      </c>
      <c r="K89" s="134" t="n">
        <f aca="false">IF('Shane Mattingly'!$B9="","",'Shane Mattingly'!$K9)</f>
        <v>46152</v>
      </c>
      <c r="L89" s="134" t="n">
        <f aca="false">IF('Shane Mattingly'!$B9="","",'Shane Mattingly'!$L9)</f>
        <v>46200</v>
      </c>
      <c r="M89" s="132" t="n">
        <f aca="false">IF('Shane Mattingly'!$B9="","",'Shane Mattingly'!$M9)</f>
        <v>0</v>
      </c>
      <c r="N89" s="132" t="n">
        <f aca="false">IF('Shane Mattingly'!$B9="","",'Shane Mattingly'!$N9)</f>
        <v>0</v>
      </c>
      <c r="O89" s="134" t="str">
        <f aca="false">IF('Shane Mattingly'!$B9="","",'Shane Mattingly'!$O9)</f>
        <v>Scorecard v1 drafted</v>
      </c>
      <c r="P89" s="132" t="str">
        <f aca="false">IF('Shane Mattingly'!$B9="","",'Shane Mattingly'!$P9)</f>
        <v>Automate weekly refresh</v>
      </c>
      <c r="Q89" s="131" t="str">
        <f aca="false">IF('Shane Mattingly'!$B9="","","Shane Mattingly")</f>
        <v>Shane Mattingly</v>
      </c>
      <c r="R89" s="131" t="n">
        <f aca="true">IF(OR($B89="",$I89="Complete",$L89=""),0,IF($L89&lt;TODAY(),1,0))</f>
        <v>0</v>
      </c>
      <c r="S89" s="131" t="n">
        <f aca="true">IF(OR($B89="",$I89="Complete",$L89=""),0,IF(AND($L89&gt;=TODAY(),$L89&lt;=TODAY()+7),1,0))</f>
        <v>0</v>
      </c>
      <c r="T89" s="131" t="n">
        <f aca="true">IF(OR($B89="",$L89=""),"",$L89-TODAY())</f>
        <v>30</v>
      </c>
      <c r="U89" s="135" t="n">
        <f aca="false">IF($B89="","",IF($I89="Complete",1,IF($J89="",0,$J89)))</f>
        <v>0.3</v>
      </c>
      <c r="V89" s="131" t="n">
        <f aca="false">IF($B89="",0,IF($N89="",0,1))</f>
        <v>0</v>
      </c>
      <c r="W89" s="131" t="n">
        <f aca="false">IF($B89="",0,1)</f>
        <v>1</v>
      </c>
    </row>
    <row r="90" customFormat="false" ht="19.4" hidden="false" customHeight="false" outlineLevel="0" collapsed="false">
      <c r="A90" s="131" t="str">
        <f aca="false">IF('Shane Mattingly'!$B10="","",'Shane Mattingly'!$A10)</f>
        <v>SM-006</v>
      </c>
      <c r="B90" s="131" t="str">
        <f aca="false">IF('Shane Mattingly'!$B10="","",'Shane Mattingly'!$B10)</f>
        <v>P7-3</v>
      </c>
      <c r="C90" s="132" t="str">
        <f aca="false">IF('Shane Mattingly'!$B10="","",'Shane Mattingly'!$C10)</f>
        <v>7 – Operating Rhythm</v>
      </c>
      <c r="D90" s="132" t="str">
        <f aca="false">IF('Shane Mattingly'!$B10="","",'Shane Mattingly'!$D10)</f>
        <v>Standardize forecasting methodology</v>
      </c>
      <c r="E90" s="132" t="str">
        <f aca="false">IF('Shane Mattingly'!$B10="","",'Shane Mattingly'!$E10)</f>
        <v>Shane Mattingly</v>
      </c>
      <c r="F90" s="132" t="str">
        <f aca="false">IF('Shane Mattingly'!$B10="","",'Shane Mattingly'!$F10)</f>
        <v>Owner</v>
      </c>
      <c r="G90" s="132" t="str">
        <f aca="false">IF('Shane Mattingly'!$B10="","",'Shane Mattingly'!$G10)</f>
        <v>Standardize forecasting methodology</v>
      </c>
      <c r="H90" s="131" t="str">
        <f aca="false">IF('Shane Mattingly'!$B10="","",'Shane Mattingly'!$H10)</f>
        <v>High</v>
      </c>
      <c r="I90" s="131" t="str">
        <f aca="false">IF('Shane Mattingly'!$B10="","",'Shane Mattingly'!$I10)</f>
        <v>In Progress</v>
      </c>
      <c r="J90" s="133" t="n">
        <f aca="false">IF('Shane Mattingly'!$B10="","",'Shane Mattingly'!$J10)</f>
        <v>0.2</v>
      </c>
      <c r="K90" s="134" t="n">
        <f aca="false">IF('Shane Mattingly'!$B10="","",'Shane Mattingly'!$K10)</f>
        <v>46157</v>
      </c>
      <c r="L90" s="134" t="n">
        <f aca="false">IF('Shane Mattingly'!$B10="","",'Shane Mattingly'!$L10)</f>
        <v>46206</v>
      </c>
      <c r="M90" s="132" t="n">
        <f aca="false">IF('Shane Mattingly'!$B10="","",'Shane Mattingly'!$M10)</f>
        <v>0</v>
      </c>
      <c r="N90" s="132" t="n">
        <f aca="false">IF('Shane Mattingly'!$B10="","",'Shane Mattingly'!$N10)</f>
        <v>0</v>
      </c>
      <c r="O90" s="134" t="str">
        <f aca="false">IF('Shane Mattingly'!$B10="","",'Shane Mattingly'!$O10)</f>
        <v>Reviewing brand forecast inputs</v>
      </c>
      <c r="P90" s="132" t="str">
        <f aca="false">IF('Shane Mattingly'!$B10="","",'Shane Mattingly'!$P10)</f>
        <v>Align methodology across brands</v>
      </c>
      <c r="Q90" s="131" t="str">
        <f aca="false">IF('Shane Mattingly'!$B10="","","Shane Mattingly")</f>
        <v>Shane Mattingly</v>
      </c>
      <c r="R90" s="131" t="n">
        <f aca="true">IF(OR($B90="",$I90="Complete",$L90=""),0,IF($L90&lt;TODAY(),1,0))</f>
        <v>0</v>
      </c>
      <c r="S90" s="131" t="n">
        <f aca="true">IF(OR($B90="",$I90="Complete",$L90=""),0,IF(AND($L90&gt;=TODAY(),$L90&lt;=TODAY()+7),1,0))</f>
        <v>0</v>
      </c>
      <c r="T90" s="131" t="n">
        <f aca="true">IF(OR($B90="",$L90=""),"",$L90-TODAY())</f>
        <v>36</v>
      </c>
      <c r="U90" s="135" t="n">
        <f aca="false">IF($B90="","",IF($I90="Complete",1,IF($J90="",0,$J90)))</f>
        <v>0.2</v>
      </c>
      <c r="V90" s="131" t="n">
        <f aca="false">IF($B90="",0,IF($N90="",0,1))</f>
        <v>0</v>
      </c>
      <c r="W90" s="131" t="n">
        <f aca="false">IF($B90="",0,1)</f>
        <v>1</v>
      </c>
    </row>
    <row r="91" customFormat="false" ht="15" hidden="false" customHeight="false" outlineLevel="0" collapsed="false">
      <c r="A91" s="131" t="str">
        <f aca="false">IF('Shane Mattingly'!$B11="","",'Shane Mattingly'!$A11)</f>
        <v>SM-007</v>
      </c>
      <c r="B91" s="131" t="str">
        <f aca="false">IF('Shane Mattingly'!$B11="","",'Shane Mattingly'!$B11)</f>
        <v>P3-3</v>
      </c>
      <c r="C91" s="132" t="str">
        <f aca="false">IF('Shane Mattingly'!$B11="","",'Shane Mattingly'!$C11)</f>
        <v>3 – Broker Channel</v>
      </c>
      <c r="D91" s="132" t="str">
        <f aca="false">IF('Shane Mattingly'!$B11="","",'Shane Mattingly'!$D11)</f>
        <v>Implement rules-based lead distribution</v>
      </c>
      <c r="E91" s="132" t="str">
        <f aca="false">IF('Shane Mattingly'!$B11="","",'Shane Mattingly'!$E11)</f>
        <v>Shane Mattingly</v>
      </c>
      <c r="F91" s="132" t="str">
        <f aca="false">IF('Shane Mattingly'!$B11="","",'Shane Mattingly'!$F11)</f>
        <v>Owner</v>
      </c>
      <c r="G91" s="132" t="str">
        <f aca="false">IF('Shane Mattingly'!$B11="","",'Shane Mattingly'!$G11)</f>
        <v>Implement rules-based lead distribution</v>
      </c>
      <c r="H91" s="131" t="str">
        <f aca="false">IF('Shane Mattingly'!$B11="","",'Shane Mattingly'!$H11)</f>
        <v>Medium</v>
      </c>
      <c r="I91" s="131" t="str">
        <f aca="false">IF('Shane Mattingly'!$B11="","",'Shane Mattingly'!$I11)</f>
        <v>Not Started</v>
      </c>
      <c r="J91" s="133" t="n">
        <f aca="false">IF('Shane Mattingly'!$B11="","",'Shane Mattingly'!$J11)</f>
        <v>0</v>
      </c>
      <c r="K91" s="134" t="n">
        <f aca="false">IF('Shane Mattingly'!$B11="","",'Shane Mattingly'!$K11)</f>
        <v>46183</v>
      </c>
      <c r="L91" s="134" t="n">
        <f aca="false">IF('Shane Mattingly'!$B11="","",'Shane Mattingly'!$L11)</f>
        <v>46228</v>
      </c>
      <c r="M91" s="132" t="n">
        <f aca="false">IF('Shane Mattingly'!$B11="","",'Shane Mattingly'!$M11)</f>
        <v>0</v>
      </c>
      <c r="N91" s="132" t="n">
        <f aca="false">IF('Shane Mattingly'!$B11="","",'Shane Mattingly'!$N11)</f>
        <v>0</v>
      </c>
      <c r="O91" s="134" t="str">
        <f aca="false">IF('Shane Mattingly'!$B11="","",'Shane Mattingly'!$O11)</f>
        <v>Not started</v>
      </c>
      <c r="P91" s="132" t="str">
        <f aca="false">IF('Shane Mattingly'!$B11="","",'Shane Mattingly'!$P11)</f>
        <v>Define distribution rules</v>
      </c>
      <c r="Q91" s="131" t="str">
        <f aca="false">IF('Shane Mattingly'!$B11="","","Shane Mattingly")</f>
        <v>Shane Mattingly</v>
      </c>
      <c r="R91" s="131" t="n">
        <f aca="true">IF(OR($B91="",$I91="Complete",$L91=""),0,IF($L91&lt;TODAY(),1,0))</f>
        <v>0</v>
      </c>
      <c r="S91" s="131" t="n">
        <f aca="true">IF(OR($B91="",$I91="Complete",$L91=""),0,IF(AND($L91&gt;=TODAY(),$L91&lt;=TODAY()+7),1,0))</f>
        <v>0</v>
      </c>
      <c r="T91" s="131" t="n">
        <f aca="true">IF(OR($B91="",$L91=""),"",$L91-TODAY())</f>
        <v>58</v>
      </c>
      <c r="U91" s="135" t="n">
        <f aca="false">IF($B91="","",IF($I91="Complete",1,IF($J91="",0,$J91)))</f>
        <v>0</v>
      </c>
      <c r="V91" s="131" t="n">
        <f aca="false">IF($B91="",0,IF($N91="",0,1))</f>
        <v>0</v>
      </c>
      <c r="W91" s="131" t="n">
        <f aca="false">IF($B91="",0,1)</f>
        <v>1</v>
      </c>
    </row>
    <row r="92" customFormat="false" ht="15" hidden="false" customHeight="false" outlineLevel="0" collapsed="false">
      <c r="A92" s="131" t="str">
        <f aca="false">IF('Shane Mattingly'!$B12="","",'Shane Mattingly'!$A12)</f>
        <v/>
      </c>
      <c r="B92" s="131" t="str">
        <f aca="false">IF('Shane Mattingly'!$B12="","",'Shane Mattingly'!$B12)</f>
        <v/>
      </c>
      <c r="C92" s="132" t="str">
        <f aca="false">IF('Shane Mattingly'!$B12="","",'Shane Mattingly'!$C12)</f>
        <v/>
      </c>
      <c r="D92" s="132" t="str">
        <f aca="false">IF('Shane Mattingly'!$B12="","",'Shane Mattingly'!$D12)</f>
        <v/>
      </c>
      <c r="E92" s="132" t="str">
        <f aca="false">IF('Shane Mattingly'!$B12="","",'Shane Mattingly'!$E12)</f>
        <v/>
      </c>
      <c r="F92" s="132" t="str">
        <f aca="false">IF('Shane Mattingly'!$B12="","",'Shane Mattingly'!$F12)</f>
        <v/>
      </c>
      <c r="G92" s="132" t="str">
        <f aca="false">IF('Shane Mattingly'!$B12="","",'Shane Mattingly'!$G12)</f>
        <v/>
      </c>
      <c r="H92" s="131" t="str">
        <f aca="false">IF('Shane Mattingly'!$B12="","",'Shane Mattingly'!$H12)</f>
        <v/>
      </c>
      <c r="I92" s="131" t="str">
        <f aca="false">IF('Shane Mattingly'!$B12="","",'Shane Mattingly'!$I12)</f>
        <v/>
      </c>
      <c r="J92" s="133" t="str">
        <f aca="false">IF('Shane Mattingly'!$B12="","",'Shane Mattingly'!$J12)</f>
        <v/>
      </c>
      <c r="K92" s="134" t="str">
        <f aca="false">IF('Shane Mattingly'!$B12="","",'Shane Mattingly'!$K12)</f>
        <v/>
      </c>
      <c r="L92" s="134" t="str">
        <f aca="false">IF('Shane Mattingly'!$B12="","",'Shane Mattingly'!$L12)</f>
        <v/>
      </c>
      <c r="M92" s="132" t="str">
        <f aca="false">IF('Shane Mattingly'!$B12="","",'Shane Mattingly'!$M12)</f>
        <v/>
      </c>
      <c r="N92" s="132" t="str">
        <f aca="false">IF('Shane Mattingly'!$B12="","",'Shane Mattingly'!$N12)</f>
        <v/>
      </c>
      <c r="O92" s="134" t="str">
        <f aca="false">IF('Shane Mattingly'!$B12="","",'Shane Mattingly'!$O12)</f>
        <v/>
      </c>
      <c r="P92" s="132" t="str">
        <f aca="false">IF('Shane Mattingly'!$B12="","",'Shane Mattingly'!$P12)</f>
        <v/>
      </c>
      <c r="Q92" s="131" t="str">
        <f aca="false">IF('Shane Mattingly'!$B12="","","Shane Mattingly")</f>
        <v/>
      </c>
      <c r="R92" s="131" t="n">
        <f aca="true">IF(OR($B92="",$I92="Complete",$L92=""),0,IF($L92&lt;TODAY(),1,0))</f>
        <v>0</v>
      </c>
      <c r="S92" s="131" t="n">
        <f aca="true">IF(OR($B92="",$I92="Complete",$L92=""),0,IF(AND($L92&gt;=TODAY(),$L92&lt;=TODAY()+7),1,0))</f>
        <v>0</v>
      </c>
      <c r="T92" s="131" t="str">
        <f aca="true">IF(OR($B92="",$L92=""),"",$L92-TODAY())</f>
        <v/>
      </c>
      <c r="U92" s="135" t="str">
        <f aca="false">IF($B92="","",IF($I92="Complete",1,IF($J92="",0,$J92)))</f>
        <v/>
      </c>
      <c r="V92" s="131" t="n">
        <f aca="false">IF($B92="",0,IF($N92="",0,1))</f>
        <v>0</v>
      </c>
      <c r="W92" s="131" t="n">
        <f aca="false">IF($B92="",0,1)</f>
        <v>0</v>
      </c>
    </row>
    <row r="93" customFormat="false" ht="15" hidden="false" customHeight="false" outlineLevel="0" collapsed="false">
      <c r="A93" s="131" t="str">
        <f aca="false">IF('Shane Mattingly'!$B13="","",'Shane Mattingly'!$A13)</f>
        <v/>
      </c>
      <c r="B93" s="131" t="str">
        <f aca="false">IF('Shane Mattingly'!$B13="","",'Shane Mattingly'!$B13)</f>
        <v/>
      </c>
      <c r="C93" s="132" t="str">
        <f aca="false">IF('Shane Mattingly'!$B13="","",'Shane Mattingly'!$C13)</f>
        <v/>
      </c>
      <c r="D93" s="132" t="str">
        <f aca="false">IF('Shane Mattingly'!$B13="","",'Shane Mattingly'!$D13)</f>
        <v/>
      </c>
      <c r="E93" s="132" t="str">
        <f aca="false">IF('Shane Mattingly'!$B13="","",'Shane Mattingly'!$E13)</f>
        <v/>
      </c>
      <c r="F93" s="132" t="str">
        <f aca="false">IF('Shane Mattingly'!$B13="","",'Shane Mattingly'!$F13)</f>
        <v/>
      </c>
      <c r="G93" s="132" t="str">
        <f aca="false">IF('Shane Mattingly'!$B13="","",'Shane Mattingly'!$G13)</f>
        <v/>
      </c>
      <c r="H93" s="131" t="str">
        <f aca="false">IF('Shane Mattingly'!$B13="","",'Shane Mattingly'!$H13)</f>
        <v/>
      </c>
      <c r="I93" s="131" t="str">
        <f aca="false">IF('Shane Mattingly'!$B13="","",'Shane Mattingly'!$I13)</f>
        <v/>
      </c>
      <c r="J93" s="133" t="str">
        <f aca="false">IF('Shane Mattingly'!$B13="","",'Shane Mattingly'!$J13)</f>
        <v/>
      </c>
      <c r="K93" s="134" t="str">
        <f aca="false">IF('Shane Mattingly'!$B13="","",'Shane Mattingly'!$K13)</f>
        <v/>
      </c>
      <c r="L93" s="134" t="str">
        <f aca="false">IF('Shane Mattingly'!$B13="","",'Shane Mattingly'!$L13)</f>
        <v/>
      </c>
      <c r="M93" s="132" t="str">
        <f aca="false">IF('Shane Mattingly'!$B13="","",'Shane Mattingly'!$M13)</f>
        <v/>
      </c>
      <c r="N93" s="132" t="str">
        <f aca="false">IF('Shane Mattingly'!$B13="","",'Shane Mattingly'!$N13)</f>
        <v/>
      </c>
      <c r="O93" s="134" t="str">
        <f aca="false">IF('Shane Mattingly'!$B13="","",'Shane Mattingly'!$O13)</f>
        <v/>
      </c>
      <c r="P93" s="132" t="str">
        <f aca="false">IF('Shane Mattingly'!$B13="","",'Shane Mattingly'!$P13)</f>
        <v/>
      </c>
      <c r="Q93" s="131" t="str">
        <f aca="false">IF('Shane Mattingly'!$B13="","","Shane Mattingly")</f>
        <v/>
      </c>
      <c r="R93" s="131" t="n">
        <f aca="true">IF(OR($B93="",$I93="Complete",$L93=""),0,IF($L93&lt;TODAY(),1,0))</f>
        <v>0</v>
      </c>
      <c r="S93" s="131" t="n">
        <f aca="true">IF(OR($B93="",$I93="Complete",$L93=""),0,IF(AND($L93&gt;=TODAY(),$L93&lt;=TODAY()+7),1,0))</f>
        <v>0</v>
      </c>
      <c r="T93" s="131" t="str">
        <f aca="true">IF(OR($B93="",$L93=""),"",$L93-TODAY())</f>
        <v/>
      </c>
      <c r="U93" s="135" t="str">
        <f aca="false">IF($B93="","",IF($I93="Complete",1,IF($J93="",0,$J93)))</f>
        <v/>
      </c>
      <c r="V93" s="131" t="n">
        <f aca="false">IF($B93="",0,IF($N93="",0,1))</f>
        <v>0</v>
      </c>
      <c r="W93" s="131" t="n">
        <f aca="false">IF($B93="",0,1)</f>
        <v>0</v>
      </c>
    </row>
    <row r="94" customFormat="false" ht="15" hidden="false" customHeight="false" outlineLevel="0" collapsed="false">
      <c r="A94" s="131" t="str">
        <f aca="false">IF('Shane Mattingly'!$B14="","",'Shane Mattingly'!$A14)</f>
        <v/>
      </c>
      <c r="B94" s="131" t="str">
        <f aca="false">IF('Shane Mattingly'!$B14="","",'Shane Mattingly'!$B14)</f>
        <v/>
      </c>
      <c r="C94" s="132" t="str">
        <f aca="false">IF('Shane Mattingly'!$B14="","",'Shane Mattingly'!$C14)</f>
        <v/>
      </c>
      <c r="D94" s="132" t="str">
        <f aca="false">IF('Shane Mattingly'!$B14="","",'Shane Mattingly'!$D14)</f>
        <v/>
      </c>
      <c r="E94" s="132" t="str">
        <f aca="false">IF('Shane Mattingly'!$B14="","",'Shane Mattingly'!$E14)</f>
        <v/>
      </c>
      <c r="F94" s="132" t="str">
        <f aca="false">IF('Shane Mattingly'!$B14="","",'Shane Mattingly'!$F14)</f>
        <v/>
      </c>
      <c r="G94" s="132" t="str">
        <f aca="false">IF('Shane Mattingly'!$B14="","",'Shane Mattingly'!$G14)</f>
        <v/>
      </c>
      <c r="H94" s="131" t="str">
        <f aca="false">IF('Shane Mattingly'!$B14="","",'Shane Mattingly'!$H14)</f>
        <v/>
      </c>
      <c r="I94" s="131" t="str">
        <f aca="false">IF('Shane Mattingly'!$B14="","",'Shane Mattingly'!$I14)</f>
        <v/>
      </c>
      <c r="J94" s="133" t="str">
        <f aca="false">IF('Shane Mattingly'!$B14="","",'Shane Mattingly'!$J14)</f>
        <v/>
      </c>
      <c r="K94" s="134" t="str">
        <f aca="false">IF('Shane Mattingly'!$B14="","",'Shane Mattingly'!$K14)</f>
        <v/>
      </c>
      <c r="L94" s="134" t="str">
        <f aca="false">IF('Shane Mattingly'!$B14="","",'Shane Mattingly'!$L14)</f>
        <v/>
      </c>
      <c r="M94" s="132" t="str">
        <f aca="false">IF('Shane Mattingly'!$B14="","",'Shane Mattingly'!$M14)</f>
        <v/>
      </c>
      <c r="N94" s="132" t="str">
        <f aca="false">IF('Shane Mattingly'!$B14="","",'Shane Mattingly'!$N14)</f>
        <v/>
      </c>
      <c r="O94" s="134" t="str">
        <f aca="false">IF('Shane Mattingly'!$B14="","",'Shane Mattingly'!$O14)</f>
        <v/>
      </c>
      <c r="P94" s="132" t="str">
        <f aca="false">IF('Shane Mattingly'!$B14="","",'Shane Mattingly'!$P14)</f>
        <v/>
      </c>
      <c r="Q94" s="131" t="str">
        <f aca="false">IF('Shane Mattingly'!$B14="","","Shane Mattingly")</f>
        <v/>
      </c>
      <c r="R94" s="131" t="n">
        <f aca="true">IF(OR($B94="",$I94="Complete",$L94=""),0,IF($L94&lt;TODAY(),1,0))</f>
        <v>0</v>
      </c>
      <c r="S94" s="131" t="n">
        <f aca="true">IF(OR($B94="",$I94="Complete",$L94=""),0,IF(AND($L94&gt;=TODAY(),$L94&lt;=TODAY()+7),1,0))</f>
        <v>0</v>
      </c>
      <c r="T94" s="131" t="str">
        <f aca="true">IF(OR($B94="",$L94=""),"",$L94-TODAY())</f>
        <v/>
      </c>
      <c r="U94" s="135" t="str">
        <f aca="false">IF($B94="","",IF($I94="Complete",1,IF($J94="",0,$J94)))</f>
        <v/>
      </c>
      <c r="V94" s="131" t="n">
        <f aca="false">IF($B94="",0,IF($N94="",0,1))</f>
        <v>0</v>
      </c>
      <c r="W94" s="131" t="n">
        <f aca="false">IF($B94="",0,1)</f>
        <v>0</v>
      </c>
    </row>
    <row r="95" customFormat="false" ht="15" hidden="false" customHeight="false" outlineLevel="0" collapsed="false">
      <c r="A95" s="131" t="str">
        <f aca="false">IF('Shane Mattingly'!$B15="","",'Shane Mattingly'!$A15)</f>
        <v/>
      </c>
      <c r="B95" s="131" t="str">
        <f aca="false">IF('Shane Mattingly'!$B15="","",'Shane Mattingly'!$B15)</f>
        <v/>
      </c>
      <c r="C95" s="132" t="str">
        <f aca="false">IF('Shane Mattingly'!$B15="","",'Shane Mattingly'!$C15)</f>
        <v/>
      </c>
      <c r="D95" s="132" t="str">
        <f aca="false">IF('Shane Mattingly'!$B15="","",'Shane Mattingly'!$D15)</f>
        <v/>
      </c>
      <c r="E95" s="132" t="str">
        <f aca="false">IF('Shane Mattingly'!$B15="","",'Shane Mattingly'!$E15)</f>
        <v/>
      </c>
      <c r="F95" s="132" t="str">
        <f aca="false">IF('Shane Mattingly'!$B15="","",'Shane Mattingly'!$F15)</f>
        <v/>
      </c>
      <c r="G95" s="132" t="str">
        <f aca="false">IF('Shane Mattingly'!$B15="","",'Shane Mattingly'!$G15)</f>
        <v/>
      </c>
      <c r="H95" s="131" t="str">
        <f aca="false">IF('Shane Mattingly'!$B15="","",'Shane Mattingly'!$H15)</f>
        <v/>
      </c>
      <c r="I95" s="131" t="str">
        <f aca="false">IF('Shane Mattingly'!$B15="","",'Shane Mattingly'!$I15)</f>
        <v/>
      </c>
      <c r="J95" s="133" t="str">
        <f aca="false">IF('Shane Mattingly'!$B15="","",'Shane Mattingly'!$J15)</f>
        <v/>
      </c>
      <c r="K95" s="134" t="str">
        <f aca="false">IF('Shane Mattingly'!$B15="","",'Shane Mattingly'!$K15)</f>
        <v/>
      </c>
      <c r="L95" s="134" t="str">
        <f aca="false">IF('Shane Mattingly'!$B15="","",'Shane Mattingly'!$L15)</f>
        <v/>
      </c>
      <c r="M95" s="132" t="str">
        <f aca="false">IF('Shane Mattingly'!$B15="","",'Shane Mattingly'!$M15)</f>
        <v/>
      </c>
      <c r="N95" s="132" t="str">
        <f aca="false">IF('Shane Mattingly'!$B15="","",'Shane Mattingly'!$N15)</f>
        <v/>
      </c>
      <c r="O95" s="134" t="str">
        <f aca="false">IF('Shane Mattingly'!$B15="","",'Shane Mattingly'!$O15)</f>
        <v/>
      </c>
      <c r="P95" s="132" t="str">
        <f aca="false">IF('Shane Mattingly'!$B15="","",'Shane Mattingly'!$P15)</f>
        <v/>
      </c>
      <c r="Q95" s="131" t="str">
        <f aca="false">IF('Shane Mattingly'!$B15="","","Shane Mattingly")</f>
        <v/>
      </c>
      <c r="R95" s="131" t="n">
        <f aca="true">IF(OR($B95="",$I95="Complete",$L95=""),0,IF($L95&lt;TODAY(),1,0))</f>
        <v>0</v>
      </c>
      <c r="S95" s="131" t="n">
        <f aca="true">IF(OR($B95="",$I95="Complete",$L95=""),0,IF(AND($L95&gt;=TODAY(),$L95&lt;=TODAY()+7),1,0))</f>
        <v>0</v>
      </c>
      <c r="T95" s="131" t="str">
        <f aca="true">IF(OR($B95="",$L95=""),"",$L95-TODAY())</f>
        <v/>
      </c>
      <c r="U95" s="135" t="str">
        <f aca="false">IF($B95="","",IF($I95="Complete",1,IF($J95="",0,$J95)))</f>
        <v/>
      </c>
      <c r="V95" s="131" t="n">
        <f aca="false">IF($B95="",0,IF($N95="",0,1))</f>
        <v>0</v>
      </c>
      <c r="W95" s="131" t="n">
        <f aca="false">IF($B95="",0,1)</f>
        <v>0</v>
      </c>
    </row>
    <row r="96" customFormat="false" ht="15" hidden="false" customHeight="false" outlineLevel="0" collapsed="false">
      <c r="A96" s="131" t="str">
        <f aca="false">IF('Shane Mattingly'!$B16="","",'Shane Mattingly'!$A16)</f>
        <v/>
      </c>
      <c r="B96" s="131" t="str">
        <f aca="false">IF('Shane Mattingly'!$B16="","",'Shane Mattingly'!$B16)</f>
        <v/>
      </c>
      <c r="C96" s="132" t="str">
        <f aca="false">IF('Shane Mattingly'!$B16="","",'Shane Mattingly'!$C16)</f>
        <v/>
      </c>
      <c r="D96" s="132" t="str">
        <f aca="false">IF('Shane Mattingly'!$B16="","",'Shane Mattingly'!$D16)</f>
        <v/>
      </c>
      <c r="E96" s="132" t="str">
        <f aca="false">IF('Shane Mattingly'!$B16="","",'Shane Mattingly'!$E16)</f>
        <v/>
      </c>
      <c r="F96" s="132" t="str">
        <f aca="false">IF('Shane Mattingly'!$B16="","",'Shane Mattingly'!$F16)</f>
        <v/>
      </c>
      <c r="G96" s="132" t="str">
        <f aca="false">IF('Shane Mattingly'!$B16="","",'Shane Mattingly'!$G16)</f>
        <v/>
      </c>
      <c r="H96" s="131" t="str">
        <f aca="false">IF('Shane Mattingly'!$B16="","",'Shane Mattingly'!$H16)</f>
        <v/>
      </c>
      <c r="I96" s="131" t="str">
        <f aca="false">IF('Shane Mattingly'!$B16="","",'Shane Mattingly'!$I16)</f>
        <v/>
      </c>
      <c r="J96" s="133" t="str">
        <f aca="false">IF('Shane Mattingly'!$B16="","",'Shane Mattingly'!$J16)</f>
        <v/>
      </c>
      <c r="K96" s="134" t="str">
        <f aca="false">IF('Shane Mattingly'!$B16="","",'Shane Mattingly'!$K16)</f>
        <v/>
      </c>
      <c r="L96" s="134" t="str">
        <f aca="false">IF('Shane Mattingly'!$B16="","",'Shane Mattingly'!$L16)</f>
        <v/>
      </c>
      <c r="M96" s="132" t="str">
        <f aca="false">IF('Shane Mattingly'!$B16="","",'Shane Mattingly'!$M16)</f>
        <v/>
      </c>
      <c r="N96" s="132" t="str">
        <f aca="false">IF('Shane Mattingly'!$B16="","",'Shane Mattingly'!$N16)</f>
        <v/>
      </c>
      <c r="O96" s="134" t="str">
        <f aca="false">IF('Shane Mattingly'!$B16="","",'Shane Mattingly'!$O16)</f>
        <v/>
      </c>
      <c r="P96" s="132" t="str">
        <f aca="false">IF('Shane Mattingly'!$B16="","",'Shane Mattingly'!$P16)</f>
        <v/>
      </c>
      <c r="Q96" s="131" t="str">
        <f aca="false">IF('Shane Mattingly'!$B16="","","Shane Mattingly")</f>
        <v/>
      </c>
      <c r="R96" s="131" t="n">
        <f aca="true">IF(OR($B96="",$I96="Complete",$L96=""),0,IF($L96&lt;TODAY(),1,0))</f>
        <v>0</v>
      </c>
      <c r="S96" s="131" t="n">
        <f aca="true">IF(OR($B96="",$I96="Complete",$L96=""),0,IF(AND($L96&gt;=TODAY(),$L96&lt;=TODAY()+7),1,0))</f>
        <v>0</v>
      </c>
      <c r="T96" s="131" t="str">
        <f aca="true">IF(OR($B96="",$L96=""),"",$L96-TODAY())</f>
        <v/>
      </c>
      <c r="U96" s="135" t="str">
        <f aca="false">IF($B96="","",IF($I96="Complete",1,IF($J96="",0,$J96)))</f>
        <v/>
      </c>
      <c r="V96" s="131" t="n">
        <f aca="false">IF($B96="",0,IF($N96="",0,1))</f>
        <v>0</v>
      </c>
      <c r="W96" s="131" t="n">
        <f aca="false">IF($B96="",0,1)</f>
        <v>0</v>
      </c>
    </row>
    <row r="97" customFormat="false" ht="15" hidden="false" customHeight="false" outlineLevel="0" collapsed="false">
      <c r="A97" s="131" t="str">
        <f aca="false">IF('Shane Mattingly'!$B17="","",'Shane Mattingly'!$A17)</f>
        <v/>
      </c>
      <c r="B97" s="131" t="str">
        <f aca="false">IF('Shane Mattingly'!$B17="","",'Shane Mattingly'!$B17)</f>
        <v/>
      </c>
      <c r="C97" s="132" t="str">
        <f aca="false">IF('Shane Mattingly'!$B17="","",'Shane Mattingly'!$C17)</f>
        <v/>
      </c>
      <c r="D97" s="132" t="str">
        <f aca="false">IF('Shane Mattingly'!$B17="","",'Shane Mattingly'!$D17)</f>
        <v/>
      </c>
      <c r="E97" s="132" t="str">
        <f aca="false">IF('Shane Mattingly'!$B17="","",'Shane Mattingly'!$E17)</f>
        <v/>
      </c>
      <c r="F97" s="132" t="str">
        <f aca="false">IF('Shane Mattingly'!$B17="","",'Shane Mattingly'!$F17)</f>
        <v/>
      </c>
      <c r="G97" s="132" t="str">
        <f aca="false">IF('Shane Mattingly'!$B17="","",'Shane Mattingly'!$G17)</f>
        <v/>
      </c>
      <c r="H97" s="131" t="str">
        <f aca="false">IF('Shane Mattingly'!$B17="","",'Shane Mattingly'!$H17)</f>
        <v/>
      </c>
      <c r="I97" s="131" t="str">
        <f aca="false">IF('Shane Mattingly'!$B17="","",'Shane Mattingly'!$I17)</f>
        <v/>
      </c>
      <c r="J97" s="133" t="str">
        <f aca="false">IF('Shane Mattingly'!$B17="","",'Shane Mattingly'!$J17)</f>
        <v/>
      </c>
      <c r="K97" s="134" t="str">
        <f aca="false">IF('Shane Mattingly'!$B17="","",'Shane Mattingly'!$K17)</f>
        <v/>
      </c>
      <c r="L97" s="134" t="str">
        <f aca="false">IF('Shane Mattingly'!$B17="","",'Shane Mattingly'!$L17)</f>
        <v/>
      </c>
      <c r="M97" s="132" t="str">
        <f aca="false">IF('Shane Mattingly'!$B17="","",'Shane Mattingly'!$M17)</f>
        <v/>
      </c>
      <c r="N97" s="132" t="str">
        <f aca="false">IF('Shane Mattingly'!$B17="","",'Shane Mattingly'!$N17)</f>
        <v/>
      </c>
      <c r="O97" s="134" t="str">
        <f aca="false">IF('Shane Mattingly'!$B17="","",'Shane Mattingly'!$O17)</f>
        <v/>
      </c>
      <c r="P97" s="132" t="str">
        <f aca="false">IF('Shane Mattingly'!$B17="","",'Shane Mattingly'!$P17)</f>
        <v/>
      </c>
      <c r="Q97" s="131" t="str">
        <f aca="false">IF('Shane Mattingly'!$B17="","","Shane Mattingly")</f>
        <v/>
      </c>
      <c r="R97" s="131" t="n">
        <f aca="true">IF(OR($B97="",$I97="Complete",$L97=""),0,IF($L97&lt;TODAY(),1,0))</f>
        <v>0</v>
      </c>
      <c r="S97" s="131" t="n">
        <f aca="true">IF(OR($B97="",$I97="Complete",$L97=""),0,IF(AND($L97&gt;=TODAY(),$L97&lt;=TODAY()+7),1,0))</f>
        <v>0</v>
      </c>
      <c r="T97" s="131" t="str">
        <f aca="true">IF(OR($B97="",$L97=""),"",$L97-TODAY())</f>
        <v/>
      </c>
      <c r="U97" s="135" t="str">
        <f aca="false">IF($B97="","",IF($I97="Complete",1,IF($J97="",0,$J97)))</f>
        <v/>
      </c>
      <c r="V97" s="131" t="n">
        <f aca="false">IF($B97="",0,IF($N97="",0,1))</f>
        <v>0</v>
      </c>
      <c r="W97" s="131" t="n">
        <f aca="false">IF($B97="",0,1)</f>
        <v>0</v>
      </c>
    </row>
    <row r="98" customFormat="false" ht="15" hidden="false" customHeight="false" outlineLevel="0" collapsed="false">
      <c r="A98" s="131" t="str">
        <f aca="false">IF('Shane Mattingly'!$B18="","",'Shane Mattingly'!$A18)</f>
        <v/>
      </c>
      <c r="B98" s="131" t="str">
        <f aca="false">IF('Shane Mattingly'!$B18="","",'Shane Mattingly'!$B18)</f>
        <v/>
      </c>
      <c r="C98" s="132" t="str">
        <f aca="false">IF('Shane Mattingly'!$B18="","",'Shane Mattingly'!$C18)</f>
        <v/>
      </c>
      <c r="D98" s="132" t="str">
        <f aca="false">IF('Shane Mattingly'!$B18="","",'Shane Mattingly'!$D18)</f>
        <v/>
      </c>
      <c r="E98" s="132" t="str">
        <f aca="false">IF('Shane Mattingly'!$B18="","",'Shane Mattingly'!$E18)</f>
        <v/>
      </c>
      <c r="F98" s="132" t="str">
        <f aca="false">IF('Shane Mattingly'!$B18="","",'Shane Mattingly'!$F18)</f>
        <v/>
      </c>
      <c r="G98" s="132" t="str">
        <f aca="false">IF('Shane Mattingly'!$B18="","",'Shane Mattingly'!$G18)</f>
        <v/>
      </c>
      <c r="H98" s="131" t="str">
        <f aca="false">IF('Shane Mattingly'!$B18="","",'Shane Mattingly'!$H18)</f>
        <v/>
      </c>
      <c r="I98" s="131" t="str">
        <f aca="false">IF('Shane Mattingly'!$B18="","",'Shane Mattingly'!$I18)</f>
        <v/>
      </c>
      <c r="J98" s="133" t="str">
        <f aca="false">IF('Shane Mattingly'!$B18="","",'Shane Mattingly'!$J18)</f>
        <v/>
      </c>
      <c r="K98" s="134" t="str">
        <f aca="false">IF('Shane Mattingly'!$B18="","",'Shane Mattingly'!$K18)</f>
        <v/>
      </c>
      <c r="L98" s="134" t="str">
        <f aca="false">IF('Shane Mattingly'!$B18="","",'Shane Mattingly'!$L18)</f>
        <v/>
      </c>
      <c r="M98" s="132" t="str">
        <f aca="false">IF('Shane Mattingly'!$B18="","",'Shane Mattingly'!$M18)</f>
        <v/>
      </c>
      <c r="N98" s="132" t="str">
        <f aca="false">IF('Shane Mattingly'!$B18="","",'Shane Mattingly'!$N18)</f>
        <v/>
      </c>
      <c r="O98" s="134" t="str">
        <f aca="false">IF('Shane Mattingly'!$B18="","",'Shane Mattingly'!$O18)</f>
        <v/>
      </c>
      <c r="P98" s="132" t="str">
        <f aca="false">IF('Shane Mattingly'!$B18="","",'Shane Mattingly'!$P18)</f>
        <v/>
      </c>
      <c r="Q98" s="131" t="str">
        <f aca="false">IF('Shane Mattingly'!$B18="","","Shane Mattingly")</f>
        <v/>
      </c>
      <c r="R98" s="131" t="n">
        <f aca="true">IF(OR($B98="",$I98="Complete",$L98=""),0,IF($L98&lt;TODAY(),1,0))</f>
        <v>0</v>
      </c>
      <c r="S98" s="131" t="n">
        <f aca="true">IF(OR($B98="",$I98="Complete",$L98=""),0,IF(AND($L98&gt;=TODAY(),$L98&lt;=TODAY()+7),1,0))</f>
        <v>0</v>
      </c>
      <c r="T98" s="131" t="str">
        <f aca="true">IF(OR($B98="",$L98=""),"",$L98-TODAY())</f>
        <v/>
      </c>
      <c r="U98" s="135" t="str">
        <f aca="false">IF($B98="","",IF($I98="Complete",1,IF($J98="",0,$J98)))</f>
        <v/>
      </c>
      <c r="V98" s="131" t="n">
        <f aca="false">IF($B98="",0,IF($N98="",0,1))</f>
        <v>0</v>
      </c>
      <c r="W98" s="131" t="n">
        <f aca="false">IF($B98="",0,1)</f>
        <v>0</v>
      </c>
    </row>
    <row r="99" customFormat="false" ht="15" hidden="false" customHeight="false" outlineLevel="0" collapsed="false">
      <c r="A99" s="131" t="str">
        <f aca="false">IF('Shane Mattingly'!$B19="","",'Shane Mattingly'!$A19)</f>
        <v/>
      </c>
      <c r="B99" s="131" t="str">
        <f aca="false">IF('Shane Mattingly'!$B19="","",'Shane Mattingly'!$B19)</f>
        <v/>
      </c>
      <c r="C99" s="132" t="str">
        <f aca="false">IF('Shane Mattingly'!$B19="","",'Shane Mattingly'!$C19)</f>
        <v/>
      </c>
      <c r="D99" s="132" t="str">
        <f aca="false">IF('Shane Mattingly'!$B19="","",'Shane Mattingly'!$D19)</f>
        <v/>
      </c>
      <c r="E99" s="132" t="str">
        <f aca="false">IF('Shane Mattingly'!$B19="","",'Shane Mattingly'!$E19)</f>
        <v/>
      </c>
      <c r="F99" s="132" t="str">
        <f aca="false">IF('Shane Mattingly'!$B19="","",'Shane Mattingly'!$F19)</f>
        <v/>
      </c>
      <c r="G99" s="132" t="str">
        <f aca="false">IF('Shane Mattingly'!$B19="","",'Shane Mattingly'!$G19)</f>
        <v/>
      </c>
      <c r="H99" s="131" t="str">
        <f aca="false">IF('Shane Mattingly'!$B19="","",'Shane Mattingly'!$H19)</f>
        <v/>
      </c>
      <c r="I99" s="131" t="str">
        <f aca="false">IF('Shane Mattingly'!$B19="","",'Shane Mattingly'!$I19)</f>
        <v/>
      </c>
      <c r="J99" s="133" t="str">
        <f aca="false">IF('Shane Mattingly'!$B19="","",'Shane Mattingly'!$J19)</f>
        <v/>
      </c>
      <c r="K99" s="134" t="str">
        <f aca="false">IF('Shane Mattingly'!$B19="","",'Shane Mattingly'!$K19)</f>
        <v/>
      </c>
      <c r="L99" s="134" t="str">
        <f aca="false">IF('Shane Mattingly'!$B19="","",'Shane Mattingly'!$L19)</f>
        <v/>
      </c>
      <c r="M99" s="132" t="str">
        <f aca="false">IF('Shane Mattingly'!$B19="","",'Shane Mattingly'!$M19)</f>
        <v/>
      </c>
      <c r="N99" s="132" t="str">
        <f aca="false">IF('Shane Mattingly'!$B19="","",'Shane Mattingly'!$N19)</f>
        <v/>
      </c>
      <c r="O99" s="134" t="str">
        <f aca="false">IF('Shane Mattingly'!$B19="","",'Shane Mattingly'!$O19)</f>
        <v/>
      </c>
      <c r="P99" s="132" t="str">
        <f aca="false">IF('Shane Mattingly'!$B19="","",'Shane Mattingly'!$P19)</f>
        <v/>
      </c>
      <c r="Q99" s="131" t="str">
        <f aca="false">IF('Shane Mattingly'!$B19="","","Shane Mattingly")</f>
        <v/>
      </c>
      <c r="R99" s="131" t="n">
        <f aca="true">IF(OR($B99="",$I99="Complete",$L99=""),0,IF($L99&lt;TODAY(),1,0))</f>
        <v>0</v>
      </c>
      <c r="S99" s="131" t="n">
        <f aca="true">IF(OR($B99="",$I99="Complete",$L99=""),0,IF(AND($L99&gt;=TODAY(),$L99&lt;=TODAY()+7),1,0))</f>
        <v>0</v>
      </c>
      <c r="T99" s="131" t="str">
        <f aca="true">IF(OR($B99="",$L99=""),"",$L99-TODAY())</f>
        <v/>
      </c>
      <c r="U99" s="135" t="str">
        <f aca="false">IF($B99="","",IF($I99="Complete",1,IF($J99="",0,$J99)))</f>
        <v/>
      </c>
      <c r="V99" s="131" t="n">
        <f aca="false">IF($B99="",0,IF($N99="",0,1))</f>
        <v>0</v>
      </c>
      <c r="W99" s="131" t="n">
        <f aca="false">IF($B99="",0,1)</f>
        <v>0</v>
      </c>
    </row>
    <row r="100" customFormat="false" ht="15" hidden="false" customHeight="false" outlineLevel="0" collapsed="false">
      <c r="A100" s="131" t="str">
        <f aca="false">IF('Shane Mattingly'!$B20="","",'Shane Mattingly'!$A20)</f>
        <v/>
      </c>
      <c r="B100" s="131" t="str">
        <f aca="false">IF('Shane Mattingly'!$B20="","",'Shane Mattingly'!$B20)</f>
        <v/>
      </c>
      <c r="C100" s="132" t="str">
        <f aca="false">IF('Shane Mattingly'!$B20="","",'Shane Mattingly'!$C20)</f>
        <v/>
      </c>
      <c r="D100" s="132" t="str">
        <f aca="false">IF('Shane Mattingly'!$B20="","",'Shane Mattingly'!$D20)</f>
        <v/>
      </c>
      <c r="E100" s="132" t="str">
        <f aca="false">IF('Shane Mattingly'!$B20="","",'Shane Mattingly'!$E20)</f>
        <v/>
      </c>
      <c r="F100" s="132" t="str">
        <f aca="false">IF('Shane Mattingly'!$B20="","",'Shane Mattingly'!$F20)</f>
        <v/>
      </c>
      <c r="G100" s="132" t="str">
        <f aca="false">IF('Shane Mattingly'!$B20="","",'Shane Mattingly'!$G20)</f>
        <v/>
      </c>
      <c r="H100" s="131" t="str">
        <f aca="false">IF('Shane Mattingly'!$B20="","",'Shane Mattingly'!$H20)</f>
        <v/>
      </c>
      <c r="I100" s="131" t="str">
        <f aca="false">IF('Shane Mattingly'!$B20="","",'Shane Mattingly'!$I20)</f>
        <v/>
      </c>
      <c r="J100" s="133" t="str">
        <f aca="false">IF('Shane Mattingly'!$B20="","",'Shane Mattingly'!$J20)</f>
        <v/>
      </c>
      <c r="K100" s="134" t="str">
        <f aca="false">IF('Shane Mattingly'!$B20="","",'Shane Mattingly'!$K20)</f>
        <v/>
      </c>
      <c r="L100" s="134" t="str">
        <f aca="false">IF('Shane Mattingly'!$B20="","",'Shane Mattingly'!$L20)</f>
        <v/>
      </c>
      <c r="M100" s="132" t="str">
        <f aca="false">IF('Shane Mattingly'!$B20="","",'Shane Mattingly'!$M20)</f>
        <v/>
      </c>
      <c r="N100" s="132" t="str">
        <f aca="false">IF('Shane Mattingly'!$B20="","",'Shane Mattingly'!$N20)</f>
        <v/>
      </c>
      <c r="O100" s="134" t="str">
        <f aca="false">IF('Shane Mattingly'!$B20="","",'Shane Mattingly'!$O20)</f>
        <v/>
      </c>
      <c r="P100" s="132" t="str">
        <f aca="false">IF('Shane Mattingly'!$B20="","",'Shane Mattingly'!$P20)</f>
        <v/>
      </c>
      <c r="Q100" s="131" t="str">
        <f aca="false">IF('Shane Mattingly'!$B20="","","Shane Mattingly")</f>
        <v/>
      </c>
      <c r="R100" s="131" t="n">
        <f aca="true">IF(OR($B100="",$I100="Complete",$L100=""),0,IF($L100&lt;TODAY(),1,0))</f>
        <v>0</v>
      </c>
      <c r="S100" s="131" t="n">
        <f aca="true">IF(OR($B100="",$I100="Complete",$L100=""),0,IF(AND($L100&gt;=TODAY(),$L100&lt;=TODAY()+7),1,0))</f>
        <v>0</v>
      </c>
      <c r="T100" s="131" t="str">
        <f aca="true">IF(OR($B100="",$L100=""),"",$L100-TODAY())</f>
        <v/>
      </c>
      <c r="U100" s="135" t="str">
        <f aca="false">IF($B100="","",IF($I100="Complete",1,IF($J100="",0,$J100)))</f>
        <v/>
      </c>
      <c r="V100" s="131" t="n">
        <f aca="false">IF($B100="",0,IF($N100="",0,1))</f>
        <v>0</v>
      </c>
      <c r="W100" s="131" t="n">
        <f aca="false">IF($B100="",0,1)</f>
        <v>0</v>
      </c>
    </row>
    <row r="101" customFormat="false" ht="15" hidden="false" customHeight="false" outlineLevel="0" collapsed="false">
      <c r="A101" s="131" t="str">
        <f aca="false">IF('Shane Mattingly'!$B21="","",'Shane Mattingly'!$A21)</f>
        <v/>
      </c>
      <c r="B101" s="131" t="str">
        <f aca="false">IF('Shane Mattingly'!$B21="","",'Shane Mattingly'!$B21)</f>
        <v/>
      </c>
      <c r="C101" s="132" t="str">
        <f aca="false">IF('Shane Mattingly'!$B21="","",'Shane Mattingly'!$C21)</f>
        <v/>
      </c>
      <c r="D101" s="132" t="str">
        <f aca="false">IF('Shane Mattingly'!$B21="","",'Shane Mattingly'!$D21)</f>
        <v/>
      </c>
      <c r="E101" s="132" t="str">
        <f aca="false">IF('Shane Mattingly'!$B21="","",'Shane Mattingly'!$E21)</f>
        <v/>
      </c>
      <c r="F101" s="132" t="str">
        <f aca="false">IF('Shane Mattingly'!$B21="","",'Shane Mattingly'!$F21)</f>
        <v/>
      </c>
      <c r="G101" s="132" t="str">
        <f aca="false">IF('Shane Mattingly'!$B21="","",'Shane Mattingly'!$G21)</f>
        <v/>
      </c>
      <c r="H101" s="131" t="str">
        <f aca="false">IF('Shane Mattingly'!$B21="","",'Shane Mattingly'!$H21)</f>
        <v/>
      </c>
      <c r="I101" s="131" t="str">
        <f aca="false">IF('Shane Mattingly'!$B21="","",'Shane Mattingly'!$I21)</f>
        <v/>
      </c>
      <c r="J101" s="133" t="str">
        <f aca="false">IF('Shane Mattingly'!$B21="","",'Shane Mattingly'!$J21)</f>
        <v/>
      </c>
      <c r="K101" s="134" t="str">
        <f aca="false">IF('Shane Mattingly'!$B21="","",'Shane Mattingly'!$K21)</f>
        <v/>
      </c>
      <c r="L101" s="134" t="str">
        <f aca="false">IF('Shane Mattingly'!$B21="","",'Shane Mattingly'!$L21)</f>
        <v/>
      </c>
      <c r="M101" s="132" t="str">
        <f aca="false">IF('Shane Mattingly'!$B21="","",'Shane Mattingly'!$M21)</f>
        <v/>
      </c>
      <c r="N101" s="132" t="str">
        <f aca="false">IF('Shane Mattingly'!$B21="","",'Shane Mattingly'!$N21)</f>
        <v/>
      </c>
      <c r="O101" s="134" t="str">
        <f aca="false">IF('Shane Mattingly'!$B21="","",'Shane Mattingly'!$O21)</f>
        <v/>
      </c>
      <c r="P101" s="132" t="str">
        <f aca="false">IF('Shane Mattingly'!$B21="","",'Shane Mattingly'!$P21)</f>
        <v/>
      </c>
      <c r="Q101" s="131" t="str">
        <f aca="false">IF('Shane Mattingly'!$B21="","","Shane Mattingly")</f>
        <v/>
      </c>
      <c r="R101" s="131" t="n">
        <f aca="true">IF(OR($B101="",$I101="Complete",$L101=""),0,IF($L101&lt;TODAY(),1,0))</f>
        <v>0</v>
      </c>
      <c r="S101" s="131" t="n">
        <f aca="true">IF(OR($B101="",$I101="Complete",$L101=""),0,IF(AND($L101&gt;=TODAY(),$L101&lt;=TODAY()+7),1,0))</f>
        <v>0</v>
      </c>
      <c r="T101" s="131" t="str">
        <f aca="true">IF(OR($B101="",$L101=""),"",$L101-TODAY())</f>
        <v/>
      </c>
      <c r="U101" s="135" t="str">
        <f aca="false">IF($B101="","",IF($I101="Complete",1,IF($J101="",0,$J101)))</f>
        <v/>
      </c>
      <c r="V101" s="131" t="n">
        <f aca="false">IF($B101="",0,IF($N101="",0,1))</f>
        <v>0</v>
      </c>
      <c r="W101" s="131" t="n">
        <f aca="false">IF($B101="",0,1)</f>
        <v>0</v>
      </c>
    </row>
    <row r="102" customFormat="false" ht="15" hidden="false" customHeight="false" outlineLevel="0" collapsed="false">
      <c r="A102" s="131" t="str">
        <f aca="false">IF('Shane Mattingly'!$B22="","",'Shane Mattingly'!$A22)</f>
        <v/>
      </c>
      <c r="B102" s="131" t="str">
        <f aca="false">IF('Shane Mattingly'!$B22="","",'Shane Mattingly'!$B22)</f>
        <v/>
      </c>
      <c r="C102" s="132" t="str">
        <f aca="false">IF('Shane Mattingly'!$B22="","",'Shane Mattingly'!$C22)</f>
        <v/>
      </c>
      <c r="D102" s="132" t="str">
        <f aca="false">IF('Shane Mattingly'!$B22="","",'Shane Mattingly'!$D22)</f>
        <v/>
      </c>
      <c r="E102" s="132" t="str">
        <f aca="false">IF('Shane Mattingly'!$B22="","",'Shane Mattingly'!$E22)</f>
        <v/>
      </c>
      <c r="F102" s="132" t="str">
        <f aca="false">IF('Shane Mattingly'!$B22="","",'Shane Mattingly'!$F22)</f>
        <v/>
      </c>
      <c r="G102" s="132" t="str">
        <f aca="false">IF('Shane Mattingly'!$B22="","",'Shane Mattingly'!$G22)</f>
        <v/>
      </c>
      <c r="H102" s="131" t="str">
        <f aca="false">IF('Shane Mattingly'!$B22="","",'Shane Mattingly'!$H22)</f>
        <v/>
      </c>
      <c r="I102" s="131" t="str">
        <f aca="false">IF('Shane Mattingly'!$B22="","",'Shane Mattingly'!$I22)</f>
        <v/>
      </c>
      <c r="J102" s="133" t="str">
        <f aca="false">IF('Shane Mattingly'!$B22="","",'Shane Mattingly'!$J22)</f>
        <v/>
      </c>
      <c r="K102" s="134" t="str">
        <f aca="false">IF('Shane Mattingly'!$B22="","",'Shane Mattingly'!$K22)</f>
        <v/>
      </c>
      <c r="L102" s="134" t="str">
        <f aca="false">IF('Shane Mattingly'!$B22="","",'Shane Mattingly'!$L22)</f>
        <v/>
      </c>
      <c r="M102" s="132" t="str">
        <f aca="false">IF('Shane Mattingly'!$B22="","",'Shane Mattingly'!$M22)</f>
        <v/>
      </c>
      <c r="N102" s="132" t="str">
        <f aca="false">IF('Shane Mattingly'!$B22="","",'Shane Mattingly'!$N22)</f>
        <v/>
      </c>
      <c r="O102" s="134" t="str">
        <f aca="false">IF('Shane Mattingly'!$B22="","",'Shane Mattingly'!$O22)</f>
        <v/>
      </c>
      <c r="P102" s="132" t="str">
        <f aca="false">IF('Shane Mattingly'!$B22="","",'Shane Mattingly'!$P22)</f>
        <v/>
      </c>
      <c r="Q102" s="131" t="str">
        <f aca="false">IF('Shane Mattingly'!$B22="","","Shane Mattingly")</f>
        <v/>
      </c>
      <c r="R102" s="131" t="n">
        <f aca="true">IF(OR($B102="",$I102="Complete",$L102=""),0,IF($L102&lt;TODAY(),1,0))</f>
        <v>0</v>
      </c>
      <c r="S102" s="131" t="n">
        <f aca="true">IF(OR($B102="",$I102="Complete",$L102=""),0,IF(AND($L102&gt;=TODAY(),$L102&lt;=TODAY()+7),1,0))</f>
        <v>0</v>
      </c>
      <c r="T102" s="131" t="str">
        <f aca="true">IF(OR($B102="",$L102=""),"",$L102-TODAY())</f>
        <v/>
      </c>
      <c r="U102" s="135" t="str">
        <f aca="false">IF($B102="","",IF($I102="Complete",1,IF($J102="",0,$J102)))</f>
        <v/>
      </c>
      <c r="V102" s="131" t="n">
        <f aca="false">IF($B102="",0,IF($N102="",0,1))</f>
        <v>0</v>
      </c>
      <c r="W102" s="131" t="n">
        <f aca="false">IF($B102="",0,1)</f>
        <v>0</v>
      </c>
    </row>
    <row r="103" customFormat="false" ht="15" hidden="false" customHeight="false" outlineLevel="0" collapsed="false">
      <c r="A103" s="131" t="str">
        <f aca="false">IF('Shane Mattingly'!$B23="","",'Shane Mattingly'!$A23)</f>
        <v/>
      </c>
      <c r="B103" s="131" t="str">
        <f aca="false">IF('Shane Mattingly'!$B23="","",'Shane Mattingly'!$B23)</f>
        <v/>
      </c>
      <c r="C103" s="132" t="str">
        <f aca="false">IF('Shane Mattingly'!$B23="","",'Shane Mattingly'!$C23)</f>
        <v/>
      </c>
      <c r="D103" s="132" t="str">
        <f aca="false">IF('Shane Mattingly'!$B23="","",'Shane Mattingly'!$D23)</f>
        <v/>
      </c>
      <c r="E103" s="132" t="str">
        <f aca="false">IF('Shane Mattingly'!$B23="","",'Shane Mattingly'!$E23)</f>
        <v/>
      </c>
      <c r="F103" s="132" t="str">
        <f aca="false">IF('Shane Mattingly'!$B23="","",'Shane Mattingly'!$F23)</f>
        <v/>
      </c>
      <c r="G103" s="132" t="str">
        <f aca="false">IF('Shane Mattingly'!$B23="","",'Shane Mattingly'!$G23)</f>
        <v/>
      </c>
      <c r="H103" s="131" t="str">
        <f aca="false">IF('Shane Mattingly'!$B23="","",'Shane Mattingly'!$H23)</f>
        <v/>
      </c>
      <c r="I103" s="131" t="str">
        <f aca="false">IF('Shane Mattingly'!$B23="","",'Shane Mattingly'!$I23)</f>
        <v/>
      </c>
      <c r="J103" s="133" t="str">
        <f aca="false">IF('Shane Mattingly'!$B23="","",'Shane Mattingly'!$J23)</f>
        <v/>
      </c>
      <c r="K103" s="134" t="str">
        <f aca="false">IF('Shane Mattingly'!$B23="","",'Shane Mattingly'!$K23)</f>
        <v/>
      </c>
      <c r="L103" s="134" t="str">
        <f aca="false">IF('Shane Mattingly'!$B23="","",'Shane Mattingly'!$L23)</f>
        <v/>
      </c>
      <c r="M103" s="132" t="str">
        <f aca="false">IF('Shane Mattingly'!$B23="","",'Shane Mattingly'!$M23)</f>
        <v/>
      </c>
      <c r="N103" s="132" t="str">
        <f aca="false">IF('Shane Mattingly'!$B23="","",'Shane Mattingly'!$N23)</f>
        <v/>
      </c>
      <c r="O103" s="134" t="str">
        <f aca="false">IF('Shane Mattingly'!$B23="","",'Shane Mattingly'!$O23)</f>
        <v/>
      </c>
      <c r="P103" s="132" t="str">
        <f aca="false">IF('Shane Mattingly'!$B23="","",'Shane Mattingly'!$P23)</f>
        <v/>
      </c>
      <c r="Q103" s="131" t="str">
        <f aca="false">IF('Shane Mattingly'!$B23="","","Shane Mattingly")</f>
        <v/>
      </c>
      <c r="R103" s="131" t="n">
        <f aca="true">IF(OR($B103="",$I103="Complete",$L103=""),0,IF($L103&lt;TODAY(),1,0))</f>
        <v>0</v>
      </c>
      <c r="S103" s="131" t="n">
        <f aca="true">IF(OR($B103="",$I103="Complete",$L103=""),0,IF(AND($L103&gt;=TODAY(),$L103&lt;=TODAY()+7),1,0))</f>
        <v>0</v>
      </c>
      <c r="T103" s="131" t="str">
        <f aca="true">IF(OR($B103="",$L103=""),"",$L103-TODAY())</f>
        <v/>
      </c>
      <c r="U103" s="135" t="str">
        <f aca="false">IF($B103="","",IF($I103="Complete",1,IF($J103="",0,$J103)))</f>
        <v/>
      </c>
      <c r="V103" s="131" t="n">
        <f aca="false">IF($B103="",0,IF($N103="",0,1))</f>
        <v>0</v>
      </c>
      <c r="W103" s="131" t="n">
        <f aca="false">IF($B103="",0,1)</f>
        <v>0</v>
      </c>
    </row>
    <row r="104" customFormat="false" ht="15" hidden="false" customHeight="false" outlineLevel="0" collapsed="false">
      <c r="A104" s="131" t="str">
        <f aca="false">IF('Shane Mattingly'!$B24="","",'Shane Mattingly'!$A24)</f>
        <v/>
      </c>
      <c r="B104" s="131" t="str">
        <f aca="false">IF('Shane Mattingly'!$B24="","",'Shane Mattingly'!$B24)</f>
        <v/>
      </c>
      <c r="C104" s="132" t="str">
        <f aca="false">IF('Shane Mattingly'!$B24="","",'Shane Mattingly'!$C24)</f>
        <v/>
      </c>
      <c r="D104" s="132" t="str">
        <f aca="false">IF('Shane Mattingly'!$B24="","",'Shane Mattingly'!$D24)</f>
        <v/>
      </c>
      <c r="E104" s="132" t="str">
        <f aca="false">IF('Shane Mattingly'!$B24="","",'Shane Mattingly'!$E24)</f>
        <v/>
      </c>
      <c r="F104" s="132" t="str">
        <f aca="false">IF('Shane Mattingly'!$B24="","",'Shane Mattingly'!$F24)</f>
        <v/>
      </c>
      <c r="G104" s="132" t="str">
        <f aca="false">IF('Shane Mattingly'!$B24="","",'Shane Mattingly'!$G24)</f>
        <v/>
      </c>
      <c r="H104" s="131" t="str">
        <f aca="false">IF('Shane Mattingly'!$B24="","",'Shane Mattingly'!$H24)</f>
        <v/>
      </c>
      <c r="I104" s="131" t="str">
        <f aca="false">IF('Shane Mattingly'!$B24="","",'Shane Mattingly'!$I24)</f>
        <v/>
      </c>
      <c r="J104" s="133" t="str">
        <f aca="false">IF('Shane Mattingly'!$B24="","",'Shane Mattingly'!$J24)</f>
        <v/>
      </c>
      <c r="K104" s="134" t="str">
        <f aca="false">IF('Shane Mattingly'!$B24="","",'Shane Mattingly'!$K24)</f>
        <v/>
      </c>
      <c r="L104" s="134" t="str">
        <f aca="false">IF('Shane Mattingly'!$B24="","",'Shane Mattingly'!$L24)</f>
        <v/>
      </c>
      <c r="M104" s="132" t="str">
        <f aca="false">IF('Shane Mattingly'!$B24="","",'Shane Mattingly'!$M24)</f>
        <v/>
      </c>
      <c r="N104" s="132" t="str">
        <f aca="false">IF('Shane Mattingly'!$B24="","",'Shane Mattingly'!$N24)</f>
        <v/>
      </c>
      <c r="O104" s="134" t="str">
        <f aca="false">IF('Shane Mattingly'!$B24="","",'Shane Mattingly'!$O24)</f>
        <v/>
      </c>
      <c r="P104" s="132" t="str">
        <f aca="false">IF('Shane Mattingly'!$B24="","",'Shane Mattingly'!$P24)</f>
        <v/>
      </c>
      <c r="Q104" s="131" t="str">
        <f aca="false">IF('Shane Mattingly'!$B24="","","Shane Mattingly")</f>
        <v/>
      </c>
      <c r="R104" s="131" t="n">
        <f aca="true">IF(OR($B104="",$I104="Complete",$L104=""),0,IF($L104&lt;TODAY(),1,0))</f>
        <v>0</v>
      </c>
      <c r="S104" s="131" t="n">
        <f aca="true">IF(OR($B104="",$I104="Complete",$L104=""),0,IF(AND($L104&gt;=TODAY(),$L104&lt;=TODAY()+7),1,0))</f>
        <v>0</v>
      </c>
      <c r="T104" s="131" t="str">
        <f aca="true">IF(OR($B104="",$L104=""),"",$L104-TODAY())</f>
        <v/>
      </c>
      <c r="U104" s="135" t="str">
        <f aca="false">IF($B104="","",IF($I104="Complete",1,IF($J104="",0,$J104)))</f>
        <v/>
      </c>
      <c r="V104" s="131" t="n">
        <f aca="false">IF($B104="",0,IF($N104="",0,1))</f>
        <v>0</v>
      </c>
      <c r="W104" s="131" t="n">
        <f aca="false">IF($B104="",0,1)</f>
        <v>0</v>
      </c>
    </row>
    <row r="105" customFormat="false" ht="15" hidden="false" customHeight="false" outlineLevel="0" collapsed="false">
      <c r="A105" s="131" t="str">
        <f aca="false">IF('Shane Mattingly'!$B25="","",'Shane Mattingly'!$A25)</f>
        <v/>
      </c>
      <c r="B105" s="131" t="str">
        <f aca="false">IF('Shane Mattingly'!$B25="","",'Shane Mattingly'!$B25)</f>
        <v/>
      </c>
      <c r="C105" s="132" t="str">
        <f aca="false">IF('Shane Mattingly'!$B25="","",'Shane Mattingly'!$C25)</f>
        <v/>
      </c>
      <c r="D105" s="132" t="str">
        <f aca="false">IF('Shane Mattingly'!$B25="","",'Shane Mattingly'!$D25)</f>
        <v/>
      </c>
      <c r="E105" s="132" t="str">
        <f aca="false">IF('Shane Mattingly'!$B25="","",'Shane Mattingly'!$E25)</f>
        <v/>
      </c>
      <c r="F105" s="132" t="str">
        <f aca="false">IF('Shane Mattingly'!$B25="","",'Shane Mattingly'!$F25)</f>
        <v/>
      </c>
      <c r="G105" s="132" t="str">
        <f aca="false">IF('Shane Mattingly'!$B25="","",'Shane Mattingly'!$G25)</f>
        <v/>
      </c>
      <c r="H105" s="131" t="str">
        <f aca="false">IF('Shane Mattingly'!$B25="","",'Shane Mattingly'!$H25)</f>
        <v/>
      </c>
      <c r="I105" s="131" t="str">
        <f aca="false">IF('Shane Mattingly'!$B25="","",'Shane Mattingly'!$I25)</f>
        <v/>
      </c>
      <c r="J105" s="133" t="str">
        <f aca="false">IF('Shane Mattingly'!$B25="","",'Shane Mattingly'!$J25)</f>
        <v/>
      </c>
      <c r="K105" s="134" t="str">
        <f aca="false">IF('Shane Mattingly'!$B25="","",'Shane Mattingly'!$K25)</f>
        <v/>
      </c>
      <c r="L105" s="134" t="str">
        <f aca="false">IF('Shane Mattingly'!$B25="","",'Shane Mattingly'!$L25)</f>
        <v/>
      </c>
      <c r="M105" s="132" t="str">
        <f aca="false">IF('Shane Mattingly'!$B25="","",'Shane Mattingly'!$M25)</f>
        <v/>
      </c>
      <c r="N105" s="132" t="str">
        <f aca="false">IF('Shane Mattingly'!$B25="","",'Shane Mattingly'!$N25)</f>
        <v/>
      </c>
      <c r="O105" s="134" t="str">
        <f aca="false">IF('Shane Mattingly'!$B25="","",'Shane Mattingly'!$O25)</f>
        <v/>
      </c>
      <c r="P105" s="132" t="str">
        <f aca="false">IF('Shane Mattingly'!$B25="","",'Shane Mattingly'!$P25)</f>
        <v/>
      </c>
      <c r="Q105" s="131" t="str">
        <f aca="false">IF('Shane Mattingly'!$B25="","","Shane Mattingly")</f>
        <v/>
      </c>
      <c r="R105" s="131" t="n">
        <f aca="true">IF(OR($B105="",$I105="Complete",$L105=""),0,IF($L105&lt;TODAY(),1,0))</f>
        <v>0</v>
      </c>
      <c r="S105" s="131" t="n">
        <f aca="true">IF(OR($B105="",$I105="Complete",$L105=""),0,IF(AND($L105&gt;=TODAY(),$L105&lt;=TODAY()+7),1,0))</f>
        <v>0</v>
      </c>
      <c r="T105" s="131" t="str">
        <f aca="true">IF(OR($B105="",$L105=""),"",$L105-TODAY())</f>
        <v/>
      </c>
      <c r="U105" s="135" t="str">
        <f aca="false">IF($B105="","",IF($I105="Complete",1,IF($J105="",0,$J105)))</f>
        <v/>
      </c>
      <c r="V105" s="131" t="n">
        <f aca="false">IF($B105="",0,IF($N105="",0,1))</f>
        <v>0</v>
      </c>
      <c r="W105" s="131" t="n">
        <f aca="false">IF($B105="",0,1)</f>
        <v>0</v>
      </c>
    </row>
    <row r="106" customFormat="false" ht="15" hidden="false" customHeight="false" outlineLevel="0" collapsed="false">
      <c r="A106" s="131" t="str">
        <f aca="false">IF('Shane Mattingly'!$B26="","",'Shane Mattingly'!$A26)</f>
        <v/>
      </c>
      <c r="B106" s="131" t="str">
        <f aca="false">IF('Shane Mattingly'!$B26="","",'Shane Mattingly'!$B26)</f>
        <v/>
      </c>
      <c r="C106" s="132" t="str">
        <f aca="false">IF('Shane Mattingly'!$B26="","",'Shane Mattingly'!$C26)</f>
        <v/>
      </c>
      <c r="D106" s="132" t="str">
        <f aca="false">IF('Shane Mattingly'!$B26="","",'Shane Mattingly'!$D26)</f>
        <v/>
      </c>
      <c r="E106" s="132" t="str">
        <f aca="false">IF('Shane Mattingly'!$B26="","",'Shane Mattingly'!$E26)</f>
        <v/>
      </c>
      <c r="F106" s="132" t="str">
        <f aca="false">IF('Shane Mattingly'!$B26="","",'Shane Mattingly'!$F26)</f>
        <v/>
      </c>
      <c r="G106" s="132" t="str">
        <f aca="false">IF('Shane Mattingly'!$B26="","",'Shane Mattingly'!$G26)</f>
        <v/>
      </c>
      <c r="H106" s="131" t="str">
        <f aca="false">IF('Shane Mattingly'!$B26="","",'Shane Mattingly'!$H26)</f>
        <v/>
      </c>
      <c r="I106" s="131" t="str">
        <f aca="false">IF('Shane Mattingly'!$B26="","",'Shane Mattingly'!$I26)</f>
        <v/>
      </c>
      <c r="J106" s="133" t="str">
        <f aca="false">IF('Shane Mattingly'!$B26="","",'Shane Mattingly'!$J26)</f>
        <v/>
      </c>
      <c r="K106" s="134" t="str">
        <f aca="false">IF('Shane Mattingly'!$B26="","",'Shane Mattingly'!$K26)</f>
        <v/>
      </c>
      <c r="L106" s="134" t="str">
        <f aca="false">IF('Shane Mattingly'!$B26="","",'Shane Mattingly'!$L26)</f>
        <v/>
      </c>
      <c r="M106" s="132" t="str">
        <f aca="false">IF('Shane Mattingly'!$B26="","",'Shane Mattingly'!$M26)</f>
        <v/>
      </c>
      <c r="N106" s="132" t="str">
        <f aca="false">IF('Shane Mattingly'!$B26="","",'Shane Mattingly'!$N26)</f>
        <v/>
      </c>
      <c r="O106" s="134" t="str">
        <f aca="false">IF('Shane Mattingly'!$B26="","",'Shane Mattingly'!$O26)</f>
        <v/>
      </c>
      <c r="P106" s="132" t="str">
        <f aca="false">IF('Shane Mattingly'!$B26="","",'Shane Mattingly'!$P26)</f>
        <v/>
      </c>
      <c r="Q106" s="131" t="str">
        <f aca="false">IF('Shane Mattingly'!$B26="","","Shane Mattingly")</f>
        <v/>
      </c>
      <c r="R106" s="131" t="n">
        <f aca="true">IF(OR($B106="",$I106="Complete",$L106=""),0,IF($L106&lt;TODAY(),1,0))</f>
        <v>0</v>
      </c>
      <c r="S106" s="131" t="n">
        <f aca="true">IF(OR($B106="",$I106="Complete",$L106=""),0,IF(AND($L106&gt;=TODAY(),$L106&lt;=TODAY()+7),1,0))</f>
        <v>0</v>
      </c>
      <c r="T106" s="131" t="str">
        <f aca="true">IF(OR($B106="",$L106=""),"",$L106-TODAY())</f>
        <v/>
      </c>
      <c r="U106" s="135" t="str">
        <f aca="false">IF($B106="","",IF($I106="Complete",1,IF($J106="",0,$J106)))</f>
        <v/>
      </c>
      <c r="V106" s="131" t="n">
        <f aca="false">IF($B106="",0,IF($N106="",0,1))</f>
        <v>0</v>
      </c>
      <c r="W106" s="131" t="n">
        <f aca="false">IF($B106="",0,1)</f>
        <v>0</v>
      </c>
    </row>
    <row r="107" customFormat="false" ht="15" hidden="false" customHeight="false" outlineLevel="0" collapsed="false">
      <c r="A107" s="131" t="str">
        <f aca="false">IF('Shane Mattingly'!$B27="","",'Shane Mattingly'!$A27)</f>
        <v/>
      </c>
      <c r="B107" s="131" t="str">
        <f aca="false">IF('Shane Mattingly'!$B27="","",'Shane Mattingly'!$B27)</f>
        <v/>
      </c>
      <c r="C107" s="132" t="str">
        <f aca="false">IF('Shane Mattingly'!$B27="","",'Shane Mattingly'!$C27)</f>
        <v/>
      </c>
      <c r="D107" s="132" t="str">
        <f aca="false">IF('Shane Mattingly'!$B27="","",'Shane Mattingly'!$D27)</f>
        <v/>
      </c>
      <c r="E107" s="132" t="str">
        <f aca="false">IF('Shane Mattingly'!$B27="","",'Shane Mattingly'!$E27)</f>
        <v/>
      </c>
      <c r="F107" s="132" t="str">
        <f aca="false">IF('Shane Mattingly'!$B27="","",'Shane Mattingly'!$F27)</f>
        <v/>
      </c>
      <c r="G107" s="132" t="str">
        <f aca="false">IF('Shane Mattingly'!$B27="","",'Shane Mattingly'!$G27)</f>
        <v/>
      </c>
      <c r="H107" s="131" t="str">
        <f aca="false">IF('Shane Mattingly'!$B27="","",'Shane Mattingly'!$H27)</f>
        <v/>
      </c>
      <c r="I107" s="131" t="str">
        <f aca="false">IF('Shane Mattingly'!$B27="","",'Shane Mattingly'!$I27)</f>
        <v/>
      </c>
      <c r="J107" s="133" t="str">
        <f aca="false">IF('Shane Mattingly'!$B27="","",'Shane Mattingly'!$J27)</f>
        <v/>
      </c>
      <c r="K107" s="134" t="str">
        <f aca="false">IF('Shane Mattingly'!$B27="","",'Shane Mattingly'!$K27)</f>
        <v/>
      </c>
      <c r="L107" s="134" t="str">
        <f aca="false">IF('Shane Mattingly'!$B27="","",'Shane Mattingly'!$L27)</f>
        <v/>
      </c>
      <c r="M107" s="132" t="str">
        <f aca="false">IF('Shane Mattingly'!$B27="","",'Shane Mattingly'!$M27)</f>
        <v/>
      </c>
      <c r="N107" s="132" t="str">
        <f aca="false">IF('Shane Mattingly'!$B27="","",'Shane Mattingly'!$N27)</f>
        <v/>
      </c>
      <c r="O107" s="134" t="str">
        <f aca="false">IF('Shane Mattingly'!$B27="","",'Shane Mattingly'!$O27)</f>
        <v/>
      </c>
      <c r="P107" s="132" t="str">
        <f aca="false">IF('Shane Mattingly'!$B27="","",'Shane Mattingly'!$P27)</f>
        <v/>
      </c>
      <c r="Q107" s="131" t="str">
        <f aca="false">IF('Shane Mattingly'!$B27="","","Shane Mattingly")</f>
        <v/>
      </c>
      <c r="R107" s="131" t="n">
        <f aca="true">IF(OR($B107="",$I107="Complete",$L107=""),0,IF($L107&lt;TODAY(),1,0))</f>
        <v>0</v>
      </c>
      <c r="S107" s="131" t="n">
        <f aca="true">IF(OR($B107="",$I107="Complete",$L107=""),0,IF(AND($L107&gt;=TODAY(),$L107&lt;=TODAY()+7),1,0))</f>
        <v>0</v>
      </c>
      <c r="T107" s="131" t="str">
        <f aca="true">IF(OR($B107="",$L107=""),"",$L107-TODAY())</f>
        <v/>
      </c>
      <c r="U107" s="135" t="str">
        <f aca="false">IF($B107="","",IF($I107="Complete",1,IF($J107="",0,$J107)))</f>
        <v/>
      </c>
      <c r="V107" s="131" t="n">
        <f aca="false">IF($B107="",0,IF($N107="",0,1))</f>
        <v>0</v>
      </c>
      <c r="W107" s="131" t="n">
        <f aca="false">IF($B107="",0,1)</f>
        <v>0</v>
      </c>
    </row>
    <row r="108" customFormat="false" ht="15" hidden="false" customHeight="false" outlineLevel="0" collapsed="false">
      <c r="A108" s="131" t="str">
        <f aca="false">IF('Shane Mattingly'!$B28="","",'Shane Mattingly'!$A28)</f>
        <v/>
      </c>
      <c r="B108" s="131" t="str">
        <f aca="false">IF('Shane Mattingly'!$B28="","",'Shane Mattingly'!$B28)</f>
        <v/>
      </c>
      <c r="C108" s="132" t="str">
        <f aca="false">IF('Shane Mattingly'!$B28="","",'Shane Mattingly'!$C28)</f>
        <v/>
      </c>
      <c r="D108" s="132" t="str">
        <f aca="false">IF('Shane Mattingly'!$B28="","",'Shane Mattingly'!$D28)</f>
        <v/>
      </c>
      <c r="E108" s="132" t="str">
        <f aca="false">IF('Shane Mattingly'!$B28="","",'Shane Mattingly'!$E28)</f>
        <v/>
      </c>
      <c r="F108" s="132" t="str">
        <f aca="false">IF('Shane Mattingly'!$B28="","",'Shane Mattingly'!$F28)</f>
        <v/>
      </c>
      <c r="G108" s="132" t="str">
        <f aca="false">IF('Shane Mattingly'!$B28="","",'Shane Mattingly'!$G28)</f>
        <v/>
      </c>
      <c r="H108" s="131" t="str">
        <f aca="false">IF('Shane Mattingly'!$B28="","",'Shane Mattingly'!$H28)</f>
        <v/>
      </c>
      <c r="I108" s="131" t="str">
        <f aca="false">IF('Shane Mattingly'!$B28="","",'Shane Mattingly'!$I28)</f>
        <v/>
      </c>
      <c r="J108" s="133" t="str">
        <f aca="false">IF('Shane Mattingly'!$B28="","",'Shane Mattingly'!$J28)</f>
        <v/>
      </c>
      <c r="K108" s="134" t="str">
        <f aca="false">IF('Shane Mattingly'!$B28="","",'Shane Mattingly'!$K28)</f>
        <v/>
      </c>
      <c r="L108" s="134" t="str">
        <f aca="false">IF('Shane Mattingly'!$B28="","",'Shane Mattingly'!$L28)</f>
        <v/>
      </c>
      <c r="M108" s="132" t="str">
        <f aca="false">IF('Shane Mattingly'!$B28="","",'Shane Mattingly'!$M28)</f>
        <v/>
      </c>
      <c r="N108" s="132" t="str">
        <f aca="false">IF('Shane Mattingly'!$B28="","",'Shane Mattingly'!$N28)</f>
        <v/>
      </c>
      <c r="O108" s="134" t="str">
        <f aca="false">IF('Shane Mattingly'!$B28="","",'Shane Mattingly'!$O28)</f>
        <v/>
      </c>
      <c r="P108" s="132" t="str">
        <f aca="false">IF('Shane Mattingly'!$B28="","",'Shane Mattingly'!$P28)</f>
        <v/>
      </c>
      <c r="Q108" s="131" t="str">
        <f aca="false">IF('Shane Mattingly'!$B28="","","Shane Mattingly")</f>
        <v/>
      </c>
      <c r="R108" s="131" t="n">
        <f aca="true">IF(OR($B108="",$I108="Complete",$L108=""),0,IF($L108&lt;TODAY(),1,0))</f>
        <v>0</v>
      </c>
      <c r="S108" s="131" t="n">
        <f aca="true">IF(OR($B108="",$I108="Complete",$L108=""),0,IF(AND($L108&gt;=TODAY(),$L108&lt;=TODAY()+7),1,0))</f>
        <v>0</v>
      </c>
      <c r="T108" s="131" t="str">
        <f aca="true">IF(OR($B108="",$L108=""),"",$L108-TODAY())</f>
        <v/>
      </c>
      <c r="U108" s="135" t="str">
        <f aca="false">IF($B108="","",IF($I108="Complete",1,IF($J108="",0,$J108)))</f>
        <v/>
      </c>
      <c r="V108" s="131" t="n">
        <f aca="false">IF($B108="",0,IF($N108="",0,1))</f>
        <v>0</v>
      </c>
      <c r="W108" s="131" t="n">
        <f aca="false">IF($B108="",0,1)</f>
        <v>0</v>
      </c>
    </row>
    <row r="109" customFormat="false" ht="15" hidden="false" customHeight="false" outlineLevel="0" collapsed="false">
      <c r="A109" s="131" t="str">
        <f aca="false">IF('Shane Mattingly'!$B29="","",'Shane Mattingly'!$A29)</f>
        <v/>
      </c>
      <c r="B109" s="131" t="str">
        <f aca="false">IF('Shane Mattingly'!$B29="","",'Shane Mattingly'!$B29)</f>
        <v/>
      </c>
      <c r="C109" s="132" t="str">
        <f aca="false">IF('Shane Mattingly'!$B29="","",'Shane Mattingly'!$C29)</f>
        <v/>
      </c>
      <c r="D109" s="132" t="str">
        <f aca="false">IF('Shane Mattingly'!$B29="","",'Shane Mattingly'!$D29)</f>
        <v/>
      </c>
      <c r="E109" s="132" t="str">
        <f aca="false">IF('Shane Mattingly'!$B29="","",'Shane Mattingly'!$E29)</f>
        <v/>
      </c>
      <c r="F109" s="132" t="str">
        <f aca="false">IF('Shane Mattingly'!$B29="","",'Shane Mattingly'!$F29)</f>
        <v/>
      </c>
      <c r="G109" s="132" t="str">
        <f aca="false">IF('Shane Mattingly'!$B29="","",'Shane Mattingly'!$G29)</f>
        <v/>
      </c>
      <c r="H109" s="131" t="str">
        <f aca="false">IF('Shane Mattingly'!$B29="","",'Shane Mattingly'!$H29)</f>
        <v/>
      </c>
      <c r="I109" s="131" t="str">
        <f aca="false">IF('Shane Mattingly'!$B29="","",'Shane Mattingly'!$I29)</f>
        <v/>
      </c>
      <c r="J109" s="133" t="str">
        <f aca="false">IF('Shane Mattingly'!$B29="","",'Shane Mattingly'!$J29)</f>
        <v/>
      </c>
      <c r="K109" s="134" t="str">
        <f aca="false">IF('Shane Mattingly'!$B29="","",'Shane Mattingly'!$K29)</f>
        <v/>
      </c>
      <c r="L109" s="134" t="str">
        <f aca="false">IF('Shane Mattingly'!$B29="","",'Shane Mattingly'!$L29)</f>
        <v/>
      </c>
      <c r="M109" s="132" t="str">
        <f aca="false">IF('Shane Mattingly'!$B29="","",'Shane Mattingly'!$M29)</f>
        <v/>
      </c>
      <c r="N109" s="132" t="str">
        <f aca="false">IF('Shane Mattingly'!$B29="","",'Shane Mattingly'!$N29)</f>
        <v/>
      </c>
      <c r="O109" s="134" t="str">
        <f aca="false">IF('Shane Mattingly'!$B29="","",'Shane Mattingly'!$O29)</f>
        <v/>
      </c>
      <c r="P109" s="132" t="str">
        <f aca="false">IF('Shane Mattingly'!$B29="","",'Shane Mattingly'!$P29)</f>
        <v/>
      </c>
      <c r="Q109" s="131" t="str">
        <f aca="false">IF('Shane Mattingly'!$B29="","","Shane Mattingly")</f>
        <v/>
      </c>
      <c r="R109" s="131" t="n">
        <f aca="true">IF(OR($B109="",$I109="Complete",$L109=""),0,IF($L109&lt;TODAY(),1,0))</f>
        <v>0</v>
      </c>
      <c r="S109" s="131" t="n">
        <f aca="true">IF(OR($B109="",$I109="Complete",$L109=""),0,IF(AND($L109&gt;=TODAY(),$L109&lt;=TODAY()+7),1,0))</f>
        <v>0</v>
      </c>
      <c r="T109" s="131" t="str">
        <f aca="true">IF(OR($B109="",$L109=""),"",$L109-TODAY())</f>
        <v/>
      </c>
      <c r="U109" s="135" t="str">
        <f aca="false">IF($B109="","",IF($I109="Complete",1,IF($J109="",0,$J109)))</f>
        <v/>
      </c>
      <c r="V109" s="131" t="n">
        <f aca="false">IF($B109="",0,IF($N109="",0,1))</f>
        <v>0</v>
      </c>
      <c r="W109" s="131" t="n">
        <f aca="false">IF($B109="",0,1)</f>
        <v>0</v>
      </c>
    </row>
    <row r="110" customFormat="false" ht="15" hidden="false" customHeight="false" outlineLevel="0" collapsed="false">
      <c r="A110" s="131" t="str">
        <f aca="false">IF('Shane Mattingly'!$B30="","",'Shane Mattingly'!$A30)</f>
        <v/>
      </c>
      <c r="B110" s="131" t="str">
        <f aca="false">IF('Shane Mattingly'!$B30="","",'Shane Mattingly'!$B30)</f>
        <v/>
      </c>
      <c r="C110" s="132" t="str">
        <f aca="false">IF('Shane Mattingly'!$B30="","",'Shane Mattingly'!$C30)</f>
        <v/>
      </c>
      <c r="D110" s="132" t="str">
        <f aca="false">IF('Shane Mattingly'!$B30="","",'Shane Mattingly'!$D30)</f>
        <v/>
      </c>
      <c r="E110" s="132" t="str">
        <f aca="false">IF('Shane Mattingly'!$B30="","",'Shane Mattingly'!$E30)</f>
        <v/>
      </c>
      <c r="F110" s="132" t="str">
        <f aca="false">IF('Shane Mattingly'!$B30="","",'Shane Mattingly'!$F30)</f>
        <v/>
      </c>
      <c r="G110" s="132" t="str">
        <f aca="false">IF('Shane Mattingly'!$B30="","",'Shane Mattingly'!$G30)</f>
        <v/>
      </c>
      <c r="H110" s="131" t="str">
        <f aca="false">IF('Shane Mattingly'!$B30="","",'Shane Mattingly'!$H30)</f>
        <v/>
      </c>
      <c r="I110" s="131" t="str">
        <f aca="false">IF('Shane Mattingly'!$B30="","",'Shane Mattingly'!$I30)</f>
        <v/>
      </c>
      <c r="J110" s="133" t="str">
        <f aca="false">IF('Shane Mattingly'!$B30="","",'Shane Mattingly'!$J30)</f>
        <v/>
      </c>
      <c r="K110" s="134" t="str">
        <f aca="false">IF('Shane Mattingly'!$B30="","",'Shane Mattingly'!$K30)</f>
        <v/>
      </c>
      <c r="L110" s="134" t="str">
        <f aca="false">IF('Shane Mattingly'!$B30="","",'Shane Mattingly'!$L30)</f>
        <v/>
      </c>
      <c r="M110" s="132" t="str">
        <f aca="false">IF('Shane Mattingly'!$B30="","",'Shane Mattingly'!$M30)</f>
        <v/>
      </c>
      <c r="N110" s="132" t="str">
        <f aca="false">IF('Shane Mattingly'!$B30="","",'Shane Mattingly'!$N30)</f>
        <v/>
      </c>
      <c r="O110" s="134" t="str">
        <f aca="false">IF('Shane Mattingly'!$B30="","",'Shane Mattingly'!$O30)</f>
        <v/>
      </c>
      <c r="P110" s="132" t="str">
        <f aca="false">IF('Shane Mattingly'!$B30="","",'Shane Mattingly'!$P30)</f>
        <v/>
      </c>
      <c r="Q110" s="131" t="str">
        <f aca="false">IF('Shane Mattingly'!$B30="","","Shane Mattingly")</f>
        <v/>
      </c>
      <c r="R110" s="131" t="n">
        <f aca="true">IF(OR($B110="",$I110="Complete",$L110=""),0,IF($L110&lt;TODAY(),1,0))</f>
        <v>0</v>
      </c>
      <c r="S110" s="131" t="n">
        <f aca="true">IF(OR($B110="",$I110="Complete",$L110=""),0,IF(AND($L110&gt;=TODAY(),$L110&lt;=TODAY()+7),1,0))</f>
        <v>0</v>
      </c>
      <c r="T110" s="131" t="str">
        <f aca="true">IF(OR($B110="",$L110=""),"",$L110-TODAY())</f>
        <v/>
      </c>
      <c r="U110" s="135" t="str">
        <f aca="false">IF($B110="","",IF($I110="Complete",1,IF($J110="",0,$J110)))</f>
        <v/>
      </c>
      <c r="V110" s="131" t="n">
        <f aca="false">IF($B110="",0,IF($N110="",0,1))</f>
        <v>0</v>
      </c>
      <c r="W110" s="131" t="n">
        <f aca="false">IF($B110="",0,1)</f>
        <v>0</v>
      </c>
    </row>
    <row r="111" customFormat="false" ht="15" hidden="false" customHeight="false" outlineLevel="0" collapsed="false">
      <c r="A111" s="131" t="str">
        <f aca="false">IF('Shane Mattingly'!$B31="","",'Shane Mattingly'!$A31)</f>
        <v/>
      </c>
      <c r="B111" s="131" t="str">
        <f aca="false">IF('Shane Mattingly'!$B31="","",'Shane Mattingly'!$B31)</f>
        <v/>
      </c>
      <c r="C111" s="132" t="str">
        <f aca="false">IF('Shane Mattingly'!$B31="","",'Shane Mattingly'!$C31)</f>
        <v/>
      </c>
      <c r="D111" s="132" t="str">
        <f aca="false">IF('Shane Mattingly'!$B31="","",'Shane Mattingly'!$D31)</f>
        <v/>
      </c>
      <c r="E111" s="132" t="str">
        <f aca="false">IF('Shane Mattingly'!$B31="","",'Shane Mattingly'!$E31)</f>
        <v/>
      </c>
      <c r="F111" s="132" t="str">
        <f aca="false">IF('Shane Mattingly'!$B31="","",'Shane Mattingly'!$F31)</f>
        <v/>
      </c>
      <c r="G111" s="132" t="str">
        <f aca="false">IF('Shane Mattingly'!$B31="","",'Shane Mattingly'!$G31)</f>
        <v/>
      </c>
      <c r="H111" s="131" t="str">
        <f aca="false">IF('Shane Mattingly'!$B31="","",'Shane Mattingly'!$H31)</f>
        <v/>
      </c>
      <c r="I111" s="131" t="str">
        <f aca="false">IF('Shane Mattingly'!$B31="","",'Shane Mattingly'!$I31)</f>
        <v/>
      </c>
      <c r="J111" s="133" t="str">
        <f aca="false">IF('Shane Mattingly'!$B31="","",'Shane Mattingly'!$J31)</f>
        <v/>
      </c>
      <c r="K111" s="134" t="str">
        <f aca="false">IF('Shane Mattingly'!$B31="","",'Shane Mattingly'!$K31)</f>
        <v/>
      </c>
      <c r="L111" s="134" t="str">
        <f aca="false">IF('Shane Mattingly'!$B31="","",'Shane Mattingly'!$L31)</f>
        <v/>
      </c>
      <c r="M111" s="132" t="str">
        <f aca="false">IF('Shane Mattingly'!$B31="","",'Shane Mattingly'!$M31)</f>
        <v/>
      </c>
      <c r="N111" s="132" t="str">
        <f aca="false">IF('Shane Mattingly'!$B31="","",'Shane Mattingly'!$N31)</f>
        <v/>
      </c>
      <c r="O111" s="134" t="str">
        <f aca="false">IF('Shane Mattingly'!$B31="","",'Shane Mattingly'!$O31)</f>
        <v/>
      </c>
      <c r="P111" s="132" t="str">
        <f aca="false">IF('Shane Mattingly'!$B31="","",'Shane Mattingly'!$P31)</f>
        <v/>
      </c>
      <c r="Q111" s="131" t="str">
        <f aca="false">IF('Shane Mattingly'!$B31="","","Shane Mattingly")</f>
        <v/>
      </c>
      <c r="R111" s="131" t="n">
        <f aca="true">IF(OR($B111="",$I111="Complete",$L111=""),0,IF($L111&lt;TODAY(),1,0))</f>
        <v>0</v>
      </c>
      <c r="S111" s="131" t="n">
        <f aca="true">IF(OR($B111="",$I111="Complete",$L111=""),0,IF(AND($L111&gt;=TODAY(),$L111&lt;=TODAY()+7),1,0))</f>
        <v>0</v>
      </c>
      <c r="T111" s="131" t="str">
        <f aca="true">IF(OR($B111="",$L111=""),"",$L111-TODAY())</f>
        <v/>
      </c>
      <c r="U111" s="135" t="str">
        <f aca="false">IF($B111="","",IF($I111="Complete",1,IF($J111="",0,$J111)))</f>
        <v/>
      </c>
      <c r="V111" s="131" t="n">
        <f aca="false">IF($B111="",0,IF($N111="",0,1))</f>
        <v>0</v>
      </c>
      <c r="W111" s="131" t="n">
        <f aca="false">IF($B111="",0,1)</f>
        <v>0</v>
      </c>
    </row>
    <row r="112" customFormat="false" ht="15" hidden="false" customHeight="false" outlineLevel="0" collapsed="false">
      <c r="A112" s="131" t="str">
        <f aca="false">IF('Shane Mattingly'!$B32="","",'Shane Mattingly'!$A32)</f>
        <v/>
      </c>
      <c r="B112" s="131" t="str">
        <f aca="false">IF('Shane Mattingly'!$B32="","",'Shane Mattingly'!$B32)</f>
        <v/>
      </c>
      <c r="C112" s="132" t="str">
        <f aca="false">IF('Shane Mattingly'!$B32="","",'Shane Mattingly'!$C32)</f>
        <v/>
      </c>
      <c r="D112" s="132" t="str">
        <f aca="false">IF('Shane Mattingly'!$B32="","",'Shane Mattingly'!$D32)</f>
        <v/>
      </c>
      <c r="E112" s="132" t="str">
        <f aca="false">IF('Shane Mattingly'!$B32="","",'Shane Mattingly'!$E32)</f>
        <v/>
      </c>
      <c r="F112" s="132" t="str">
        <f aca="false">IF('Shane Mattingly'!$B32="","",'Shane Mattingly'!$F32)</f>
        <v/>
      </c>
      <c r="G112" s="132" t="str">
        <f aca="false">IF('Shane Mattingly'!$B32="","",'Shane Mattingly'!$G32)</f>
        <v/>
      </c>
      <c r="H112" s="131" t="str">
        <f aca="false">IF('Shane Mattingly'!$B32="","",'Shane Mattingly'!$H32)</f>
        <v/>
      </c>
      <c r="I112" s="131" t="str">
        <f aca="false">IF('Shane Mattingly'!$B32="","",'Shane Mattingly'!$I32)</f>
        <v/>
      </c>
      <c r="J112" s="133" t="str">
        <f aca="false">IF('Shane Mattingly'!$B32="","",'Shane Mattingly'!$J32)</f>
        <v/>
      </c>
      <c r="K112" s="134" t="str">
        <f aca="false">IF('Shane Mattingly'!$B32="","",'Shane Mattingly'!$K32)</f>
        <v/>
      </c>
      <c r="L112" s="134" t="str">
        <f aca="false">IF('Shane Mattingly'!$B32="","",'Shane Mattingly'!$L32)</f>
        <v/>
      </c>
      <c r="M112" s="132" t="str">
        <f aca="false">IF('Shane Mattingly'!$B32="","",'Shane Mattingly'!$M32)</f>
        <v/>
      </c>
      <c r="N112" s="132" t="str">
        <f aca="false">IF('Shane Mattingly'!$B32="","",'Shane Mattingly'!$N32)</f>
        <v/>
      </c>
      <c r="O112" s="134" t="str">
        <f aca="false">IF('Shane Mattingly'!$B32="","",'Shane Mattingly'!$O32)</f>
        <v/>
      </c>
      <c r="P112" s="132" t="str">
        <f aca="false">IF('Shane Mattingly'!$B32="","",'Shane Mattingly'!$P32)</f>
        <v/>
      </c>
      <c r="Q112" s="131" t="str">
        <f aca="false">IF('Shane Mattingly'!$B32="","","Shane Mattingly")</f>
        <v/>
      </c>
      <c r="R112" s="131" t="n">
        <f aca="true">IF(OR($B112="",$I112="Complete",$L112=""),0,IF($L112&lt;TODAY(),1,0))</f>
        <v>0</v>
      </c>
      <c r="S112" s="131" t="n">
        <f aca="true">IF(OR($B112="",$I112="Complete",$L112=""),0,IF(AND($L112&gt;=TODAY(),$L112&lt;=TODAY()+7),1,0))</f>
        <v>0</v>
      </c>
      <c r="T112" s="131" t="str">
        <f aca="true">IF(OR($B112="",$L112=""),"",$L112-TODAY())</f>
        <v/>
      </c>
      <c r="U112" s="135" t="str">
        <f aca="false">IF($B112="","",IF($I112="Complete",1,IF($J112="",0,$J112)))</f>
        <v/>
      </c>
      <c r="V112" s="131" t="n">
        <f aca="false">IF($B112="",0,IF($N112="",0,1))</f>
        <v>0</v>
      </c>
      <c r="W112" s="131" t="n">
        <f aca="false">IF($B112="",0,1)</f>
        <v>0</v>
      </c>
    </row>
    <row r="113" customFormat="false" ht="15" hidden="false" customHeight="false" outlineLevel="0" collapsed="false">
      <c r="A113" s="131" t="str">
        <f aca="false">IF('Shane Mattingly'!$B33="","",'Shane Mattingly'!$A33)</f>
        <v/>
      </c>
      <c r="B113" s="131" t="str">
        <f aca="false">IF('Shane Mattingly'!$B33="","",'Shane Mattingly'!$B33)</f>
        <v/>
      </c>
      <c r="C113" s="132" t="str">
        <f aca="false">IF('Shane Mattingly'!$B33="","",'Shane Mattingly'!$C33)</f>
        <v/>
      </c>
      <c r="D113" s="132" t="str">
        <f aca="false">IF('Shane Mattingly'!$B33="","",'Shane Mattingly'!$D33)</f>
        <v/>
      </c>
      <c r="E113" s="132" t="str">
        <f aca="false">IF('Shane Mattingly'!$B33="","",'Shane Mattingly'!$E33)</f>
        <v/>
      </c>
      <c r="F113" s="132" t="str">
        <f aca="false">IF('Shane Mattingly'!$B33="","",'Shane Mattingly'!$F33)</f>
        <v/>
      </c>
      <c r="G113" s="132" t="str">
        <f aca="false">IF('Shane Mattingly'!$B33="","",'Shane Mattingly'!$G33)</f>
        <v/>
      </c>
      <c r="H113" s="131" t="str">
        <f aca="false">IF('Shane Mattingly'!$B33="","",'Shane Mattingly'!$H33)</f>
        <v/>
      </c>
      <c r="I113" s="131" t="str">
        <f aca="false">IF('Shane Mattingly'!$B33="","",'Shane Mattingly'!$I33)</f>
        <v/>
      </c>
      <c r="J113" s="133" t="str">
        <f aca="false">IF('Shane Mattingly'!$B33="","",'Shane Mattingly'!$J33)</f>
        <v/>
      </c>
      <c r="K113" s="134" t="str">
        <f aca="false">IF('Shane Mattingly'!$B33="","",'Shane Mattingly'!$K33)</f>
        <v/>
      </c>
      <c r="L113" s="134" t="str">
        <f aca="false">IF('Shane Mattingly'!$B33="","",'Shane Mattingly'!$L33)</f>
        <v/>
      </c>
      <c r="M113" s="132" t="str">
        <f aca="false">IF('Shane Mattingly'!$B33="","",'Shane Mattingly'!$M33)</f>
        <v/>
      </c>
      <c r="N113" s="132" t="str">
        <f aca="false">IF('Shane Mattingly'!$B33="","",'Shane Mattingly'!$N33)</f>
        <v/>
      </c>
      <c r="O113" s="134" t="str">
        <f aca="false">IF('Shane Mattingly'!$B33="","",'Shane Mattingly'!$O33)</f>
        <v/>
      </c>
      <c r="P113" s="132" t="str">
        <f aca="false">IF('Shane Mattingly'!$B33="","",'Shane Mattingly'!$P33)</f>
        <v/>
      </c>
      <c r="Q113" s="131" t="str">
        <f aca="false">IF('Shane Mattingly'!$B33="","","Shane Mattingly")</f>
        <v/>
      </c>
      <c r="R113" s="131" t="n">
        <f aca="true">IF(OR($B113="",$I113="Complete",$L113=""),0,IF($L113&lt;TODAY(),1,0))</f>
        <v>0</v>
      </c>
      <c r="S113" s="131" t="n">
        <f aca="true">IF(OR($B113="",$I113="Complete",$L113=""),0,IF(AND($L113&gt;=TODAY(),$L113&lt;=TODAY()+7),1,0))</f>
        <v>0</v>
      </c>
      <c r="T113" s="131" t="str">
        <f aca="true">IF(OR($B113="",$L113=""),"",$L113-TODAY())</f>
        <v/>
      </c>
      <c r="U113" s="135" t="str">
        <f aca="false">IF($B113="","",IF($I113="Complete",1,IF($J113="",0,$J113)))</f>
        <v/>
      </c>
      <c r="V113" s="131" t="n">
        <f aca="false">IF($B113="",0,IF($N113="",0,1))</f>
        <v>0</v>
      </c>
      <c r="W113" s="131" t="n">
        <f aca="false">IF($B113="",0,1)</f>
        <v>0</v>
      </c>
    </row>
    <row r="114" customFormat="false" ht="15" hidden="false" customHeight="false" outlineLevel="0" collapsed="false">
      <c r="A114" s="131" t="str">
        <f aca="false">IF('Shane Mattingly'!$B34="","",'Shane Mattingly'!$A34)</f>
        <v/>
      </c>
      <c r="B114" s="131" t="str">
        <f aca="false">IF('Shane Mattingly'!$B34="","",'Shane Mattingly'!$B34)</f>
        <v/>
      </c>
      <c r="C114" s="132" t="str">
        <f aca="false">IF('Shane Mattingly'!$B34="","",'Shane Mattingly'!$C34)</f>
        <v/>
      </c>
      <c r="D114" s="132" t="str">
        <f aca="false">IF('Shane Mattingly'!$B34="","",'Shane Mattingly'!$D34)</f>
        <v/>
      </c>
      <c r="E114" s="132" t="str">
        <f aca="false">IF('Shane Mattingly'!$B34="","",'Shane Mattingly'!$E34)</f>
        <v/>
      </c>
      <c r="F114" s="132" t="str">
        <f aca="false">IF('Shane Mattingly'!$B34="","",'Shane Mattingly'!$F34)</f>
        <v/>
      </c>
      <c r="G114" s="132" t="str">
        <f aca="false">IF('Shane Mattingly'!$B34="","",'Shane Mattingly'!$G34)</f>
        <v/>
      </c>
      <c r="H114" s="131" t="str">
        <f aca="false">IF('Shane Mattingly'!$B34="","",'Shane Mattingly'!$H34)</f>
        <v/>
      </c>
      <c r="I114" s="131" t="str">
        <f aca="false">IF('Shane Mattingly'!$B34="","",'Shane Mattingly'!$I34)</f>
        <v/>
      </c>
      <c r="J114" s="133" t="str">
        <f aca="false">IF('Shane Mattingly'!$B34="","",'Shane Mattingly'!$J34)</f>
        <v/>
      </c>
      <c r="K114" s="134" t="str">
        <f aca="false">IF('Shane Mattingly'!$B34="","",'Shane Mattingly'!$K34)</f>
        <v/>
      </c>
      <c r="L114" s="134" t="str">
        <f aca="false">IF('Shane Mattingly'!$B34="","",'Shane Mattingly'!$L34)</f>
        <v/>
      </c>
      <c r="M114" s="132" t="str">
        <f aca="false">IF('Shane Mattingly'!$B34="","",'Shane Mattingly'!$M34)</f>
        <v/>
      </c>
      <c r="N114" s="132" t="str">
        <f aca="false">IF('Shane Mattingly'!$B34="","",'Shane Mattingly'!$N34)</f>
        <v/>
      </c>
      <c r="O114" s="134" t="str">
        <f aca="false">IF('Shane Mattingly'!$B34="","",'Shane Mattingly'!$O34)</f>
        <v/>
      </c>
      <c r="P114" s="132" t="str">
        <f aca="false">IF('Shane Mattingly'!$B34="","",'Shane Mattingly'!$P34)</f>
        <v/>
      </c>
      <c r="Q114" s="131" t="str">
        <f aca="false">IF('Shane Mattingly'!$B34="","","Shane Mattingly")</f>
        <v/>
      </c>
      <c r="R114" s="131" t="n">
        <f aca="true">IF(OR($B114="",$I114="Complete",$L114=""),0,IF($L114&lt;TODAY(),1,0))</f>
        <v>0</v>
      </c>
      <c r="S114" s="131" t="n">
        <f aca="true">IF(OR($B114="",$I114="Complete",$L114=""),0,IF(AND($L114&gt;=TODAY(),$L114&lt;=TODAY()+7),1,0))</f>
        <v>0</v>
      </c>
      <c r="T114" s="131" t="str">
        <f aca="true">IF(OR($B114="",$L114=""),"",$L114-TODAY())</f>
        <v/>
      </c>
      <c r="U114" s="135" t="str">
        <f aca="false">IF($B114="","",IF($I114="Complete",1,IF($J114="",0,$J114)))</f>
        <v/>
      </c>
      <c r="V114" s="131" t="n">
        <f aca="false">IF($B114="",0,IF($N114="",0,1))</f>
        <v>0</v>
      </c>
      <c r="W114" s="131" t="n">
        <f aca="false">IF($B114="",0,1)</f>
        <v>0</v>
      </c>
    </row>
    <row r="115" customFormat="false" ht="15" hidden="false" customHeight="false" outlineLevel="0" collapsed="false">
      <c r="A115" s="131" t="str">
        <f aca="false">IF('Shane Mattingly'!$B35="","",'Shane Mattingly'!$A35)</f>
        <v/>
      </c>
      <c r="B115" s="131" t="str">
        <f aca="false">IF('Shane Mattingly'!$B35="","",'Shane Mattingly'!$B35)</f>
        <v/>
      </c>
      <c r="C115" s="132" t="str">
        <f aca="false">IF('Shane Mattingly'!$B35="","",'Shane Mattingly'!$C35)</f>
        <v/>
      </c>
      <c r="D115" s="132" t="str">
        <f aca="false">IF('Shane Mattingly'!$B35="","",'Shane Mattingly'!$D35)</f>
        <v/>
      </c>
      <c r="E115" s="132" t="str">
        <f aca="false">IF('Shane Mattingly'!$B35="","",'Shane Mattingly'!$E35)</f>
        <v/>
      </c>
      <c r="F115" s="132" t="str">
        <f aca="false">IF('Shane Mattingly'!$B35="","",'Shane Mattingly'!$F35)</f>
        <v/>
      </c>
      <c r="G115" s="132" t="str">
        <f aca="false">IF('Shane Mattingly'!$B35="","",'Shane Mattingly'!$G35)</f>
        <v/>
      </c>
      <c r="H115" s="131" t="str">
        <f aca="false">IF('Shane Mattingly'!$B35="","",'Shane Mattingly'!$H35)</f>
        <v/>
      </c>
      <c r="I115" s="131" t="str">
        <f aca="false">IF('Shane Mattingly'!$B35="","",'Shane Mattingly'!$I35)</f>
        <v/>
      </c>
      <c r="J115" s="133" t="str">
        <f aca="false">IF('Shane Mattingly'!$B35="","",'Shane Mattingly'!$J35)</f>
        <v/>
      </c>
      <c r="K115" s="134" t="str">
        <f aca="false">IF('Shane Mattingly'!$B35="","",'Shane Mattingly'!$K35)</f>
        <v/>
      </c>
      <c r="L115" s="134" t="str">
        <f aca="false">IF('Shane Mattingly'!$B35="","",'Shane Mattingly'!$L35)</f>
        <v/>
      </c>
      <c r="M115" s="132" t="str">
        <f aca="false">IF('Shane Mattingly'!$B35="","",'Shane Mattingly'!$M35)</f>
        <v/>
      </c>
      <c r="N115" s="132" t="str">
        <f aca="false">IF('Shane Mattingly'!$B35="","",'Shane Mattingly'!$N35)</f>
        <v/>
      </c>
      <c r="O115" s="134" t="str">
        <f aca="false">IF('Shane Mattingly'!$B35="","",'Shane Mattingly'!$O35)</f>
        <v/>
      </c>
      <c r="P115" s="132" t="str">
        <f aca="false">IF('Shane Mattingly'!$B35="","",'Shane Mattingly'!$P35)</f>
        <v/>
      </c>
      <c r="Q115" s="131" t="str">
        <f aca="false">IF('Shane Mattingly'!$B35="","","Shane Mattingly")</f>
        <v/>
      </c>
      <c r="R115" s="131" t="n">
        <f aca="true">IF(OR($B115="",$I115="Complete",$L115=""),0,IF($L115&lt;TODAY(),1,0))</f>
        <v>0</v>
      </c>
      <c r="S115" s="131" t="n">
        <f aca="true">IF(OR($B115="",$I115="Complete",$L115=""),0,IF(AND($L115&gt;=TODAY(),$L115&lt;=TODAY()+7),1,0))</f>
        <v>0</v>
      </c>
      <c r="T115" s="131" t="str">
        <f aca="true">IF(OR($B115="",$L115=""),"",$L115-TODAY())</f>
        <v/>
      </c>
      <c r="U115" s="135" t="str">
        <f aca="false">IF($B115="","",IF($I115="Complete",1,IF($J115="",0,$J115)))</f>
        <v/>
      </c>
      <c r="V115" s="131" t="n">
        <f aca="false">IF($B115="",0,IF($N115="",0,1))</f>
        <v>0</v>
      </c>
      <c r="W115" s="131" t="n">
        <f aca="false">IF($B115="",0,1)</f>
        <v>0</v>
      </c>
    </row>
    <row r="116" customFormat="false" ht="15" hidden="false" customHeight="false" outlineLevel="0" collapsed="false">
      <c r="A116" s="131" t="str">
        <f aca="false">IF('Shane Mattingly'!$B36="","",'Shane Mattingly'!$A36)</f>
        <v/>
      </c>
      <c r="B116" s="131" t="str">
        <f aca="false">IF('Shane Mattingly'!$B36="","",'Shane Mattingly'!$B36)</f>
        <v/>
      </c>
      <c r="C116" s="132" t="str">
        <f aca="false">IF('Shane Mattingly'!$B36="","",'Shane Mattingly'!$C36)</f>
        <v/>
      </c>
      <c r="D116" s="132" t="str">
        <f aca="false">IF('Shane Mattingly'!$B36="","",'Shane Mattingly'!$D36)</f>
        <v/>
      </c>
      <c r="E116" s="132" t="str">
        <f aca="false">IF('Shane Mattingly'!$B36="","",'Shane Mattingly'!$E36)</f>
        <v/>
      </c>
      <c r="F116" s="132" t="str">
        <f aca="false">IF('Shane Mattingly'!$B36="","",'Shane Mattingly'!$F36)</f>
        <v/>
      </c>
      <c r="G116" s="132" t="str">
        <f aca="false">IF('Shane Mattingly'!$B36="","",'Shane Mattingly'!$G36)</f>
        <v/>
      </c>
      <c r="H116" s="131" t="str">
        <f aca="false">IF('Shane Mattingly'!$B36="","",'Shane Mattingly'!$H36)</f>
        <v/>
      </c>
      <c r="I116" s="131" t="str">
        <f aca="false">IF('Shane Mattingly'!$B36="","",'Shane Mattingly'!$I36)</f>
        <v/>
      </c>
      <c r="J116" s="133" t="str">
        <f aca="false">IF('Shane Mattingly'!$B36="","",'Shane Mattingly'!$J36)</f>
        <v/>
      </c>
      <c r="K116" s="134" t="str">
        <f aca="false">IF('Shane Mattingly'!$B36="","",'Shane Mattingly'!$K36)</f>
        <v/>
      </c>
      <c r="L116" s="134" t="str">
        <f aca="false">IF('Shane Mattingly'!$B36="","",'Shane Mattingly'!$L36)</f>
        <v/>
      </c>
      <c r="M116" s="132" t="str">
        <f aca="false">IF('Shane Mattingly'!$B36="","",'Shane Mattingly'!$M36)</f>
        <v/>
      </c>
      <c r="N116" s="132" t="str">
        <f aca="false">IF('Shane Mattingly'!$B36="","",'Shane Mattingly'!$N36)</f>
        <v/>
      </c>
      <c r="O116" s="134" t="str">
        <f aca="false">IF('Shane Mattingly'!$B36="","",'Shane Mattingly'!$O36)</f>
        <v/>
      </c>
      <c r="P116" s="132" t="str">
        <f aca="false">IF('Shane Mattingly'!$B36="","",'Shane Mattingly'!$P36)</f>
        <v/>
      </c>
      <c r="Q116" s="131" t="str">
        <f aca="false">IF('Shane Mattingly'!$B36="","","Shane Mattingly")</f>
        <v/>
      </c>
      <c r="R116" s="131" t="n">
        <f aca="true">IF(OR($B116="",$I116="Complete",$L116=""),0,IF($L116&lt;TODAY(),1,0))</f>
        <v>0</v>
      </c>
      <c r="S116" s="131" t="n">
        <f aca="true">IF(OR($B116="",$I116="Complete",$L116=""),0,IF(AND($L116&gt;=TODAY(),$L116&lt;=TODAY()+7),1,0))</f>
        <v>0</v>
      </c>
      <c r="T116" s="131" t="str">
        <f aca="true">IF(OR($B116="",$L116=""),"",$L116-TODAY())</f>
        <v/>
      </c>
      <c r="U116" s="135" t="str">
        <f aca="false">IF($B116="","",IF($I116="Complete",1,IF($J116="",0,$J116)))</f>
        <v/>
      </c>
      <c r="V116" s="131" t="n">
        <f aca="false">IF($B116="",0,IF($N116="",0,1))</f>
        <v>0</v>
      </c>
      <c r="W116" s="131" t="n">
        <f aca="false">IF($B116="",0,1)</f>
        <v>0</v>
      </c>
    </row>
    <row r="117" customFormat="false" ht="15" hidden="false" customHeight="false" outlineLevel="0" collapsed="false">
      <c r="A117" s="131" t="str">
        <f aca="false">IF('Shane Mattingly'!$B37="","",'Shane Mattingly'!$A37)</f>
        <v/>
      </c>
      <c r="B117" s="131" t="str">
        <f aca="false">IF('Shane Mattingly'!$B37="","",'Shane Mattingly'!$B37)</f>
        <v/>
      </c>
      <c r="C117" s="132" t="str">
        <f aca="false">IF('Shane Mattingly'!$B37="","",'Shane Mattingly'!$C37)</f>
        <v/>
      </c>
      <c r="D117" s="132" t="str">
        <f aca="false">IF('Shane Mattingly'!$B37="","",'Shane Mattingly'!$D37)</f>
        <v/>
      </c>
      <c r="E117" s="132" t="str">
        <f aca="false">IF('Shane Mattingly'!$B37="","",'Shane Mattingly'!$E37)</f>
        <v/>
      </c>
      <c r="F117" s="132" t="str">
        <f aca="false">IF('Shane Mattingly'!$B37="","",'Shane Mattingly'!$F37)</f>
        <v/>
      </c>
      <c r="G117" s="132" t="str">
        <f aca="false">IF('Shane Mattingly'!$B37="","",'Shane Mattingly'!$G37)</f>
        <v/>
      </c>
      <c r="H117" s="131" t="str">
        <f aca="false">IF('Shane Mattingly'!$B37="","",'Shane Mattingly'!$H37)</f>
        <v/>
      </c>
      <c r="I117" s="131" t="str">
        <f aca="false">IF('Shane Mattingly'!$B37="","",'Shane Mattingly'!$I37)</f>
        <v/>
      </c>
      <c r="J117" s="133" t="str">
        <f aca="false">IF('Shane Mattingly'!$B37="","",'Shane Mattingly'!$J37)</f>
        <v/>
      </c>
      <c r="K117" s="134" t="str">
        <f aca="false">IF('Shane Mattingly'!$B37="","",'Shane Mattingly'!$K37)</f>
        <v/>
      </c>
      <c r="L117" s="134" t="str">
        <f aca="false">IF('Shane Mattingly'!$B37="","",'Shane Mattingly'!$L37)</f>
        <v/>
      </c>
      <c r="M117" s="132" t="str">
        <f aca="false">IF('Shane Mattingly'!$B37="","",'Shane Mattingly'!$M37)</f>
        <v/>
      </c>
      <c r="N117" s="132" t="str">
        <f aca="false">IF('Shane Mattingly'!$B37="","",'Shane Mattingly'!$N37)</f>
        <v/>
      </c>
      <c r="O117" s="134" t="str">
        <f aca="false">IF('Shane Mattingly'!$B37="","",'Shane Mattingly'!$O37)</f>
        <v/>
      </c>
      <c r="P117" s="132" t="str">
        <f aca="false">IF('Shane Mattingly'!$B37="","",'Shane Mattingly'!$P37)</f>
        <v/>
      </c>
      <c r="Q117" s="131" t="str">
        <f aca="false">IF('Shane Mattingly'!$B37="","","Shane Mattingly")</f>
        <v/>
      </c>
      <c r="R117" s="131" t="n">
        <f aca="true">IF(OR($B117="",$I117="Complete",$L117=""),0,IF($L117&lt;TODAY(),1,0))</f>
        <v>0</v>
      </c>
      <c r="S117" s="131" t="n">
        <f aca="true">IF(OR($B117="",$I117="Complete",$L117=""),0,IF(AND($L117&gt;=TODAY(),$L117&lt;=TODAY()+7),1,0))</f>
        <v>0</v>
      </c>
      <c r="T117" s="131" t="str">
        <f aca="true">IF(OR($B117="",$L117=""),"",$L117-TODAY())</f>
        <v/>
      </c>
      <c r="U117" s="135" t="str">
        <f aca="false">IF($B117="","",IF($I117="Complete",1,IF($J117="",0,$J117)))</f>
        <v/>
      </c>
      <c r="V117" s="131" t="n">
        <f aca="false">IF($B117="",0,IF($N117="",0,1))</f>
        <v>0</v>
      </c>
      <c r="W117" s="131" t="n">
        <f aca="false">IF($B117="",0,1)</f>
        <v>0</v>
      </c>
    </row>
    <row r="118" customFormat="false" ht="15" hidden="false" customHeight="false" outlineLevel="0" collapsed="false">
      <c r="A118" s="131" t="str">
        <f aca="false">IF('Shane Mattingly'!$B38="","",'Shane Mattingly'!$A38)</f>
        <v/>
      </c>
      <c r="B118" s="131" t="str">
        <f aca="false">IF('Shane Mattingly'!$B38="","",'Shane Mattingly'!$B38)</f>
        <v/>
      </c>
      <c r="C118" s="132" t="str">
        <f aca="false">IF('Shane Mattingly'!$B38="","",'Shane Mattingly'!$C38)</f>
        <v/>
      </c>
      <c r="D118" s="132" t="str">
        <f aca="false">IF('Shane Mattingly'!$B38="","",'Shane Mattingly'!$D38)</f>
        <v/>
      </c>
      <c r="E118" s="132" t="str">
        <f aca="false">IF('Shane Mattingly'!$B38="","",'Shane Mattingly'!$E38)</f>
        <v/>
      </c>
      <c r="F118" s="132" t="str">
        <f aca="false">IF('Shane Mattingly'!$B38="","",'Shane Mattingly'!$F38)</f>
        <v/>
      </c>
      <c r="G118" s="132" t="str">
        <f aca="false">IF('Shane Mattingly'!$B38="","",'Shane Mattingly'!$G38)</f>
        <v/>
      </c>
      <c r="H118" s="131" t="str">
        <f aca="false">IF('Shane Mattingly'!$B38="","",'Shane Mattingly'!$H38)</f>
        <v/>
      </c>
      <c r="I118" s="131" t="str">
        <f aca="false">IF('Shane Mattingly'!$B38="","",'Shane Mattingly'!$I38)</f>
        <v/>
      </c>
      <c r="J118" s="133" t="str">
        <f aca="false">IF('Shane Mattingly'!$B38="","",'Shane Mattingly'!$J38)</f>
        <v/>
      </c>
      <c r="K118" s="134" t="str">
        <f aca="false">IF('Shane Mattingly'!$B38="","",'Shane Mattingly'!$K38)</f>
        <v/>
      </c>
      <c r="L118" s="134" t="str">
        <f aca="false">IF('Shane Mattingly'!$B38="","",'Shane Mattingly'!$L38)</f>
        <v/>
      </c>
      <c r="M118" s="132" t="str">
        <f aca="false">IF('Shane Mattingly'!$B38="","",'Shane Mattingly'!$M38)</f>
        <v/>
      </c>
      <c r="N118" s="132" t="str">
        <f aca="false">IF('Shane Mattingly'!$B38="","",'Shane Mattingly'!$N38)</f>
        <v/>
      </c>
      <c r="O118" s="134" t="str">
        <f aca="false">IF('Shane Mattingly'!$B38="","",'Shane Mattingly'!$O38)</f>
        <v/>
      </c>
      <c r="P118" s="132" t="str">
        <f aca="false">IF('Shane Mattingly'!$B38="","",'Shane Mattingly'!$P38)</f>
        <v/>
      </c>
      <c r="Q118" s="131" t="str">
        <f aca="false">IF('Shane Mattingly'!$B38="","","Shane Mattingly")</f>
        <v/>
      </c>
      <c r="R118" s="131" t="n">
        <f aca="true">IF(OR($B118="",$I118="Complete",$L118=""),0,IF($L118&lt;TODAY(),1,0))</f>
        <v>0</v>
      </c>
      <c r="S118" s="131" t="n">
        <f aca="true">IF(OR($B118="",$I118="Complete",$L118=""),0,IF(AND($L118&gt;=TODAY(),$L118&lt;=TODAY()+7),1,0))</f>
        <v>0</v>
      </c>
      <c r="T118" s="131" t="str">
        <f aca="true">IF(OR($B118="",$L118=""),"",$L118-TODAY())</f>
        <v/>
      </c>
      <c r="U118" s="135" t="str">
        <f aca="false">IF($B118="","",IF($I118="Complete",1,IF($J118="",0,$J118)))</f>
        <v/>
      </c>
      <c r="V118" s="131" t="n">
        <f aca="false">IF($B118="",0,IF($N118="",0,1))</f>
        <v>0</v>
      </c>
      <c r="W118" s="131" t="n">
        <f aca="false">IF($B118="",0,1)</f>
        <v>0</v>
      </c>
    </row>
    <row r="119" customFormat="false" ht="15" hidden="false" customHeight="false" outlineLevel="0" collapsed="false">
      <c r="A119" s="131" t="str">
        <f aca="false">IF('Shane Mattingly'!$B39="","",'Shane Mattingly'!$A39)</f>
        <v/>
      </c>
      <c r="B119" s="131" t="str">
        <f aca="false">IF('Shane Mattingly'!$B39="","",'Shane Mattingly'!$B39)</f>
        <v/>
      </c>
      <c r="C119" s="132" t="str">
        <f aca="false">IF('Shane Mattingly'!$B39="","",'Shane Mattingly'!$C39)</f>
        <v/>
      </c>
      <c r="D119" s="132" t="str">
        <f aca="false">IF('Shane Mattingly'!$B39="","",'Shane Mattingly'!$D39)</f>
        <v/>
      </c>
      <c r="E119" s="132" t="str">
        <f aca="false">IF('Shane Mattingly'!$B39="","",'Shane Mattingly'!$E39)</f>
        <v/>
      </c>
      <c r="F119" s="132" t="str">
        <f aca="false">IF('Shane Mattingly'!$B39="","",'Shane Mattingly'!$F39)</f>
        <v/>
      </c>
      <c r="G119" s="132" t="str">
        <f aca="false">IF('Shane Mattingly'!$B39="","",'Shane Mattingly'!$G39)</f>
        <v/>
      </c>
      <c r="H119" s="131" t="str">
        <f aca="false">IF('Shane Mattingly'!$B39="","",'Shane Mattingly'!$H39)</f>
        <v/>
      </c>
      <c r="I119" s="131" t="str">
        <f aca="false">IF('Shane Mattingly'!$B39="","",'Shane Mattingly'!$I39)</f>
        <v/>
      </c>
      <c r="J119" s="133" t="str">
        <f aca="false">IF('Shane Mattingly'!$B39="","",'Shane Mattingly'!$J39)</f>
        <v/>
      </c>
      <c r="K119" s="134" t="str">
        <f aca="false">IF('Shane Mattingly'!$B39="","",'Shane Mattingly'!$K39)</f>
        <v/>
      </c>
      <c r="L119" s="134" t="str">
        <f aca="false">IF('Shane Mattingly'!$B39="","",'Shane Mattingly'!$L39)</f>
        <v/>
      </c>
      <c r="M119" s="132" t="str">
        <f aca="false">IF('Shane Mattingly'!$B39="","",'Shane Mattingly'!$M39)</f>
        <v/>
      </c>
      <c r="N119" s="132" t="str">
        <f aca="false">IF('Shane Mattingly'!$B39="","",'Shane Mattingly'!$N39)</f>
        <v/>
      </c>
      <c r="O119" s="134" t="str">
        <f aca="false">IF('Shane Mattingly'!$B39="","",'Shane Mattingly'!$O39)</f>
        <v/>
      </c>
      <c r="P119" s="132" t="str">
        <f aca="false">IF('Shane Mattingly'!$B39="","",'Shane Mattingly'!$P39)</f>
        <v/>
      </c>
      <c r="Q119" s="131" t="str">
        <f aca="false">IF('Shane Mattingly'!$B39="","","Shane Mattingly")</f>
        <v/>
      </c>
      <c r="R119" s="131" t="n">
        <f aca="true">IF(OR($B119="",$I119="Complete",$L119=""),0,IF($L119&lt;TODAY(),1,0))</f>
        <v>0</v>
      </c>
      <c r="S119" s="131" t="n">
        <f aca="true">IF(OR($B119="",$I119="Complete",$L119=""),0,IF(AND($L119&gt;=TODAY(),$L119&lt;=TODAY()+7),1,0))</f>
        <v>0</v>
      </c>
      <c r="T119" s="131" t="str">
        <f aca="true">IF(OR($B119="",$L119=""),"",$L119-TODAY())</f>
        <v/>
      </c>
      <c r="U119" s="135" t="str">
        <f aca="false">IF($B119="","",IF($I119="Complete",1,IF($J119="",0,$J119)))</f>
        <v/>
      </c>
      <c r="V119" s="131" t="n">
        <f aca="false">IF($B119="",0,IF($N119="",0,1))</f>
        <v>0</v>
      </c>
      <c r="W119" s="131" t="n">
        <f aca="false">IF($B119="",0,1)</f>
        <v>0</v>
      </c>
    </row>
    <row r="120" customFormat="false" ht="15" hidden="false" customHeight="false" outlineLevel="0" collapsed="false">
      <c r="A120" s="131" t="str">
        <f aca="false">IF('Shane Mattingly'!$B40="","",'Shane Mattingly'!$A40)</f>
        <v/>
      </c>
      <c r="B120" s="131" t="str">
        <f aca="false">IF('Shane Mattingly'!$B40="","",'Shane Mattingly'!$B40)</f>
        <v/>
      </c>
      <c r="C120" s="132" t="str">
        <f aca="false">IF('Shane Mattingly'!$B40="","",'Shane Mattingly'!$C40)</f>
        <v/>
      </c>
      <c r="D120" s="132" t="str">
        <f aca="false">IF('Shane Mattingly'!$B40="","",'Shane Mattingly'!$D40)</f>
        <v/>
      </c>
      <c r="E120" s="132" t="str">
        <f aca="false">IF('Shane Mattingly'!$B40="","",'Shane Mattingly'!$E40)</f>
        <v/>
      </c>
      <c r="F120" s="132" t="str">
        <f aca="false">IF('Shane Mattingly'!$B40="","",'Shane Mattingly'!$F40)</f>
        <v/>
      </c>
      <c r="G120" s="132" t="str">
        <f aca="false">IF('Shane Mattingly'!$B40="","",'Shane Mattingly'!$G40)</f>
        <v/>
      </c>
      <c r="H120" s="131" t="str">
        <f aca="false">IF('Shane Mattingly'!$B40="","",'Shane Mattingly'!$H40)</f>
        <v/>
      </c>
      <c r="I120" s="131" t="str">
        <f aca="false">IF('Shane Mattingly'!$B40="","",'Shane Mattingly'!$I40)</f>
        <v/>
      </c>
      <c r="J120" s="133" t="str">
        <f aca="false">IF('Shane Mattingly'!$B40="","",'Shane Mattingly'!$J40)</f>
        <v/>
      </c>
      <c r="K120" s="134" t="str">
        <f aca="false">IF('Shane Mattingly'!$B40="","",'Shane Mattingly'!$K40)</f>
        <v/>
      </c>
      <c r="L120" s="134" t="str">
        <f aca="false">IF('Shane Mattingly'!$B40="","",'Shane Mattingly'!$L40)</f>
        <v/>
      </c>
      <c r="M120" s="132" t="str">
        <f aca="false">IF('Shane Mattingly'!$B40="","",'Shane Mattingly'!$M40)</f>
        <v/>
      </c>
      <c r="N120" s="132" t="str">
        <f aca="false">IF('Shane Mattingly'!$B40="","",'Shane Mattingly'!$N40)</f>
        <v/>
      </c>
      <c r="O120" s="134" t="str">
        <f aca="false">IF('Shane Mattingly'!$B40="","",'Shane Mattingly'!$O40)</f>
        <v/>
      </c>
      <c r="P120" s="132" t="str">
        <f aca="false">IF('Shane Mattingly'!$B40="","",'Shane Mattingly'!$P40)</f>
        <v/>
      </c>
      <c r="Q120" s="131" t="str">
        <f aca="false">IF('Shane Mattingly'!$B40="","","Shane Mattingly")</f>
        <v/>
      </c>
      <c r="R120" s="131" t="n">
        <f aca="true">IF(OR($B120="",$I120="Complete",$L120=""),0,IF($L120&lt;TODAY(),1,0))</f>
        <v>0</v>
      </c>
      <c r="S120" s="131" t="n">
        <f aca="true">IF(OR($B120="",$I120="Complete",$L120=""),0,IF(AND($L120&gt;=TODAY(),$L120&lt;=TODAY()+7),1,0))</f>
        <v>0</v>
      </c>
      <c r="T120" s="131" t="str">
        <f aca="true">IF(OR($B120="",$L120=""),"",$L120-TODAY())</f>
        <v/>
      </c>
      <c r="U120" s="135" t="str">
        <f aca="false">IF($B120="","",IF($I120="Complete",1,IF($J120="",0,$J120)))</f>
        <v/>
      </c>
      <c r="V120" s="131" t="n">
        <f aca="false">IF($B120="",0,IF($N120="",0,1))</f>
        <v>0</v>
      </c>
      <c r="W120" s="131" t="n">
        <f aca="false">IF($B120="",0,1)</f>
        <v>0</v>
      </c>
    </row>
    <row r="121" customFormat="false" ht="15" hidden="false" customHeight="false" outlineLevel="0" collapsed="false">
      <c r="A121" s="131" t="str">
        <f aca="false">IF('Shane Mattingly'!$B41="","",'Shane Mattingly'!$A41)</f>
        <v/>
      </c>
      <c r="B121" s="131" t="str">
        <f aca="false">IF('Shane Mattingly'!$B41="","",'Shane Mattingly'!$B41)</f>
        <v/>
      </c>
      <c r="C121" s="132" t="str">
        <f aca="false">IF('Shane Mattingly'!$B41="","",'Shane Mattingly'!$C41)</f>
        <v/>
      </c>
      <c r="D121" s="132" t="str">
        <f aca="false">IF('Shane Mattingly'!$B41="","",'Shane Mattingly'!$D41)</f>
        <v/>
      </c>
      <c r="E121" s="132" t="str">
        <f aca="false">IF('Shane Mattingly'!$B41="","",'Shane Mattingly'!$E41)</f>
        <v/>
      </c>
      <c r="F121" s="132" t="str">
        <f aca="false">IF('Shane Mattingly'!$B41="","",'Shane Mattingly'!$F41)</f>
        <v/>
      </c>
      <c r="G121" s="132" t="str">
        <f aca="false">IF('Shane Mattingly'!$B41="","",'Shane Mattingly'!$G41)</f>
        <v/>
      </c>
      <c r="H121" s="131" t="str">
        <f aca="false">IF('Shane Mattingly'!$B41="","",'Shane Mattingly'!$H41)</f>
        <v/>
      </c>
      <c r="I121" s="131" t="str">
        <f aca="false">IF('Shane Mattingly'!$B41="","",'Shane Mattingly'!$I41)</f>
        <v/>
      </c>
      <c r="J121" s="133" t="str">
        <f aca="false">IF('Shane Mattingly'!$B41="","",'Shane Mattingly'!$J41)</f>
        <v/>
      </c>
      <c r="K121" s="134" t="str">
        <f aca="false">IF('Shane Mattingly'!$B41="","",'Shane Mattingly'!$K41)</f>
        <v/>
      </c>
      <c r="L121" s="134" t="str">
        <f aca="false">IF('Shane Mattingly'!$B41="","",'Shane Mattingly'!$L41)</f>
        <v/>
      </c>
      <c r="M121" s="132" t="str">
        <f aca="false">IF('Shane Mattingly'!$B41="","",'Shane Mattingly'!$M41)</f>
        <v/>
      </c>
      <c r="N121" s="132" t="str">
        <f aca="false">IF('Shane Mattingly'!$B41="","",'Shane Mattingly'!$N41)</f>
        <v/>
      </c>
      <c r="O121" s="134" t="str">
        <f aca="false">IF('Shane Mattingly'!$B41="","",'Shane Mattingly'!$O41)</f>
        <v/>
      </c>
      <c r="P121" s="132" t="str">
        <f aca="false">IF('Shane Mattingly'!$B41="","",'Shane Mattingly'!$P41)</f>
        <v/>
      </c>
      <c r="Q121" s="131" t="str">
        <f aca="false">IF('Shane Mattingly'!$B41="","","Shane Mattingly")</f>
        <v/>
      </c>
      <c r="R121" s="131" t="n">
        <f aca="true">IF(OR($B121="",$I121="Complete",$L121=""),0,IF($L121&lt;TODAY(),1,0))</f>
        <v>0</v>
      </c>
      <c r="S121" s="131" t="n">
        <f aca="true">IF(OR($B121="",$I121="Complete",$L121=""),0,IF(AND($L121&gt;=TODAY(),$L121&lt;=TODAY()+7),1,0))</f>
        <v>0</v>
      </c>
      <c r="T121" s="131" t="str">
        <f aca="true">IF(OR($B121="",$L121=""),"",$L121-TODAY())</f>
        <v/>
      </c>
      <c r="U121" s="135" t="str">
        <f aca="false">IF($B121="","",IF($I121="Complete",1,IF($J121="",0,$J121)))</f>
        <v/>
      </c>
      <c r="V121" s="131" t="n">
        <f aca="false">IF($B121="",0,IF($N121="",0,1))</f>
        <v>0</v>
      </c>
      <c r="W121" s="131" t="n">
        <f aca="false">IF($B121="",0,1)</f>
        <v>0</v>
      </c>
    </row>
    <row r="122" customFormat="false" ht="15" hidden="false" customHeight="false" outlineLevel="0" collapsed="false">
      <c r="A122" s="131" t="str">
        <f aca="false">IF('Shane Mattingly'!$B42="","",'Shane Mattingly'!$A42)</f>
        <v/>
      </c>
      <c r="B122" s="131" t="str">
        <f aca="false">IF('Shane Mattingly'!$B42="","",'Shane Mattingly'!$B42)</f>
        <v/>
      </c>
      <c r="C122" s="132" t="str">
        <f aca="false">IF('Shane Mattingly'!$B42="","",'Shane Mattingly'!$C42)</f>
        <v/>
      </c>
      <c r="D122" s="132" t="str">
        <f aca="false">IF('Shane Mattingly'!$B42="","",'Shane Mattingly'!$D42)</f>
        <v/>
      </c>
      <c r="E122" s="132" t="str">
        <f aca="false">IF('Shane Mattingly'!$B42="","",'Shane Mattingly'!$E42)</f>
        <v/>
      </c>
      <c r="F122" s="132" t="str">
        <f aca="false">IF('Shane Mattingly'!$B42="","",'Shane Mattingly'!$F42)</f>
        <v/>
      </c>
      <c r="G122" s="132" t="str">
        <f aca="false">IF('Shane Mattingly'!$B42="","",'Shane Mattingly'!$G42)</f>
        <v/>
      </c>
      <c r="H122" s="131" t="str">
        <f aca="false">IF('Shane Mattingly'!$B42="","",'Shane Mattingly'!$H42)</f>
        <v/>
      </c>
      <c r="I122" s="131" t="str">
        <f aca="false">IF('Shane Mattingly'!$B42="","",'Shane Mattingly'!$I42)</f>
        <v/>
      </c>
      <c r="J122" s="133" t="str">
        <f aca="false">IF('Shane Mattingly'!$B42="","",'Shane Mattingly'!$J42)</f>
        <v/>
      </c>
      <c r="K122" s="134" t="str">
        <f aca="false">IF('Shane Mattingly'!$B42="","",'Shane Mattingly'!$K42)</f>
        <v/>
      </c>
      <c r="L122" s="134" t="str">
        <f aca="false">IF('Shane Mattingly'!$B42="","",'Shane Mattingly'!$L42)</f>
        <v/>
      </c>
      <c r="M122" s="132" t="str">
        <f aca="false">IF('Shane Mattingly'!$B42="","",'Shane Mattingly'!$M42)</f>
        <v/>
      </c>
      <c r="N122" s="132" t="str">
        <f aca="false">IF('Shane Mattingly'!$B42="","",'Shane Mattingly'!$N42)</f>
        <v/>
      </c>
      <c r="O122" s="134" t="str">
        <f aca="false">IF('Shane Mattingly'!$B42="","",'Shane Mattingly'!$O42)</f>
        <v/>
      </c>
      <c r="P122" s="132" t="str">
        <f aca="false">IF('Shane Mattingly'!$B42="","",'Shane Mattingly'!$P42)</f>
        <v/>
      </c>
      <c r="Q122" s="131" t="str">
        <f aca="false">IF('Shane Mattingly'!$B42="","","Shane Mattingly")</f>
        <v/>
      </c>
      <c r="R122" s="131" t="n">
        <f aca="true">IF(OR($B122="",$I122="Complete",$L122=""),0,IF($L122&lt;TODAY(),1,0))</f>
        <v>0</v>
      </c>
      <c r="S122" s="131" t="n">
        <f aca="true">IF(OR($B122="",$I122="Complete",$L122=""),0,IF(AND($L122&gt;=TODAY(),$L122&lt;=TODAY()+7),1,0))</f>
        <v>0</v>
      </c>
      <c r="T122" s="131" t="str">
        <f aca="true">IF(OR($B122="",$L122=""),"",$L122-TODAY())</f>
        <v/>
      </c>
      <c r="U122" s="135" t="str">
        <f aca="false">IF($B122="","",IF($I122="Complete",1,IF($J122="",0,$J122)))</f>
        <v/>
      </c>
      <c r="V122" s="131" t="n">
        <f aca="false">IF($B122="",0,IF($N122="",0,1))</f>
        <v>0</v>
      </c>
      <c r="W122" s="131" t="n">
        <f aca="false">IF($B122="",0,1)</f>
        <v>0</v>
      </c>
    </row>
    <row r="123" customFormat="false" ht="15" hidden="false" customHeight="false" outlineLevel="0" collapsed="false">
      <c r="A123" s="131" t="str">
        <f aca="false">IF('Shane Mattingly'!$B43="","",'Shane Mattingly'!$A43)</f>
        <v/>
      </c>
      <c r="B123" s="131" t="str">
        <f aca="false">IF('Shane Mattingly'!$B43="","",'Shane Mattingly'!$B43)</f>
        <v/>
      </c>
      <c r="C123" s="132" t="str">
        <f aca="false">IF('Shane Mattingly'!$B43="","",'Shane Mattingly'!$C43)</f>
        <v/>
      </c>
      <c r="D123" s="132" t="str">
        <f aca="false">IF('Shane Mattingly'!$B43="","",'Shane Mattingly'!$D43)</f>
        <v/>
      </c>
      <c r="E123" s="132" t="str">
        <f aca="false">IF('Shane Mattingly'!$B43="","",'Shane Mattingly'!$E43)</f>
        <v/>
      </c>
      <c r="F123" s="132" t="str">
        <f aca="false">IF('Shane Mattingly'!$B43="","",'Shane Mattingly'!$F43)</f>
        <v/>
      </c>
      <c r="G123" s="132" t="str">
        <f aca="false">IF('Shane Mattingly'!$B43="","",'Shane Mattingly'!$G43)</f>
        <v/>
      </c>
      <c r="H123" s="131" t="str">
        <f aca="false">IF('Shane Mattingly'!$B43="","",'Shane Mattingly'!$H43)</f>
        <v/>
      </c>
      <c r="I123" s="131" t="str">
        <f aca="false">IF('Shane Mattingly'!$B43="","",'Shane Mattingly'!$I43)</f>
        <v/>
      </c>
      <c r="J123" s="133" t="str">
        <f aca="false">IF('Shane Mattingly'!$B43="","",'Shane Mattingly'!$J43)</f>
        <v/>
      </c>
      <c r="K123" s="134" t="str">
        <f aca="false">IF('Shane Mattingly'!$B43="","",'Shane Mattingly'!$K43)</f>
        <v/>
      </c>
      <c r="L123" s="134" t="str">
        <f aca="false">IF('Shane Mattingly'!$B43="","",'Shane Mattingly'!$L43)</f>
        <v/>
      </c>
      <c r="M123" s="132" t="str">
        <f aca="false">IF('Shane Mattingly'!$B43="","",'Shane Mattingly'!$M43)</f>
        <v/>
      </c>
      <c r="N123" s="132" t="str">
        <f aca="false">IF('Shane Mattingly'!$B43="","",'Shane Mattingly'!$N43)</f>
        <v/>
      </c>
      <c r="O123" s="134" t="str">
        <f aca="false">IF('Shane Mattingly'!$B43="","",'Shane Mattingly'!$O43)</f>
        <v/>
      </c>
      <c r="P123" s="132" t="str">
        <f aca="false">IF('Shane Mattingly'!$B43="","",'Shane Mattingly'!$P43)</f>
        <v/>
      </c>
      <c r="Q123" s="131" t="str">
        <f aca="false">IF('Shane Mattingly'!$B43="","","Shane Mattingly")</f>
        <v/>
      </c>
      <c r="R123" s="131" t="n">
        <f aca="true">IF(OR($B123="",$I123="Complete",$L123=""),0,IF($L123&lt;TODAY(),1,0))</f>
        <v>0</v>
      </c>
      <c r="S123" s="131" t="n">
        <f aca="true">IF(OR($B123="",$I123="Complete",$L123=""),0,IF(AND($L123&gt;=TODAY(),$L123&lt;=TODAY()+7),1,0))</f>
        <v>0</v>
      </c>
      <c r="T123" s="131" t="str">
        <f aca="true">IF(OR($B123="",$L123=""),"",$L123-TODAY())</f>
        <v/>
      </c>
      <c r="U123" s="135" t="str">
        <f aca="false">IF($B123="","",IF($I123="Complete",1,IF($J123="",0,$J123)))</f>
        <v/>
      </c>
      <c r="V123" s="131" t="n">
        <f aca="false">IF($B123="",0,IF($N123="",0,1))</f>
        <v>0</v>
      </c>
      <c r="W123" s="131" t="n">
        <f aca="false">IF($B123="",0,1)</f>
        <v>0</v>
      </c>
    </row>
    <row r="124" customFormat="false" ht="15" hidden="false" customHeight="false" outlineLevel="0" collapsed="false">
      <c r="A124" s="131" t="str">
        <f aca="false">IF('Shane Mattingly'!$B44="","",'Shane Mattingly'!$A44)</f>
        <v/>
      </c>
      <c r="B124" s="131" t="str">
        <f aca="false">IF('Shane Mattingly'!$B44="","",'Shane Mattingly'!$B44)</f>
        <v/>
      </c>
      <c r="C124" s="132" t="str">
        <f aca="false">IF('Shane Mattingly'!$B44="","",'Shane Mattingly'!$C44)</f>
        <v/>
      </c>
      <c r="D124" s="132" t="str">
        <f aca="false">IF('Shane Mattingly'!$B44="","",'Shane Mattingly'!$D44)</f>
        <v/>
      </c>
      <c r="E124" s="132" t="str">
        <f aca="false">IF('Shane Mattingly'!$B44="","",'Shane Mattingly'!$E44)</f>
        <v/>
      </c>
      <c r="F124" s="132" t="str">
        <f aca="false">IF('Shane Mattingly'!$B44="","",'Shane Mattingly'!$F44)</f>
        <v/>
      </c>
      <c r="G124" s="132" t="str">
        <f aca="false">IF('Shane Mattingly'!$B44="","",'Shane Mattingly'!$G44)</f>
        <v/>
      </c>
      <c r="H124" s="131" t="str">
        <f aca="false">IF('Shane Mattingly'!$B44="","",'Shane Mattingly'!$H44)</f>
        <v/>
      </c>
      <c r="I124" s="131" t="str">
        <f aca="false">IF('Shane Mattingly'!$B44="","",'Shane Mattingly'!$I44)</f>
        <v/>
      </c>
      <c r="J124" s="133" t="str">
        <f aca="false">IF('Shane Mattingly'!$B44="","",'Shane Mattingly'!$J44)</f>
        <v/>
      </c>
      <c r="K124" s="134" t="str">
        <f aca="false">IF('Shane Mattingly'!$B44="","",'Shane Mattingly'!$K44)</f>
        <v/>
      </c>
      <c r="L124" s="134" t="str">
        <f aca="false">IF('Shane Mattingly'!$B44="","",'Shane Mattingly'!$L44)</f>
        <v/>
      </c>
      <c r="M124" s="132" t="str">
        <f aca="false">IF('Shane Mattingly'!$B44="","",'Shane Mattingly'!$M44)</f>
        <v/>
      </c>
      <c r="N124" s="132" t="str">
        <f aca="false">IF('Shane Mattingly'!$B44="","",'Shane Mattingly'!$N44)</f>
        <v/>
      </c>
      <c r="O124" s="134" t="str">
        <f aca="false">IF('Shane Mattingly'!$B44="","",'Shane Mattingly'!$O44)</f>
        <v/>
      </c>
      <c r="P124" s="132" t="str">
        <f aca="false">IF('Shane Mattingly'!$B44="","",'Shane Mattingly'!$P44)</f>
        <v/>
      </c>
      <c r="Q124" s="131" t="str">
        <f aca="false">IF('Shane Mattingly'!$B44="","","Shane Mattingly")</f>
        <v/>
      </c>
      <c r="R124" s="131" t="n">
        <f aca="true">IF(OR($B124="",$I124="Complete",$L124=""),0,IF($L124&lt;TODAY(),1,0))</f>
        <v>0</v>
      </c>
      <c r="S124" s="131" t="n">
        <f aca="true">IF(OR($B124="",$I124="Complete",$L124=""),0,IF(AND($L124&gt;=TODAY(),$L124&lt;=TODAY()+7),1,0))</f>
        <v>0</v>
      </c>
      <c r="T124" s="131" t="str">
        <f aca="true">IF(OR($B124="",$L124=""),"",$L124-TODAY())</f>
        <v/>
      </c>
      <c r="U124" s="135" t="str">
        <f aca="false">IF($B124="","",IF($I124="Complete",1,IF($J124="",0,$J124)))</f>
        <v/>
      </c>
      <c r="V124" s="131" t="n">
        <f aca="false">IF($B124="",0,IF($N124="",0,1))</f>
        <v>0</v>
      </c>
      <c r="W124" s="131" t="n">
        <f aca="false">IF($B124="",0,1)</f>
        <v>0</v>
      </c>
    </row>
    <row r="125" customFormat="false" ht="19.4" hidden="false" customHeight="false" outlineLevel="0" collapsed="false">
      <c r="A125" s="131" t="str">
        <f aca="false">IF('Leslie Toole'!$B5="","",'Leslie Toole'!$A5)</f>
        <v>LT-001</v>
      </c>
      <c r="B125" s="131" t="str">
        <f aca="false">IF('Leslie Toole'!$B5="","",'Leslie Toole'!$B5)</f>
        <v>P1-1</v>
      </c>
      <c r="C125" s="132" t="str">
        <f aca="false">IF('Leslie Toole'!$B5="","",'Leslie Toole'!$C5)</f>
        <v>1 – Unified Development System</v>
      </c>
      <c r="D125" s="132" t="str">
        <f aca="false">IF('Leslie Toole'!$B5="","",'Leslie Toole'!$D5)</f>
        <v>Implement standardized Mutual Evaluation Process (MEP) across all brands</v>
      </c>
      <c r="E125" s="132" t="str">
        <f aca="false">IF('Leslie Toole'!$B5="","",'Leslie Toole'!$E5)</f>
        <v>Leslie Toole</v>
      </c>
      <c r="F125" s="132" t="str">
        <f aca="false">IF('Leslie Toole'!$B5="","",'Leslie Toole'!$F5)</f>
        <v>Contributor</v>
      </c>
      <c r="G125" s="132" t="str">
        <f aca="false">IF('Leslie Toole'!$B5="","",'Leslie Toole'!$G5)</f>
        <v>Training Section 1-3 in Fran Dev 101</v>
      </c>
      <c r="H125" s="131" t="str">
        <f aca="false">IF('Leslie Toole'!$B5="","",'Leslie Toole'!$H5)</f>
        <v>Medium</v>
      </c>
      <c r="I125" s="131" t="str">
        <f aca="false">IF('Leslie Toole'!$B5="","",'Leslie Toole'!$I5)</f>
        <v>In Progress</v>
      </c>
      <c r="J125" s="133" t="n">
        <f aca="false">IF('Leslie Toole'!$B5="","",'Leslie Toole'!$J5)</f>
        <v>0.5</v>
      </c>
      <c r="K125" s="134" t="n">
        <f aca="false">IF('Leslie Toole'!$B5="","",'Leslie Toole'!$K5)</f>
        <v>46162</v>
      </c>
      <c r="L125" s="134" t="n">
        <f aca="false">IF('Leslie Toole'!$B5="","",'Leslie Toole'!$L5)</f>
        <v>46186</v>
      </c>
      <c r="M125" s="132" t="n">
        <f aca="false">IF('Leslie Toole'!$B5="","",'Leslie Toole'!$M5)</f>
        <v>0</v>
      </c>
      <c r="N125" s="132" t="n">
        <f aca="false">IF('Leslie Toole'!$B5="","",'Leslie Toole'!$N5)</f>
        <v>0</v>
      </c>
      <c r="O125" s="134" t="str">
        <f aca="false">IF('Leslie Toole'!$B5="","",'Leslie Toole'!$O5)</f>
        <v>Assigned 5/20</v>
      </c>
      <c r="P125" s="132" t="str">
        <f aca="false">IF('Leslie Toole'!$B5="","",'Leslie Toole'!$P5)</f>
        <v>Complete sections 2-3</v>
      </c>
      <c r="Q125" s="131" t="str">
        <f aca="false">IF('Leslie Toole'!$B5="","","Leslie Toole")</f>
        <v>Leslie Toole</v>
      </c>
      <c r="R125" s="131" t="n">
        <f aca="true">IF(OR($B125="",$I125="Complete",$L125=""),0,IF($L125&lt;TODAY(),1,0))</f>
        <v>0</v>
      </c>
      <c r="S125" s="131" t="n">
        <f aca="true">IF(OR($B125="",$I125="Complete",$L125=""),0,IF(AND($L125&gt;=TODAY(),$L125&lt;=TODAY()+7),1,0))</f>
        <v>0</v>
      </c>
      <c r="T125" s="131" t="n">
        <f aca="true">IF(OR($B125="",$L125=""),"",$L125-TODAY())</f>
        <v>16</v>
      </c>
      <c r="U125" s="135" t="n">
        <f aca="false">IF($B125="","",IF($I125="Complete",1,IF($J125="",0,$J125)))</f>
        <v>0.5</v>
      </c>
      <c r="V125" s="131" t="n">
        <f aca="false">IF($B125="",0,IF($N125="",0,1))</f>
        <v>0</v>
      </c>
      <c r="W125" s="131" t="n">
        <f aca="false">IF($B125="",0,1)</f>
        <v>1</v>
      </c>
    </row>
    <row r="126" customFormat="false" ht="15" hidden="false" customHeight="false" outlineLevel="0" collapsed="false">
      <c r="A126" s="131" t="str">
        <f aca="false">IF('Leslie Toole'!$B6="","",'Leslie Toole'!$A6)</f>
        <v/>
      </c>
      <c r="B126" s="131" t="str">
        <f aca="false">IF('Leslie Toole'!$B6="","",'Leslie Toole'!$B6)</f>
        <v/>
      </c>
      <c r="C126" s="132" t="str">
        <f aca="false">IF('Leslie Toole'!$B6="","",'Leslie Toole'!$C6)</f>
        <v/>
      </c>
      <c r="D126" s="132" t="str">
        <f aca="false">IF('Leslie Toole'!$B6="","",'Leslie Toole'!$D6)</f>
        <v/>
      </c>
      <c r="E126" s="132" t="str">
        <f aca="false">IF('Leslie Toole'!$B6="","",'Leslie Toole'!$E6)</f>
        <v/>
      </c>
      <c r="F126" s="132" t="str">
        <f aca="false">IF('Leslie Toole'!$B6="","",'Leslie Toole'!$F6)</f>
        <v/>
      </c>
      <c r="G126" s="132" t="str">
        <f aca="false">IF('Leslie Toole'!$B6="","",'Leslie Toole'!$G6)</f>
        <v/>
      </c>
      <c r="H126" s="131" t="str">
        <f aca="false">IF('Leslie Toole'!$B6="","",'Leslie Toole'!$H6)</f>
        <v/>
      </c>
      <c r="I126" s="131" t="str">
        <f aca="false">IF('Leslie Toole'!$B6="","",'Leslie Toole'!$I6)</f>
        <v/>
      </c>
      <c r="J126" s="133" t="str">
        <f aca="false">IF('Leslie Toole'!$B6="","",'Leslie Toole'!$J6)</f>
        <v/>
      </c>
      <c r="K126" s="134" t="str">
        <f aca="false">IF('Leslie Toole'!$B6="","",'Leslie Toole'!$K6)</f>
        <v/>
      </c>
      <c r="L126" s="134" t="str">
        <f aca="false">IF('Leslie Toole'!$B6="","",'Leslie Toole'!$L6)</f>
        <v/>
      </c>
      <c r="M126" s="132" t="str">
        <f aca="false">IF('Leslie Toole'!$B6="","",'Leslie Toole'!$M6)</f>
        <v/>
      </c>
      <c r="N126" s="132" t="str">
        <f aca="false">IF('Leslie Toole'!$B6="","",'Leslie Toole'!$N6)</f>
        <v/>
      </c>
      <c r="O126" s="134" t="str">
        <f aca="false">IF('Leslie Toole'!$B6="","",'Leslie Toole'!$O6)</f>
        <v/>
      </c>
      <c r="P126" s="132" t="str">
        <f aca="false">IF('Leslie Toole'!$B6="","",'Leslie Toole'!$P6)</f>
        <v/>
      </c>
      <c r="Q126" s="131" t="str">
        <f aca="false">IF('Leslie Toole'!$B6="","","Leslie Toole")</f>
        <v/>
      </c>
      <c r="R126" s="131" t="n">
        <f aca="true">IF(OR($B126="",$I126="Complete",$L126=""),0,IF($L126&lt;TODAY(),1,0))</f>
        <v>0</v>
      </c>
      <c r="S126" s="131" t="n">
        <f aca="true">IF(OR($B126="",$I126="Complete",$L126=""),0,IF(AND($L126&gt;=TODAY(),$L126&lt;=TODAY()+7),1,0))</f>
        <v>0</v>
      </c>
      <c r="T126" s="131" t="str">
        <f aca="true">IF(OR($B126="",$L126=""),"",$L126-TODAY())</f>
        <v/>
      </c>
      <c r="U126" s="135" t="str">
        <f aca="false">IF($B126="","",IF($I126="Complete",1,IF($J126="",0,$J126)))</f>
        <v/>
      </c>
      <c r="V126" s="131" t="n">
        <f aca="false">IF($B126="",0,IF($N126="",0,1))</f>
        <v>0</v>
      </c>
      <c r="W126" s="131" t="n">
        <f aca="false">IF($B126="",0,1)</f>
        <v>0</v>
      </c>
    </row>
    <row r="127" customFormat="false" ht="15" hidden="false" customHeight="false" outlineLevel="0" collapsed="false">
      <c r="A127" s="131" t="str">
        <f aca="false">IF('Leslie Toole'!$B7="","",'Leslie Toole'!$A7)</f>
        <v/>
      </c>
      <c r="B127" s="131" t="str">
        <f aca="false">IF('Leslie Toole'!$B7="","",'Leslie Toole'!$B7)</f>
        <v/>
      </c>
      <c r="C127" s="132" t="str">
        <f aca="false">IF('Leslie Toole'!$B7="","",'Leslie Toole'!$C7)</f>
        <v/>
      </c>
      <c r="D127" s="132" t="str">
        <f aca="false">IF('Leslie Toole'!$B7="","",'Leslie Toole'!$D7)</f>
        <v/>
      </c>
      <c r="E127" s="132" t="str">
        <f aca="false">IF('Leslie Toole'!$B7="","",'Leslie Toole'!$E7)</f>
        <v/>
      </c>
      <c r="F127" s="132" t="str">
        <f aca="false">IF('Leslie Toole'!$B7="","",'Leslie Toole'!$F7)</f>
        <v/>
      </c>
      <c r="G127" s="132" t="str">
        <f aca="false">IF('Leslie Toole'!$B7="","",'Leslie Toole'!$G7)</f>
        <v/>
      </c>
      <c r="H127" s="131" t="str">
        <f aca="false">IF('Leslie Toole'!$B7="","",'Leslie Toole'!$H7)</f>
        <v/>
      </c>
      <c r="I127" s="131" t="str">
        <f aca="false">IF('Leslie Toole'!$B7="","",'Leslie Toole'!$I7)</f>
        <v/>
      </c>
      <c r="J127" s="133" t="str">
        <f aca="false">IF('Leslie Toole'!$B7="","",'Leslie Toole'!$J7)</f>
        <v/>
      </c>
      <c r="K127" s="134" t="str">
        <f aca="false">IF('Leslie Toole'!$B7="","",'Leslie Toole'!$K7)</f>
        <v/>
      </c>
      <c r="L127" s="134" t="str">
        <f aca="false">IF('Leslie Toole'!$B7="","",'Leslie Toole'!$L7)</f>
        <v/>
      </c>
      <c r="M127" s="132" t="str">
        <f aca="false">IF('Leslie Toole'!$B7="","",'Leslie Toole'!$M7)</f>
        <v/>
      </c>
      <c r="N127" s="132" t="str">
        <f aca="false">IF('Leslie Toole'!$B7="","",'Leslie Toole'!$N7)</f>
        <v/>
      </c>
      <c r="O127" s="134" t="str">
        <f aca="false">IF('Leslie Toole'!$B7="","",'Leslie Toole'!$O7)</f>
        <v/>
      </c>
      <c r="P127" s="132" t="str">
        <f aca="false">IF('Leslie Toole'!$B7="","",'Leslie Toole'!$P7)</f>
        <v/>
      </c>
      <c r="Q127" s="131" t="str">
        <f aca="false">IF('Leslie Toole'!$B7="","","Leslie Toole")</f>
        <v/>
      </c>
      <c r="R127" s="131" t="n">
        <f aca="true">IF(OR($B127="",$I127="Complete",$L127=""),0,IF($L127&lt;TODAY(),1,0))</f>
        <v>0</v>
      </c>
      <c r="S127" s="131" t="n">
        <f aca="true">IF(OR($B127="",$I127="Complete",$L127=""),0,IF(AND($L127&gt;=TODAY(),$L127&lt;=TODAY()+7),1,0))</f>
        <v>0</v>
      </c>
      <c r="T127" s="131" t="str">
        <f aca="true">IF(OR($B127="",$L127=""),"",$L127-TODAY())</f>
        <v/>
      </c>
      <c r="U127" s="135" t="str">
        <f aca="false">IF($B127="","",IF($I127="Complete",1,IF($J127="",0,$J127)))</f>
        <v/>
      </c>
      <c r="V127" s="131" t="n">
        <f aca="false">IF($B127="",0,IF($N127="",0,1))</f>
        <v>0</v>
      </c>
      <c r="W127" s="131" t="n">
        <f aca="false">IF($B127="",0,1)</f>
        <v>0</v>
      </c>
    </row>
    <row r="128" customFormat="false" ht="15" hidden="false" customHeight="false" outlineLevel="0" collapsed="false">
      <c r="A128" s="131" t="str">
        <f aca="false">IF('Leslie Toole'!$B8="","",'Leslie Toole'!$A8)</f>
        <v/>
      </c>
      <c r="B128" s="131" t="str">
        <f aca="false">IF('Leslie Toole'!$B8="","",'Leslie Toole'!$B8)</f>
        <v/>
      </c>
      <c r="C128" s="132" t="str">
        <f aca="false">IF('Leslie Toole'!$B8="","",'Leslie Toole'!$C8)</f>
        <v/>
      </c>
      <c r="D128" s="132" t="str">
        <f aca="false">IF('Leslie Toole'!$B8="","",'Leslie Toole'!$D8)</f>
        <v/>
      </c>
      <c r="E128" s="132" t="str">
        <f aca="false">IF('Leslie Toole'!$B8="","",'Leslie Toole'!$E8)</f>
        <v/>
      </c>
      <c r="F128" s="132" t="str">
        <f aca="false">IF('Leslie Toole'!$B8="","",'Leslie Toole'!$F8)</f>
        <v/>
      </c>
      <c r="G128" s="132" t="str">
        <f aca="false">IF('Leslie Toole'!$B8="","",'Leslie Toole'!$G8)</f>
        <v/>
      </c>
      <c r="H128" s="131" t="str">
        <f aca="false">IF('Leslie Toole'!$B8="","",'Leslie Toole'!$H8)</f>
        <v/>
      </c>
      <c r="I128" s="131" t="str">
        <f aca="false">IF('Leslie Toole'!$B8="","",'Leslie Toole'!$I8)</f>
        <v/>
      </c>
      <c r="J128" s="133" t="str">
        <f aca="false">IF('Leslie Toole'!$B8="","",'Leslie Toole'!$J8)</f>
        <v/>
      </c>
      <c r="K128" s="134" t="str">
        <f aca="false">IF('Leslie Toole'!$B8="","",'Leslie Toole'!$K8)</f>
        <v/>
      </c>
      <c r="L128" s="134" t="str">
        <f aca="false">IF('Leslie Toole'!$B8="","",'Leslie Toole'!$L8)</f>
        <v/>
      </c>
      <c r="M128" s="132" t="str">
        <f aca="false">IF('Leslie Toole'!$B8="","",'Leslie Toole'!$M8)</f>
        <v/>
      </c>
      <c r="N128" s="132" t="str">
        <f aca="false">IF('Leslie Toole'!$B8="","",'Leslie Toole'!$N8)</f>
        <v/>
      </c>
      <c r="O128" s="134" t="str">
        <f aca="false">IF('Leslie Toole'!$B8="","",'Leslie Toole'!$O8)</f>
        <v/>
      </c>
      <c r="P128" s="132" t="str">
        <f aca="false">IF('Leslie Toole'!$B8="","",'Leslie Toole'!$P8)</f>
        <v/>
      </c>
      <c r="Q128" s="131" t="str">
        <f aca="false">IF('Leslie Toole'!$B8="","","Leslie Toole")</f>
        <v/>
      </c>
      <c r="R128" s="131" t="n">
        <f aca="true">IF(OR($B128="",$I128="Complete",$L128=""),0,IF($L128&lt;TODAY(),1,0))</f>
        <v>0</v>
      </c>
      <c r="S128" s="131" t="n">
        <f aca="true">IF(OR($B128="",$I128="Complete",$L128=""),0,IF(AND($L128&gt;=TODAY(),$L128&lt;=TODAY()+7),1,0))</f>
        <v>0</v>
      </c>
      <c r="T128" s="131" t="str">
        <f aca="true">IF(OR($B128="",$L128=""),"",$L128-TODAY())</f>
        <v/>
      </c>
      <c r="U128" s="135" t="str">
        <f aca="false">IF($B128="","",IF($I128="Complete",1,IF($J128="",0,$J128)))</f>
        <v/>
      </c>
      <c r="V128" s="131" t="n">
        <f aca="false">IF($B128="",0,IF($N128="",0,1))</f>
        <v>0</v>
      </c>
      <c r="W128" s="131" t="n">
        <f aca="false">IF($B128="",0,1)</f>
        <v>0</v>
      </c>
    </row>
    <row r="129" customFormat="false" ht="15" hidden="false" customHeight="false" outlineLevel="0" collapsed="false">
      <c r="A129" s="131" t="str">
        <f aca="false">IF('Leslie Toole'!$B9="","",'Leslie Toole'!$A9)</f>
        <v/>
      </c>
      <c r="B129" s="131" t="str">
        <f aca="false">IF('Leslie Toole'!$B9="","",'Leslie Toole'!$B9)</f>
        <v/>
      </c>
      <c r="C129" s="132" t="str">
        <f aca="false">IF('Leslie Toole'!$B9="","",'Leslie Toole'!$C9)</f>
        <v/>
      </c>
      <c r="D129" s="132" t="str">
        <f aca="false">IF('Leslie Toole'!$B9="","",'Leslie Toole'!$D9)</f>
        <v/>
      </c>
      <c r="E129" s="132" t="str">
        <f aca="false">IF('Leslie Toole'!$B9="","",'Leslie Toole'!$E9)</f>
        <v/>
      </c>
      <c r="F129" s="132" t="str">
        <f aca="false">IF('Leslie Toole'!$B9="","",'Leslie Toole'!$F9)</f>
        <v/>
      </c>
      <c r="G129" s="132" t="str">
        <f aca="false">IF('Leslie Toole'!$B9="","",'Leslie Toole'!$G9)</f>
        <v/>
      </c>
      <c r="H129" s="131" t="str">
        <f aca="false">IF('Leslie Toole'!$B9="","",'Leslie Toole'!$H9)</f>
        <v/>
      </c>
      <c r="I129" s="131" t="str">
        <f aca="false">IF('Leslie Toole'!$B9="","",'Leslie Toole'!$I9)</f>
        <v/>
      </c>
      <c r="J129" s="133" t="str">
        <f aca="false">IF('Leslie Toole'!$B9="","",'Leslie Toole'!$J9)</f>
        <v/>
      </c>
      <c r="K129" s="134" t="str">
        <f aca="false">IF('Leslie Toole'!$B9="","",'Leslie Toole'!$K9)</f>
        <v/>
      </c>
      <c r="L129" s="134" t="str">
        <f aca="false">IF('Leslie Toole'!$B9="","",'Leslie Toole'!$L9)</f>
        <v/>
      </c>
      <c r="M129" s="132" t="str">
        <f aca="false">IF('Leslie Toole'!$B9="","",'Leslie Toole'!$M9)</f>
        <v/>
      </c>
      <c r="N129" s="132" t="str">
        <f aca="false">IF('Leslie Toole'!$B9="","",'Leslie Toole'!$N9)</f>
        <v/>
      </c>
      <c r="O129" s="134" t="str">
        <f aca="false">IF('Leslie Toole'!$B9="","",'Leslie Toole'!$O9)</f>
        <v/>
      </c>
      <c r="P129" s="132" t="str">
        <f aca="false">IF('Leslie Toole'!$B9="","",'Leslie Toole'!$P9)</f>
        <v/>
      </c>
      <c r="Q129" s="131" t="str">
        <f aca="false">IF('Leslie Toole'!$B9="","","Leslie Toole")</f>
        <v/>
      </c>
      <c r="R129" s="131" t="n">
        <f aca="true">IF(OR($B129="",$I129="Complete",$L129=""),0,IF($L129&lt;TODAY(),1,0))</f>
        <v>0</v>
      </c>
      <c r="S129" s="131" t="n">
        <f aca="true">IF(OR($B129="",$I129="Complete",$L129=""),0,IF(AND($L129&gt;=TODAY(),$L129&lt;=TODAY()+7),1,0))</f>
        <v>0</v>
      </c>
      <c r="T129" s="131" t="str">
        <f aca="true">IF(OR($B129="",$L129=""),"",$L129-TODAY())</f>
        <v/>
      </c>
      <c r="U129" s="135" t="str">
        <f aca="false">IF($B129="","",IF($I129="Complete",1,IF($J129="",0,$J129)))</f>
        <v/>
      </c>
      <c r="V129" s="131" t="n">
        <f aca="false">IF($B129="",0,IF($N129="",0,1))</f>
        <v>0</v>
      </c>
      <c r="W129" s="131" t="n">
        <f aca="false">IF($B129="",0,1)</f>
        <v>0</v>
      </c>
    </row>
    <row r="130" customFormat="false" ht="15" hidden="false" customHeight="false" outlineLevel="0" collapsed="false">
      <c r="A130" s="131" t="str">
        <f aca="false">IF('Leslie Toole'!$B10="","",'Leslie Toole'!$A10)</f>
        <v/>
      </c>
      <c r="B130" s="131" t="str">
        <f aca="false">IF('Leslie Toole'!$B10="","",'Leslie Toole'!$B10)</f>
        <v/>
      </c>
      <c r="C130" s="132" t="str">
        <f aca="false">IF('Leslie Toole'!$B10="","",'Leslie Toole'!$C10)</f>
        <v/>
      </c>
      <c r="D130" s="132" t="str">
        <f aca="false">IF('Leslie Toole'!$B10="","",'Leslie Toole'!$D10)</f>
        <v/>
      </c>
      <c r="E130" s="132" t="str">
        <f aca="false">IF('Leslie Toole'!$B10="","",'Leslie Toole'!$E10)</f>
        <v/>
      </c>
      <c r="F130" s="132" t="str">
        <f aca="false">IF('Leslie Toole'!$B10="","",'Leslie Toole'!$F10)</f>
        <v/>
      </c>
      <c r="G130" s="132" t="str">
        <f aca="false">IF('Leslie Toole'!$B10="","",'Leslie Toole'!$G10)</f>
        <v/>
      </c>
      <c r="H130" s="131" t="str">
        <f aca="false">IF('Leslie Toole'!$B10="","",'Leslie Toole'!$H10)</f>
        <v/>
      </c>
      <c r="I130" s="131" t="str">
        <f aca="false">IF('Leslie Toole'!$B10="","",'Leslie Toole'!$I10)</f>
        <v/>
      </c>
      <c r="J130" s="133" t="str">
        <f aca="false">IF('Leslie Toole'!$B10="","",'Leslie Toole'!$J10)</f>
        <v/>
      </c>
      <c r="K130" s="134" t="str">
        <f aca="false">IF('Leslie Toole'!$B10="","",'Leslie Toole'!$K10)</f>
        <v/>
      </c>
      <c r="L130" s="134" t="str">
        <f aca="false">IF('Leslie Toole'!$B10="","",'Leslie Toole'!$L10)</f>
        <v/>
      </c>
      <c r="M130" s="132" t="str">
        <f aca="false">IF('Leslie Toole'!$B10="","",'Leslie Toole'!$M10)</f>
        <v/>
      </c>
      <c r="N130" s="132" t="str">
        <f aca="false">IF('Leslie Toole'!$B10="","",'Leslie Toole'!$N10)</f>
        <v/>
      </c>
      <c r="O130" s="134" t="str">
        <f aca="false">IF('Leslie Toole'!$B10="","",'Leslie Toole'!$O10)</f>
        <v/>
      </c>
      <c r="P130" s="132" t="str">
        <f aca="false">IF('Leslie Toole'!$B10="","",'Leslie Toole'!$P10)</f>
        <v/>
      </c>
      <c r="Q130" s="131" t="str">
        <f aca="false">IF('Leslie Toole'!$B10="","","Leslie Toole")</f>
        <v/>
      </c>
      <c r="R130" s="131" t="n">
        <f aca="true">IF(OR($B130="",$I130="Complete",$L130=""),0,IF($L130&lt;TODAY(),1,0))</f>
        <v>0</v>
      </c>
      <c r="S130" s="131" t="n">
        <f aca="true">IF(OR($B130="",$I130="Complete",$L130=""),0,IF(AND($L130&gt;=TODAY(),$L130&lt;=TODAY()+7),1,0))</f>
        <v>0</v>
      </c>
      <c r="T130" s="131" t="str">
        <f aca="true">IF(OR($B130="",$L130=""),"",$L130-TODAY())</f>
        <v/>
      </c>
      <c r="U130" s="135" t="str">
        <f aca="false">IF($B130="","",IF($I130="Complete",1,IF($J130="",0,$J130)))</f>
        <v/>
      </c>
      <c r="V130" s="131" t="n">
        <f aca="false">IF($B130="",0,IF($N130="",0,1))</f>
        <v>0</v>
      </c>
      <c r="W130" s="131" t="n">
        <f aca="false">IF($B130="",0,1)</f>
        <v>0</v>
      </c>
    </row>
    <row r="131" customFormat="false" ht="15" hidden="false" customHeight="false" outlineLevel="0" collapsed="false">
      <c r="A131" s="131" t="str">
        <f aca="false">IF('Leslie Toole'!$B11="","",'Leslie Toole'!$A11)</f>
        <v/>
      </c>
      <c r="B131" s="131" t="str">
        <f aca="false">IF('Leslie Toole'!$B11="","",'Leslie Toole'!$B11)</f>
        <v/>
      </c>
      <c r="C131" s="132" t="str">
        <f aca="false">IF('Leslie Toole'!$B11="","",'Leslie Toole'!$C11)</f>
        <v/>
      </c>
      <c r="D131" s="132" t="str">
        <f aca="false">IF('Leslie Toole'!$B11="","",'Leslie Toole'!$D11)</f>
        <v/>
      </c>
      <c r="E131" s="132" t="str">
        <f aca="false">IF('Leslie Toole'!$B11="","",'Leslie Toole'!$E11)</f>
        <v/>
      </c>
      <c r="F131" s="132" t="str">
        <f aca="false">IF('Leslie Toole'!$B11="","",'Leslie Toole'!$F11)</f>
        <v/>
      </c>
      <c r="G131" s="132" t="str">
        <f aca="false">IF('Leslie Toole'!$B11="","",'Leslie Toole'!$G11)</f>
        <v/>
      </c>
      <c r="H131" s="131" t="str">
        <f aca="false">IF('Leslie Toole'!$B11="","",'Leslie Toole'!$H11)</f>
        <v/>
      </c>
      <c r="I131" s="131" t="str">
        <f aca="false">IF('Leslie Toole'!$B11="","",'Leslie Toole'!$I11)</f>
        <v/>
      </c>
      <c r="J131" s="133" t="str">
        <f aca="false">IF('Leslie Toole'!$B11="","",'Leslie Toole'!$J11)</f>
        <v/>
      </c>
      <c r="K131" s="134" t="str">
        <f aca="false">IF('Leslie Toole'!$B11="","",'Leslie Toole'!$K11)</f>
        <v/>
      </c>
      <c r="L131" s="134" t="str">
        <f aca="false">IF('Leslie Toole'!$B11="","",'Leslie Toole'!$L11)</f>
        <v/>
      </c>
      <c r="M131" s="132" t="str">
        <f aca="false">IF('Leslie Toole'!$B11="","",'Leslie Toole'!$M11)</f>
        <v/>
      </c>
      <c r="N131" s="132" t="str">
        <f aca="false">IF('Leslie Toole'!$B11="","",'Leslie Toole'!$N11)</f>
        <v/>
      </c>
      <c r="O131" s="134" t="str">
        <f aca="false">IF('Leslie Toole'!$B11="","",'Leslie Toole'!$O11)</f>
        <v/>
      </c>
      <c r="P131" s="132" t="str">
        <f aca="false">IF('Leslie Toole'!$B11="","",'Leslie Toole'!$P11)</f>
        <v/>
      </c>
      <c r="Q131" s="131" t="str">
        <f aca="false">IF('Leslie Toole'!$B11="","","Leslie Toole")</f>
        <v/>
      </c>
      <c r="R131" s="131" t="n">
        <f aca="true">IF(OR($B131="",$I131="Complete",$L131=""),0,IF($L131&lt;TODAY(),1,0))</f>
        <v>0</v>
      </c>
      <c r="S131" s="131" t="n">
        <f aca="true">IF(OR($B131="",$I131="Complete",$L131=""),0,IF(AND($L131&gt;=TODAY(),$L131&lt;=TODAY()+7),1,0))</f>
        <v>0</v>
      </c>
      <c r="T131" s="131" t="str">
        <f aca="true">IF(OR($B131="",$L131=""),"",$L131-TODAY())</f>
        <v/>
      </c>
      <c r="U131" s="135" t="str">
        <f aca="false">IF($B131="","",IF($I131="Complete",1,IF($J131="",0,$J131)))</f>
        <v/>
      </c>
      <c r="V131" s="131" t="n">
        <f aca="false">IF($B131="",0,IF($N131="",0,1))</f>
        <v>0</v>
      </c>
      <c r="W131" s="131" t="n">
        <f aca="false">IF($B131="",0,1)</f>
        <v>0</v>
      </c>
    </row>
    <row r="132" customFormat="false" ht="15" hidden="false" customHeight="false" outlineLevel="0" collapsed="false">
      <c r="A132" s="131" t="str">
        <f aca="false">IF('Leslie Toole'!$B12="","",'Leslie Toole'!$A12)</f>
        <v/>
      </c>
      <c r="B132" s="131" t="str">
        <f aca="false">IF('Leslie Toole'!$B12="","",'Leslie Toole'!$B12)</f>
        <v/>
      </c>
      <c r="C132" s="132" t="str">
        <f aca="false">IF('Leslie Toole'!$B12="","",'Leslie Toole'!$C12)</f>
        <v/>
      </c>
      <c r="D132" s="132" t="str">
        <f aca="false">IF('Leslie Toole'!$B12="","",'Leslie Toole'!$D12)</f>
        <v/>
      </c>
      <c r="E132" s="132" t="str">
        <f aca="false">IF('Leslie Toole'!$B12="","",'Leslie Toole'!$E12)</f>
        <v/>
      </c>
      <c r="F132" s="132" t="str">
        <f aca="false">IF('Leslie Toole'!$B12="","",'Leslie Toole'!$F12)</f>
        <v/>
      </c>
      <c r="G132" s="132" t="str">
        <f aca="false">IF('Leslie Toole'!$B12="","",'Leslie Toole'!$G12)</f>
        <v/>
      </c>
      <c r="H132" s="131" t="str">
        <f aca="false">IF('Leslie Toole'!$B12="","",'Leslie Toole'!$H12)</f>
        <v/>
      </c>
      <c r="I132" s="131" t="str">
        <f aca="false">IF('Leslie Toole'!$B12="","",'Leslie Toole'!$I12)</f>
        <v/>
      </c>
      <c r="J132" s="133" t="str">
        <f aca="false">IF('Leslie Toole'!$B12="","",'Leslie Toole'!$J12)</f>
        <v/>
      </c>
      <c r="K132" s="134" t="str">
        <f aca="false">IF('Leslie Toole'!$B12="","",'Leslie Toole'!$K12)</f>
        <v/>
      </c>
      <c r="L132" s="134" t="str">
        <f aca="false">IF('Leslie Toole'!$B12="","",'Leslie Toole'!$L12)</f>
        <v/>
      </c>
      <c r="M132" s="132" t="str">
        <f aca="false">IF('Leslie Toole'!$B12="","",'Leslie Toole'!$M12)</f>
        <v/>
      </c>
      <c r="N132" s="132" t="str">
        <f aca="false">IF('Leslie Toole'!$B12="","",'Leslie Toole'!$N12)</f>
        <v/>
      </c>
      <c r="O132" s="134" t="str">
        <f aca="false">IF('Leslie Toole'!$B12="","",'Leslie Toole'!$O12)</f>
        <v/>
      </c>
      <c r="P132" s="132" t="str">
        <f aca="false">IF('Leslie Toole'!$B12="","",'Leslie Toole'!$P12)</f>
        <v/>
      </c>
      <c r="Q132" s="131" t="str">
        <f aca="false">IF('Leslie Toole'!$B12="","","Leslie Toole")</f>
        <v/>
      </c>
      <c r="R132" s="131" t="n">
        <f aca="true">IF(OR($B132="",$I132="Complete",$L132=""),0,IF($L132&lt;TODAY(),1,0))</f>
        <v>0</v>
      </c>
      <c r="S132" s="131" t="n">
        <f aca="true">IF(OR($B132="",$I132="Complete",$L132=""),0,IF(AND($L132&gt;=TODAY(),$L132&lt;=TODAY()+7),1,0))</f>
        <v>0</v>
      </c>
      <c r="T132" s="131" t="str">
        <f aca="true">IF(OR($B132="",$L132=""),"",$L132-TODAY())</f>
        <v/>
      </c>
      <c r="U132" s="135" t="str">
        <f aca="false">IF($B132="","",IF($I132="Complete",1,IF($J132="",0,$J132)))</f>
        <v/>
      </c>
      <c r="V132" s="131" t="n">
        <f aca="false">IF($B132="",0,IF($N132="",0,1))</f>
        <v>0</v>
      </c>
      <c r="W132" s="131" t="n">
        <f aca="false">IF($B132="",0,1)</f>
        <v>0</v>
      </c>
    </row>
    <row r="133" customFormat="false" ht="15" hidden="false" customHeight="false" outlineLevel="0" collapsed="false">
      <c r="A133" s="131" t="str">
        <f aca="false">IF('Leslie Toole'!$B13="","",'Leslie Toole'!$A13)</f>
        <v/>
      </c>
      <c r="B133" s="131" t="str">
        <f aca="false">IF('Leslie Toole'!$B13="","",'Leslie Toole'!$B13)</f>
        <v/>
      </c>
      <c r="C133" s="132" t="str">
        <f aca="false">IF('Leslie Toole'!$B13="","",'Leslie Toole'!$C13)</f>
        <v/>
      </c>
      <c r="D133" s="132" t="str">
        <f aca="false">IF('Leslie Toole'!$B13="","",'Leslie Toole'!$D13)</f>
        <v/>
      </c>
      <c r="E133" s="132" t="str">
        <f aca="false">IF('Leslie Toole'!$B13="","",'Leslie Toole'!$E13)</f>
        <v/>
      </c>
      <c r="F133" s="132" t="str">
        <f aca="false">IF('Leslie Toole'!$B13="","",'Leslie Toole'!$F13)</f>
        <v/>
      </c>
      <c r="G133" s="132" t="str">
        <f aca="false">IF('Leslie Toole'!$B13="","",'Leslie Toole'!$G13)</f>
        <v/>
      </c>
      <c r="H133" s="131" t="str">
        <f aca="false">IF('Leslie Toole'!$B13="","",'Leslie Toole'!$H13)</f>
        <v/>
      </c>
      <c r="I133" s="131" t="str">
        <f aca="false">IF('Leslie Toole'!$B13="","",'Leslie Toole'!$I13)</f>
        <v/>
      </c>
      <c r="J133" s="133" t="str">
        <f aca="false">IF('Leslie Toole'!$B13="","",'Leslie Toole'!$J13)</f>
        <v/>
      </c>
      <c r="K133" s="134" t="str">
        <f aca="false">IF('Leslie Toole'!$B13="","",'Leslie Toole'!$K13)</f>
        <v/>
      </c>
      <c r="L133" s="134" t="str">
        <f aca="false">IF('Leslie Toole'!$B13="","",'Leslie Toole'!$L13)</f>
        <v/>
      </c>
      <c r="M133" s="132" t="str">
        <f aca="false">IF('Leslie Toole'!$B13="","",'Leslie Toole'!$M13)</f>
        <v/>
      </c>
      <c r="N133" s="132" t="str">
        <f aca="false">IF('Leslie Toole'!$B13="","",'Leslie Toole'!$N13)</f>
        <v/>
      </c>
      <c r="O133" s="134" t="str">
        <f aca="false">IF('Leslie Toole'!$B13="","",'Leslie Toole'!$O13)</f>
        <v/>
      </c>
      <c r="P133" s="132" t="str">
        <f aca="false">IF('Leslie Toole'!$B13="","",'Leslie Toole'!$P13)</f>
        <v/>
      </c>
      <c r="Q133" s="131" t="str">
        <f aca="false">IF('Leslie Toole'!$B13="","","Leslie Toole")</f>
        <v/>
      </c>
      <c r="R133" s="131" t="n">
        <f aca="true">IF(OR($B133="",$I133="Complete",$L133=""),0,IF($L133&lt;TODAY(),1,0))</f>
        <v>0</v>
      </c>
      <c r="S133" s="131" t="n">
        <f aca="true">IF(OR($B133="",$I133="Complete",$L133=""),0,IF(AND($L133&gt;=TODAY(),$L133&lt;=TODAY()+7),1,0))</f>
        <v>0</v>
      </c>
      <c r="T133" s="131" t="str">
        <f aca="true">IF(OR($B133="",$L133=""),"",$L133-TODAY())</f>
        <v/>
      </c>
      <c r="U133" s="135" t="str">
        <f aca="false">IF($B133="","",IF($I133="Complete",1,IF($J133="",0,$J133)))</f>
        <v/>
      </c>
      <c r="V133" s="131" t="n">
        <f aca="false">IF($B133="",0,IF($N133="",0,1))</f>
        <v>0</v>
      </c>
      <c r="W133" s="131" t="n">
        <f aca="false">IF($B133="",0,1)</f>
        <v>0</v>
      </c>
    </row>
    <row r="134" customFormat="false" ht="15" hidden="false" customHeight="false" outlineLevel="0" collapsed="false">
      <c r="A134" s="131" t="str">
        <f aca="false">IF('Leslie Toole'!$B14="","",'Leslie Toole'!$A14)</f>
        <v/>
      </c>
      <c r="B134" s="131" t="str">
        <f aca="false">IF('Leslie Toole'!$B14="","",'Leslie Toole'!$B14)</f>
        <v/>
      </c>
      <c r="C134" s="132" t="str">
        <f aca="false">IF('Leslie Toole'!$B14="","",'Leslie Toole'!$C14)</f>
        <v/>
      </c>
      <c r="D134" s="132" t="str">
        <f aca="false">IF('Leslie Toole'!$B14="","",'Leslie Toole'!$D14)</f>
        <v/>
      </c>
      <c r="E134" s="132" t="str">
        <f aca="false">IF('Leslie Toole'!$B14="","",'Leslie Toole'!$E14)</f>
        <v/>
      </c>
      <c r="F134" s="132" t="str">
        <f aca="false">IF('Leslie Toole'!$B14="","",'Leslie Toole'!$F14)</f>
        <v/>
      </c>
      <c r="G134" s="132" t="str">
        <f aca="false">IF('Leslie Toole'!$B14="","",'Leslie Toole'!$G14)</f>
        <v/>
      </c>
      <c r="H134" s="131" t="str">
        <f aca="false">IF('Leslie Toole'!$B14="","",'Leslie Toole'!$H14)</f>
        <v/>
      </c>
      <c r="I134" s="131" t="str">
        <f aca="false">IF('Leslie Toole'!$B14="","",'Leslie Toole'!$I14)</f>
        <v/>
      </c>
      <c r="J134" s="133" t="str">
        <f aca="false">IF('Leslie Toole'!$B14="","",'Leslie Toole'!$J14)</f>
        <v/>
      </c>
      <c r="K134" s="134" t="str">
        <f aca="false">IF('Leslie Toole'!$B14="","",'Leslie Toole'!$K14)</f>
        <v/>
      </c>
      <c r="L134" s="134" t="str">
        <f aca="false">IF('Leslie Toole'!$B14="","",'Leslie Toole'!$L14)</f>
        <v/>
      </c>
      <c r="M134" s="132" t="str">
        <f aca="false">IF('Leslie Toole'!$B14="","",'Leslie Toole'!$M14)</f>
        <v/>
      </c>
      <c r="N134" s="132" t="str">
        <f aca="false">IF('Leslie Toole'!$B14="","",'Leslie Toole'!$N14)</f>
        <v/>
      </c>
      <c r="O134" s="134" t="str">
        <f aca="false">IF('Leslie Toole'!$B14="","",'Leslie Toole'!$O14)</f>
        <v/>
      </c>
      <c r="P134" s="132" t="str">
        <f aca="false">IF('Leslie Toole'!$B14="","",'Leslie Toole'!$P14)</f>
        <v/>
      </c>
      <c r="Q134" s="131" t="str">
        <f aca="false">IF('Leslie Toole'!$B14="","","Leslie Toole")</f>
        <v/>
      </c>
      <c r="R134" s="131" t="n">
        <f aca="true">IF(OR($B134="",$I134="Complete",$L134=""),0,IF($L134&lt;TODAY(),1,0))</f>
        <v>0</v>
      </c>
      <c r="S134" s="131" t="n">
        <f aca="true">IF(OR($B134="",$I134="Complete",$L134=""),0,IF(AND($L134&gt;=TODAY(),$L134&lt;=TODAY()+7),1,0))</f>
        <v>0</v>
      </c>
      <c r="T134" s="131" t="str">
        <f aca="true">IF(OR($B134="",$L134=""),"",$L134-TODAY())</f>
        <v/>
      </c>
      <c r="U134" s="135" t="str">
        <f aca="false">IF($B134="","",IF($I134="Complete",1,IF($J134="",0,$J134)))</f>
        <v/>
      </c>
      <c r="V134" s="131" t="n">
        <f aca="false">IF($B134="",0,IF($N134="",0,1))</f>
        <v>0</v>
      </c>
      <c r="W134" s="131" t="n">
        <f aca="false">IF($B134="",0,1)</f>
        <v>0</v>
      </c>
    </row>
    <row r="135" customFormat="false" ht="15" hidden="false" customHeight="false" outlineLevel="0" collapsed="false">
      <c r="A135" s="131" t="str">
        <f aca="false">IF('Leslie Toole'!$B15="","",'Leslie Toole'!$A15)</f>
        <v/>
      </c>
      <c r="B135" s="131" t="str">
        <f aca="false">IF('Leslie Toole'!$B15="","",'Leslie Toole'!$B15)</f>
        <v/>
      </c>
      <c r="C135" s="132" t="str">
        <f aca="false">IF('Leslie Toole'!$B15="","",'Leslie Toole'!$C15)</f>
        <v/>
      </c>
      <c r="D135" s="132" t="str">
        <f aca="false">IF('Leslie Toole'!$B15="","",'Leslie Toole'!$D15)</f>
        <v/>
      </c>
      <c r="E135" s="132" t="str">
        <f aca="false">IF('Leslie Toole'!$B15="","",'Leslie Toole'!$E15)</f>
        <v/>
      </c>
      <c r="F135" s="132" t="str">
        <f aca="false">IF('Leslie Toole'!$B15="","",'Leslie Toole'!$F15)</f>
        <v/>
      </c>
      <c r="G135" s="132" t="str">
        <f aca="false">IF('Leslie Toole'!$B15="","",'Leslie Toole'!$G15)</f>
        <v/>
      </c>
      <c r="H135" s="131" t="str">
        <f aca="false">IF('Leslie Toole'!$B15="","",'Leslie Toole'!$H15)</f>
        <v/>
      </c>
      <c r="I135" s="131" t="str">
        <f aca="false">IF('Leslie Toole'!$B15="","",'Leslie Toole'!$I15)</f>
        <v/>
      </c>
      <c r="J135" s="133" t="str">
        <f aca="false">IF('Leslie Toole'!$B15="","",'Leslie Toole'!$J15)</f>
        <v/>
      </c>
      <c r="K135" s="134" t="str">
        <f aca="false">IF('Leslie Toole'!$B15="","",'Leslie Toole'!$K15)</f>
        <v/>
      </c>
      <c r="L135" s="134" t="str">
        <f aca="false">IF('Leslie Toole'!$B15="","",'Leslie Toole'!$L15)</f>
        <v/>
      </c>
      <c r="M135" s="132" t="str">
        <f aca="false">IF('Leslie Toole'!$B15="","",'Leslie Toole'!$M15)</f>
        <v/>
      </c>
      <c r="N135" s="132" t="str">
        <f aca="false">IF('Leslie Toole'!$B15="","",'Leslie Toole'!$N15)</f>
        <v/>
      </c>
      <c r="O135" s="134" t="str">
        <f aca="false">IF('Leslie Toole'!$B15="","",'Leslie Toole'!$O15)</f>
        <v/>
      </c>
      <c r="P135" s="132" t="str">
        <f aca="false">IF('Leslie Toole'!$B15="","",'Leslie Toole'!$P15)</f>
        <v/>
      </c>
      <c r="Q135" s="131" t="str">
        <f aca="false">IF('Leslie Toole'!$B15="","","Leslie Toole")</f>
        <v/>
      </c>
      <c r="R135" s="131" t="n">
        <f aca="true">IF(OR($B135="",$I135="Complete",$L135=""),0,IF($L135&lt;TODAY(),1,0))</f>
        <v>0</v>
      </c>
      <c r="S135" s="131" t="n">
        <f aca="true">IF(OR($B135="",$I135="Complete",$L135=""),0,IF(AND($L135&gt;=TODAY(),$L135&lt;=TODAY()+7),1,0))</f>
        <v>0</v>
      </c>
      <c r="T135" s="131" t="str">
        <f aca="true">IF(OR($B135="",$L135=""),"",$L135-TODAY())</f>
        <v/>
      </c>
      <c r="U135" s="135" t="str">
        <f aca="false">IF($B135="","",IF($I135="Complete",1,IF($J135="",0,$J135)))</f>
        <v/>
      </c>
      <c r="V135" s="131" t="n">
        <f aca="false">IF($B135="",0,IF($N135="",0,1))</f>
        <v>0</v>
      </c>
      <c r="W135" s="131" t="n">
        <f aca="false">IF($B135="",0,1)</f>
        <v>0</v>
      </c>
    </row>
    <row r="136" customFormat="false" ht="15" hidden="false" customHeight="false" outlineLevel="0" collapsed="false">
      <c r="A136" s="131" t="str">
        <f aca="false">IF('Leslie Toole'!$B16="","",'Leslie Toole'!$A16)</f>
        <v/>
      </c>
      <c r="B136" s="131" t="str">
        <f aca="false">IF('Leslie Toole'!$B16="","",'Leslie Toole'!$B16)</f>
        <v/>
      </c>
      <c r="C136" s="132" t="str">
        <f aca="false">IF('Leslie Toole'!$B16="","",'Leslie Toole'!$C16)</f>
        <v/>
      </c>
      <c r="D136" s="132" t="str">
        <f aca="false">IF('Leslie Toole'!$B16="","",'Leslie Toole'!$D16)</f>
        <v/>
      </c>
      <c r="E136" s="132" t="str">
        <f aca="false">IF('Leslie Toole'!$B16="","",'Leslie Toole'!$E16)</f>
        <v/>
      </c>
      <c r="F136" s="132" t="str">
        <f aca="false">IF('Leslie Toole'!$B16="","",'Leslie Toole'!$F16)</f>
        <v/>
      </c>
      <c r="G136" s="132" t="str">
        <f aca="false">IF('Leslie Toole'!$B16="","",'Leslie Toole'!$G16)</f>
        <v/>
      </c>
      <c r="H136" s="131" t="str">
        <f aca="false">IF('Leslie Toole'!$B16="","",'Leslie Toole'!$H16)</f>
        <v/>
      </c>
      <c r="I136" s="131" t="str">
        <f aca="false">IF('Leslie Toole'!$B16="","",'Leslie Toole'!$I16)</f>
        <v/>
      </c>
      <c r="J136" s="133" t="str">
        <f aca="false">IF('Leslie Toole'!$B16="","",'Leslie Toole'!$J16)</f>
        <v/>
      </c>
      <c r="K136" s="134" t="str">
        <f aca="false">IF('Leslie Toole'!$B16="","",'Leslie Toole'!$K16)</f>
        <v/>
      </c>
      <c r="L136" s="134" t="str">
        <f aca="false">IF('Leslie Toole'!$B16="","",'Leslie Toole'!$L16)</f>
        <v/>
      </c>
      <c r="M136" s="132" t="str">
        <f aca="false">IF('Leslie Toole'!$B16="","",'Leslie Toole'!$M16)</f>
        <v/>
      </c>
      <c r="N136" s="132" t="str">
        <f aca="false">IF('Leslie Toole'!$B16="","",'Leslie Toole'!$N16)</f>
        <v/>
      </c>
      <c r="O136" s="134" t="str">
        <f aca="false">IF('Leslie Toole'!$B16="","",'Leslie Toole'!$O16)</f>
        <v/>
      </c>
      <c r="P136" s="132" t="str">
        <f aca="false">IF('Leslie Toole'!$B16="","",'Leslie Toole'!$P16)</f>
        <v/>
      </c>
      <c r="Q136" s="131" t="str">
        <f aca="false">IF('Leslie Toole'!$B16="","","Leslie Toole")</f>
        <v/>
      </c>
      <c r="R136" s="131" t="n">
        <f aca="true">IF(OR($B136="",$I136="Complete",$L136=""),0,IF($L136&lt;TODAY(),1,0))</f>
        <v>0</v>
      </c>
      <c r="S136" s="131" t="n">
        <f aca="true">IF(OR($B136="",$I136="Complete",$L136=""),0,IF(AND($L136&gt;=TODAY(),$L136&lt;=TODAY()+7),1,0))</f>
        <v>0</v>
      </c>
      <c r="T136" s="131" t="str">
        <f aca="true">IF(OR($B136="",$L136=""),"",$L136-TODAY())</f>
        <v/>
      </c>
      <c r="U136" s="135" t="str">
        <f aca="false">IF($B136="","",IF($I136="Complete",1,IF($J136="",0,$J136)))</f>
        <v/>
      </c>
      <c r="V136" s="131" t="n">
        <f aca="false">IF($B136="",0,IF($N136="",0,1))</f>
        <v>0</v>
      </c>
      <c r="W136" s="131" t="n">
        <f aca="false">IF($B136="",0,1)</f>
        <v>0</v>
      </c>
    </row>
    <row r="137" customFormat="false" ht="15" hidden="false" customHeight="false" outlineLevel="0" collapsed="false">
      <c r="A137" s="131" t="str">
        <f aca="false">IF('Leslie Toole'!$B17="","",'Leslie Toole'!$A17)</f>
        <v/>
      </c>
      <c r="B137" s="131" t="str">
        <f aca="false">IF('Leslie Toole'!$B17="","",'Leslie Toole'!$B17)</f>
        <v/>
      </c>
      <c r="C137" s="132" t="str">
        <f aca="false">IF('Leslie Toole'!$B17="","",'Leslie Toole'!$C17)</f>
        <v/>
      </c>
      <c r="D137" s="132" t="str">
        <f aca="false">IF('Leslie Toole'!$B17="","",'Leslie Toole'!$D17)</f>
        <v/>
      </c>
      <c r="E137" s="132" t="str">
        <f aca="false">IF('Leslie Toole'!$B17="","",'Leslie Toole'!$E17)</f>
        <v/>
      </c>
      <c r="F137" s="132" t="str">
        <f aca="false">IF('Leslie Toole'!$B17="","",'Leslie Toole'!$F17)</f>
        <v/>
      </c>
      <c r="G137" s="132" t="str">
        <f aca="false">IF('Leslie Toole'!$B17="","",'Leslie Toole'!$G17)</f>
        <v/>
      </c>
      <c r="H137" s="131" t="str">
        <f aca="false">IF('Leslie Toole'!$B17="","",'Leslie Toole'!$H17)</f>
        <v/>
      </c>
      <c r="I137" s="131" t="str">
        <f aca="false">IF('Leslie Toole'!$B17="","",'Leslie Toole'!$I17)</f>
        <v/>
      </c>
      <c r="J137" s="133" t="str">
        <f aca="false">IF('Leslie Toole'!$B17="","",'Leslie Toole'!$J17)</f>
        <v/>
      </c>
      <c r="K137" s="134" t="str">
        <f aca="false">IF('Leslie Toole'!$B17="","",'Leslie Toole'!$K17)</f>
        <v/>
      </c>
      <c r="L137" s="134" t="str">
        <f aca="false">IF('Leslie Toole'!$B17="","",'Leslie Toole'!$L17)</f>
        <v/>
      </c>
      <c r="M137" s="132" t="str">
        <f aca="false">IF('Leslie Toole'!$B17="","",'Leslie Toole'!$M17)</f>
        <v/>
      </c>
      <c r="N137" s="132" t="str">
        <f aca="false">IF('Leslie Toole'!$B17="","",'Leslie Toole'!$N17)</f>
        <v/>
      </c>
      <c r="O137" s="134" t="str">
        <f aca="false">IF('Leslie Toole'!$B17="","",'Leslie Toole'!$O17)</f>
        <v/>
      </c>
      <c r="P137" s="132" t="str">
        <f aca="false">IF('Leslie Toole'!$B17="","",'Leslie Toole'!$P17)</f>
        <v/>
      </c>
      <c r="Q137" s="131" t="str">
        <f aca="false">IF('Leslie Toole'!$B17="","","Leslie Toole")</f>
        <v/>
      </c>
      <c r="R137" s="131" t="n">
        <f aca="true">IF(OR($B137="",$I137="Complete",$L137=""),0,IF($L137&lt;TODAY(),1,0))</f>
        <v>0</v>
      </c>
      <c r="S137" s="131" t="n">
        <f aca="true">IF(OR($B137="",$I137="Complete",$L137=""),0,IF(AND($L137&gt;=TODAY(),$L137&lt;=TODAY()+7),1,0))</f>
        <v>0</v>
      </c>
      <c r="T137" s="131" t="str">
        <f aca="true">IF(OR($B137="",$L137=""),"",$L137-TODAY())</f>
        <v/>
      </c>
      <c r="U137" s="135" t="str">
        <f aca="false">IF($B137="","",IF($I137="Complete",1,IF($J137="",0,$J137)))</f>
        <v/>
      </c>
      <c r="V137" s="131" t="n">
        <f aca="false">IF($B137="",0,IF($N137="",0,1))</f>
        <v>0</v>
      </c>
      <c r="W137" s="131" t="n">
        <f aca="false">IF($B137="",0,1)</f>
        <v>0</v>
      </c>
    </row>
    <row r="138" customFormat="false" ht="15" hidden="false" customHeight="false" outlineLevel="0" collapsed="false">
      <c r="A138" s="131" t="str">
        <f aca="false">IF('Leslie Toole'!$B18="","",'Leslie Toole'!$A18)</f>
        <v/>
      </c>
      <c r="B138" s="131" t="str">
        <f aca="false">IF('Leslie Toole'!$B18="","",'Leslie Toole'!$B18)</f>
        <v/>
      </c>
      <c r="C138" s="132" t="str">
        <f aca="false">IF('Leslie Toole'!$B18="","",'Leslie Toole'!$C18)</f>
        <v/>
      </c>
      <c r="D138" s="132" t="str">
        <f aca="false">IF('Leslie Toole'!$B18="","",'Leslie Toole'!$D18)</f>
        <v/>
      </c>
      <c r="E138" s="132" t="str">
        <f aca="false">IF('Leslie Toole'!$B18="","",'Leslie Toole'!$E18)</f>
        <v/>
      </c>
      <c r="F138" s="132" t="str">
        <f aca="false">IF('Leslie Toole'!$B18="","",'Leslie Toole'!$F18)</f>
        <v/>
      </c>
      <c r="G138" s="132" t="str">
        <f aca="false">IF('Leslie Toole'!$B18="","",'Leslie Toole'!$G18)</f>
        <v/>
      </c>
      <c r="H138" s="131" t="str">
        <f aca="false">IF('Leslie Toole'!$B18="","",'Leslie Toole'!$H18)</f>
        <v/>
      </c>
      <c r="I138" s="131" t="str">
        <f aca="false">IF('Leslie Toole'!$B18="","",'Leslie Toole'!$I18)</f>
        <v/>
      </c>
      <c r="J138" s="133" t="str">
        <f aca="false">IF('Leslie Toole'!$B18="","",'Leslie Toole'!$J18)</f>
        <v/>
      </c>
      <c r="K138" s="134" t="str">
        <f aca="false">IF('Leslie Toole'!$B18="","",'Leslie Toole'!$K18)</f>
        <v/>
      </c>
      <c r="L138" s="134" t="str">
        <f aca="false">IF('Leslie Toole'!$B18="","",'Leslie Toole'!$L18)</f>
        <v/>
      </c>
      <c r="M138" s="132" t="str">
        <f aca="false">IF('Leslie Toole'!$B18="","",'Leslie Toole'!$M18)</f>
        <v/>
      </c>
      <c r="N138" s="132" t="str">
        <f aca="false">IF('Leslie Toole'!$B18="","",'Leslie Toole'!$N18)</f>
        <v/>
      </c>
      <c r="O138" s="134" t="str">
        <f aca="false">IF('Leslie Toole'!$B18="","",'Leslie Toole'!$O18)</f>
        <v/>
      </c>
      <c r="P138" s="132" t="str">
        <f aca="false">IF('Leslie Toole'!$B18="","",'Leslie Toole'!$P18)</f>
        <v/>
      </c>
      <c r="Q138" s="131" t="str">
        <f aca="false">IF('Leslie Toole'!$B18="","","Leslie Toole")</f>
        <v/>
      </c>
      <c r="R138" s="131" t="n">
        <f aca="true">IF(OR($B138="",$I138="Complete",$L138=""),0,IF($L138&lt;TODAY(),1,0))</f>
        <v>0</v>
      </c>
      <c r="S138" s="131" t="n">
        <f aca="true">IF(OR($B138="",$I138="Complete",$L138=""),0,IF(AND($L138&gt;=TODAY(),$L138&lt;=TODAY()+7),1,0))</f>
        <v>0</v>
      </c>
      <c r="T138" s="131" t="str">
        <f aca="true">IF(OR($B138="",$L138=""),"",$L138-TODAY())</f>
        <v/>
      </c>
      <c r="U138" s="135" t="str">
        <f aca="false">IF($B138="","",IF($I138="Complete",1,IF($J138="",0,$J138)))</f>
        <v/>
      </c>
      <c r="V138" s="131" t="n">
        <f aca="false">IF($B138="",0,IF($N138="",0,1))</f>
        <v>0</v>
      </c>
      <c r="W138" s="131" t="n">
        <f aca="false">IF($B138="",0,1)</f>
        <v>0</v>
      </c>
    </row>
    <row r="139" customFormat="false" ht="15" hidden="false" customHeight="false" outlineLevel="0" collapsed="false">
      <c r="A139" s="131" t="str">
        <f aca="false">IF('Leslie Toole'!$B19="","",'Leslie Toole'!$A19)</f>
        <v/>
      </c>
      <c r="B139" s="131" t="str">
        <f aca="false">IF('Leslie Toole'!$B19="","",'Leslie Toole'!$B19)</f>
        <v/>
      </c>
      <c r="C139" s="132" t="str">
        <f aca="false">IF('Leslie Toole'!$B19="","",'Leslie Toole'!$C19)</f>
        <v/>
      </c>
      <c r="D139" s="132" t="str">
        <f aca="false">IF('Leslie Toole'!$B19="","",'Leslie Toole'!$D19)</f>
        <v/>
      </c>
      <c r="E139" s="132" t="str">
        <f aca="false">IF('Leslie Toole'!$B19="","",'Leslie Toole'!$E19)</f>
        <v/>
      </c>
      <c r="F139" s="132" t="str">
        <f aca="false">IF('Leslie Toole'!$B19="","",'Leslie Toole'!$F19)</f>
        <v/>
      </c>
      <c r="G139" s="132" t="str">
        <f aca="false">IF('Leslie Toole'!$B19="","",'Leslie Toole'!$G19)</f>
        <v/>
      </c>
      <c r="H139" s="131" t="str">
        <f aca="false">IF('Leslie Toole'!$B19="","",'Leslie Toole'!$H19)</f>
        <v/>
      </c>
      <c r="I139" s="131" t="str">
        <f aca="false">IF('Leslie Toole'!$B19="","",'Leslie Toole'!$I19)</f>
        <v/>
      </c>
      <c r="J139" s="133" t="str">
        <f aca="false">IF('Leslie Toole'!$B19="","",'Leslie Toole'!$J19)</f>
        <v/>
      </c>
      <c r="K139" s="134" t="str">
        <f aca="false">IF('Leslie Toole'!$B19="","",'Leslie Toole'!$K19)</f>
        <v/>
      </c>
      <c r="L139" s="134" t="str">
        <f aca="false">IF('Leslie Toole'!$B19="","",'Leslie Toole'!$L19)</f>
        <v/>
      </c>
      <c r="M139" s="132" t="str">
        <f aca="false">IF('Leslie Toole'!$B19="","",'Leslie Toole'!$M19)</f>
        <v/>
      </c>
      <c r="N139" s="132" t="str">
        <f aca="false">IF('Leslie Toole'!$B19="","",'Leslie Toole'!$N19)</f>
        <v/>
      </c>
      <c r="O139" s="134" t="str">
        <f aca="false">IF('Leslie Toole'!$B19="","",'Leslie Toole'!$O19)</f>
        <v/>
      </c>
      <c r="P139" s="132" t="str">
        <f aca="false">IF('Leslie Toole'!$B19="","",'Leslie Toole'!$P19)</f>
        <v/>
      </c>
      <c r="Q139" s="131" t="str">
        <f aca="false">IF('Leslie Toole'!$B19="","","Leslie Toole")</f>
        <v/>
      </c>
      <c r="R139" s="131" t="n">
        <f aca="true">IF(OR($B139="",$I139="Complete",$L139=""),0,IF($L139&lt;TODAY(),1,0))</f>
        <v>0</v>
      </c>
      <c r="S139" s="131" t="n">
        <f aca="true">IF(OR($B139="",$I139="Complete",$L139=""),0,IF(AND($L139&gt;=TODAY(),$L139&lt;=TODAY()+7),1,0))</f>
        <v>0</v>
      </c>
      <c r="T139" s="131" t="str">
        <f aca="true">IF(OR($B139="",$L139=""),"",$L139-TODAY())</f>
        <v/>
      </c>
      <c r="U139" s="135" t="str">
        <f aca="false">IF($B139="","",IF($I139="Complete",1,IF($J139="",0,$J139)))</f>
        <v/>
      </c>
      <c r="V139" s="131" t="n">
        <f aca="false">IF($B139="",0,IF($N139="",0,1))</f>
        <v>0</v>
      </c>
      <c r="W139" s="131" t="n">
        <f aca="false">IF($B139="",0,1)</f>
        <v>0</v>
      </c>
    </row>
    <row r="140" customFormat="false" ht="15" hidden="false" customHeight="false" outlineLevel="0" collapsed="false">
      <c r="A140" s="131" t="str">
        <f aca="false">IF('Leslie Toole'!$B20="","",'Leslie Toole'!$A20)</f>
        <v/>
      </c>
      <c r="B140" s="131" t="str">
        <f aca="false">IF('Leslie Toole'!$B20="","",'Leslie Toole'!$B20)</f>
        <v/>
      </c>
      <c r="C140" s="132" t="str">
        <f aca="false">IF('Leslie Toole'!$B20="","",'Leslie Toole'!$C20)</f>
        <v/>
      </c>
      <c r="D140" s="132" t="str">
        <f aca="false">IF('Leslie Toole'!$B20="","",'Leslie Toole'!$D20)</f>
        <v/>
      </c>
      <c r="E140" s="132" t="str">
        <f aca="false">IF('Leslie Toole'!$B20="","",'Leslie Toole'!$E20)</f>
        <v/>
      </c>
      <c r="F140" s="132" t="str">
        <f aca="false">IF('Leslie Toole'!$B20="","",'Leslie Toole'!$F20)</f>
        <v/>
      </c>
      <c r="G140" s="132" t="str">
        <f aca="false">IF('Leslie Toole'!$B20="","",'Leslie Toole'!$G20)</f>
        <v/>
      </c>
      <c r="H140" s="131" t="str">
        <f aca="false">IF('Leslie Toole'!$B20="","",'Leslie Toole'!$H20)</f>
        <v/>
      </c>
      <c r="I140" s="131" t="str">
        <f aca="false">IF('Leslie Toole'!$B20="","",'Leslie Toole'!$I20)</f>
        <v/>
      </c>
      <c r="J140" s="133" t="str">
        <f aca="false">IF('Leslie Toole'!$B20="","",'Leslie Toole'!$J20)</f>
        <v/>
      </c>
      <c r="K140" s="134" t="str">
        <f aca="false">IF('Leslie Toole'!$B20="","",'Leslie Toole'!$K20)</f>
        <v/>
      </c>
      <c r="L140" s="134" t="str">
        <f aca="false">IF('Leslie Toole'!$B20="","",'Leslie Toole'!$L20)</f>
        <v/>
      </c>
      <c r="M140" s="132" t="str">
        <f aca="false">IF('Leslie Toole'!$B20="","",'Leslie Toole'!$M20)</f>
        <v/>
      </c>
      <c r="N140" s="132" t="str">
        <f aca="false">IF('Leslie Toole'!$B20="","",'Leslie Toole'!$N20)</f>
        <v/>
      </c>
      <c r="O140" s="134" t="str">
        <f aca="false">IF('Leslie Toole'!$B20="","",'Leslie Toole'!$O20)</f>
        <v/>
      </c>
      <c r="P140" s="132" t="str">
        <f aca="false">IF('Leslie Toole'!$B20="","",'Leslie Toole'!$P20)</f>
        <v/>
      </c>
      <c r="Q140" s="131" t="str">
        <f aca="false">IF('Leslie Toole'!$B20="","","Leslie Toole")</f>
        <v/>
      </c>
      <c r="R140" s="131" t="n">
        <f aca="true">IF(OR($B140="",$I140="Complete",$L140=""),0,IF($L140&lt;TODAY(),1,0))</f>
        <v>0</v>
      </c>
      <c r="S140" s="131" t="n">
        <f aca="true">IF(OR($B140="",$I140="Complete",$L140=""),0,IF(AND($L140&gt;=TODAY(),$L140&lt;=TODAY()+7),1,0))</f>
        <v>0</v>
      </c>
      <c r="T140" s="131" t="str">
        <f aca="true">IF(OR($B140="",$L140=""),"",$L140-TODAY())</f>
        <v/>
      </c>
      <c r="U140" s="135" t="str">
        <f aca="false">IF($B140="","",IF($I140="Complete",1,IF($J140="",0,$J140)))</f>
        <v/>
      </c>
      <c r="V140" s="131" t="n">
        <f aca="false">IF($B140="",0,IF($N140="",0,1))</f>
        <v>0</v>
      </c>
      <c r="W140" s="131" t="n">
        <f aca="false">IF($B140="",0,1)</f>
        <v>0</v>
      </c>
    </row>
    <row r="141" customFormat="false" ht="15" hidden="false" customHeight="false" outlineLevel="0" collapsed="false">
      <c r="A141" s="131" t="str">
        <f aca="false">IF('Leslie Toole'!$B21="","",'Leslie Toole'!$A21)</f>
        <v/>
      </c>
      <c r="B141" s="131" t="str">
        <f aca="false">IF('Leslie Toole'!$B21="","",'Leslie Toole'!$B21)</f>
        <v/>
      </c>
      <c r="C141" s="132" t="str">
        <f aca="false">IF('Leslie Toole'!$B21="","",'Leslie Toole'!$C21)</f>
        <v/>
      </c>
      <c r="D141" s="132" t="str">
        <f aca="false">IF('Leslie Toole'!$B21="","",'Leslie Toole'!$D21)</f>
        <v/>
      </c>
      <c r="E141" s="132" t="str">
        <f aca="false">IF('Leslie Toole'!$B21="","",'Leslie Toole'!$E21)</f>
        <v/>
      </c>
      <c r="F141" s="132" t="str">
        <f aca="false">IF('Leslie Toole'!$B21="","",'Leslie Toole'!$F21)</f>
        <v/>
      </c>
      <c r="G141" s="132" t="str">
        <f aca="false">IF('Leslie Toole'!$B21="","",'Leslie Toole'!$G21)</f>
        <v/>
      </c>
      <c r="H141" s="131" t="str">
        <f aca="false">IF('Leslie Toole'!$B21="","",'Leslie Toole'!$H21)</f>
        <v/>
      </c>
      <c r="I141" s="131" t="str">
        <f aca="false">IF('Leslie Toole'!$B21="","",'Leslie Toole'!$I21)</f>
        <v/>
      </c>
      <c r="J141" s="133" t="str">
        <f aca="false">IF('Leslie Toole'!$B21="","",'Leslie Toole'!$J21)</f>
        <v/>
      </c>
      <c r="K141" s="134" t="str">
        <f aca="false">IF('Leslie Toole'!$B21="","",'Leslie Toole'!$K21)</f>
        <v/>
      </c>
      <c r="L141" s="134" t="str">
        <f aca="false">IF('Leslie Toole'!$B21="","",'Leslie Toole'!$L21)</f>
        <v/>
      </c>
      <c r="M141" s="132" t="str">
        <f aca="false">IF('Leslie Toole'!$B21="","",'Leslie Toole'!$M21)</f>
        <v/>
      </c>
      <c r="N141" s="132" t="str">
        <f aca="false">IF('Leslie Toole'!$B21="","",'Leslie Toole'!$N21)</f>
        <v/>
      </c>
      <c r="O141" s="134" t="str">
        <f aca="false">IF('Leslie Toole'!$B21="","",'Leslie Toole'!$O21)</f>
        <v/>
      </c>
      <c r="P141" s="132" t="str">
        <f aca="false">IF('Leslie Toole'!$B21="","",'Leslie Toole'!$P21)</f>
        <v/>
      </c>
      <c r="Q141" s="131" t="str">
        <f aca="false">IF('Leslie Toole'!$B21="","","Leslie Toole")</f>
        <v/>
      </c>
      <c r="R141" s="131" t="n">
        <f aca="true">IF(OR($B141="",$I141="Complete",$L141=""),0,IF($L141&lt;TODAY(),1,0))</f>
        <v>0</v>
      </c>
      <c r="S141" s="131" t="n">
        <f aca="true">IF(OR($B141="",$I141="Complete",$L141=""),0,IF(AND($L141&gt;=TODAY(),$L141&lt;=TODAY()+7),1,0))</f>
        <v>0</v>
      </c>
      <c r="T141" s="131" t="str">
        <f aca="true">IF(OR($B141="",$L141=""),"",$L141-TODAY())</f>
        <v/>
      </c>
      <c r="U141" s="135" t="str">
        <f aca="false">IF($B141="","",IF($I141="Complete",1,IF($J141="",0,$J141)))</f>
        <v/>
      </c>
      <c r="V141" s="131" t="n">
        <f aca="false">IF($B141="",0,IF($N141="",0,1))</f>
        <v>0</v>
      </c>
      <c r="W141" s="131" t="n">
        <f aca="false">IF($B141="",0,1)</f>
        <v>0</v>
      </c>
    </row>
    <row r="142" customFormat="false" ht="15" hidden="false" customHeight="false" outlineLevel="0" collapsed="false">
      <c r="A142" s="131" t="str">
        <f aca="false">IF('Leslie Toole'!$B22="","",'Leslie Toole'!$A22)</f>
        <v/>
      </c>
      <c r="B142" s="131" t="str">
        <f aca="false">IF('Leslie Toole'!$B22="","",'Leslie Toole'!$B22)</f>
        <v/>
      </c>
      <c r="C142" s="132" t="str">
        <f aca="false">IF('Leslie Toole'!$B22="","",'Leslie Toole'!$C22)</f>
        <v/>
      </c>
      <c r="D142" s="132" t="str">
        <f aca="false">IF('Leslie Toole'!$B22="","",'Leslie Toole'!$D22)</f>
        <v/>
      </c>
      <c r="E142" s="132" t="str">
        <f aca="false">IF('Leslie Toole'!$B22="","",'Leslie Toole'!$E22)</f>
        <v/>
      </c>
      <c r="F142" s="132" t="str">
        <f aca="false">IF('Leslie Toole'!$B22="","",'Leslie Toole'!$F22)</f>
        <v/>
      </c>
      <c r="G142" s="132" t="str">
        <f aca="false">IF('Leslie Toole'!$B22="","",'Leslie Toole'!$G22)</f>
        <v/>
      </c>
      <c r="H142" s="131" t="str">
        <f aca="false">IF('Leslie Toole'!$B22="","",'Leslie Toole'!$H22)</f>
        <v/>
      </c>
      <c r="I142" s="131" t="str">
        <f aca="false">IF('Leslie Toole'!$B22="","",'Leslie Toole'!$I22)</f>
        <v/>
      </c>
      <c r="J142" s="133" t="str">
        <f aca="false">IF('Leslie Toole'!$B22="","",'Leslie Toole'!$J22)</f>
        <v/>
      </c>
      <c r="K142" s="134" t="str">
        <f aca="false">IF('Leslie Toole'!$B22="","",'Leslie Toole'!$K22)</f>
        <v/>
      </c>
      <c r="L142" s="134" t="str">
        <f aca="false">IF('Leslie Toole'!$B22="","",'Leslie Toole'!$L22)</f>
        <v/>
      </c>
      <c r="M142" s="132" t="str">
        <f aca="false">IF('Leslie Toole'!$B22="","",'Leslie Toole'!$M22)</f>
        <v/>
      </c>
      <c r="N142" s="132" t="str">
        <f aca="false">IF('Leslie Toole'!$B22="","",'Leslie Toole'!$N22)</f>
        <v/>
      </c>
      <c r="O142" s="134" t="str">
        <f aca="false">IF('Leslie Toole'!$B22="","",'Leslie Toole'!$O22)</f>
        <v/>
      </c>
      <c r="P142" s="132" t="str">
        <f aca="false">IF('Leslie Toole'!$B22="","",'Leslie Toole'!$P22)</f>
        <v/>
      </c>
      <c r="Q142" s="131" t="str">
        <f aca="false">IF('Leslie Toole'!$B22="","","Leslie Toole")</f>
        <v/>
      </c>
      <c r="R142" s="131" t="n">
        <f aca="true">IF(OR($B142="",$I142="Complete",$L142=""),0,IF($L142&lt;TODAY(),1,0))</f>
        <v>0</v>
      </c>
      <c r="S142" s="131" t="n">
        <f aca="true">IF(OR($B142="",$I142="Complete",$L142=""),0,IF(AND($L142&gt;=TODAY(),$L142&lt;=TODAY()+7),1,0))</f>
        <v>0</v>
      </c>
      <c r="T142" s="131" t="str">
        <f aca="true">IF(OR($B142="",$L142=""),"",$L142-TODAY())</f>
        <v/>
      </c>
      <c r="U142" s="135" t="str">
        <f aca="false">IF($B142="","",IF($I142="Complete",1,IF($J142="",0,$J142)))</f>
        <v/>
      </c>
      <c r="V142" s="131" t="n">
        <f aca="false">IF($B142="",0,IF($N142="",0,1))</f>
        <v>0</v>
      </c>
      <c r="W142" s="131" t="n">
        <f aca="false">IF($B142="",0,1)</f>
        <v>0</v>
      </c>
    </row>
    <row r="143" customFormat="false" ht="15" hidden="false" customHeight="false" outlineLevel="0" collapsed="false">
      <c r="A143" s="131" t="str">
        <f aca="false">IF('Leslie Toole'!$B23="","",'Leslie Toole'!$A23)</f>
        <v/>
      </c>
      <c r="B143" s="131" t="str">
        <f aca="false">IF('Leslie Toole'!$B23="","",'Leslie Toole'!$B23)</f>
        <v/>
      </c>
      <c r="C143" s="132" t="str">
        <f aca="false">IF('Leslie Toole'!$B23="","",'Leslie Toole'!$C23)</f>
        <v/>
      </c>
      <c r="D143" s="132" t="str">
        <f aca="false">IF('Leslie Toole'!$B23="","",'Leslie Toole'!$D23)</f>
        <v/>
      </c>
      <c r="E143" s="132" t="str">
        <f aca="false">IF('Leslie Toole'!$B23="","",'Leslie Toole'!$E23)</f>
        <v/>
      </c>
      <c r="F143" s="132" t="str">
        <f aca="false">IF('Leslie Toole'!$B23="","",'Leslie Toole'!$F23)</f>
        <v/>
      </c>
      <c r="G143" s="132" t="str">
        <f aca="false">IF('Leslie Toole'!$B23="","",'Leslie Toole'!$G23)</f>
        <v/>
      </c>
      <c r="H143" s="131" t="str">
        <f aca="false">IF('Leslie Toole'!$B23="","",'Leslie Toole'!$H23)</f>
        <v/>
      </c>
      <c r="I143" s="131" t="str">
        <f aca="false">IF('Leslie Toole'!$B23="","",'Leslie Toole'!$I23)</f>
        <v/>
      </c>
      <c r="J143" s="133" t="str">
        <f aca="false">IF('Leslie Toole'!$B23="","",'Leslie Toole'!$J23)</f>
        <v/>
      </c>
      <c r="K143" s="134" t="str">
        <f aca="false">IF('Leslie Toole'!$B23="","",'Leslie Toole'!$K23)</f>
        <v/>
      </c>
      <c r="L143" s="134" t="str">
        <f aca="false">IF('Leslie Toole'!$B23="","",'Leslie Toole'!$L23)</f>
        <v/>
      </c>
      <c r="M143" s="132" t="str">
        <f aca="false">IF('Leslie Toole'!$B23="","",'Leslie Toole'!$M23)</f>
        <v/>
      </c>
      <c r="N143" s="132" t="str">
        <f aca="false">IF('Leslie Toole'!$B23="","",'Leslie Toole'!$N23)</f>
        <v/>
      </c>
      <c r="O143" s="134" t="str">
        <f aca="false">IF('Leslie Toole'!$B23="","",'Leslie Toole'!$O23)</f>
        <v/>
      </c>
      <c r="P143" s="132" t="str">
        <f aca="false">IF('Leslie Toole'!$B23="","",'Leslie Toole'!$P23)</f>
        <v/>
      </c>
      <c r="Q143" s="131" t="str">
        <f aca="false">IF('Leslie Toole'!$B23="","","Leslie Toole")</f>
        <v/>
      </c>
      <c r="R143" s="131" t="n">
        <f aca="true">IF(OR($B143="",$I143="Complete",$L143=""),0,IF($L143&lt;TODAY(),1,0))</f>
        <v>0</v>
      </c>
      <c r="S143" s="131" t="n">
        <f aca="true">IF(OR($B143="",$I143="Complete",$L143=""),0,IF(AND($L143&gt;=TODAY(),$L143&lt;=TODAY()+7),1,0))</f>
        <v>0</v>
      </c>
      <c r="T143" s="131" t="str">
        <f aca="true">IF(OR($B143="",$L143=""),"",$L143-TODAY())</f>
        <v/>
      </c>
      <c r="U143" s="135" t="str">
        <f aca="false">IF($B143="","",IF($I143="Complete",1,IF($J143="",0,$J143)))</f>
        <v/>
      </c>
      <c r="V143" s="131" t="n">
        <f aca="false">IF($B143="",0,IF($N143="",0,1))</f>
        <v>0</v>
      </c>
      <c r="W143" s="131" t="n">
        <f aca="false">IF($B143="",0,1)</f>
        <v>0</v>
      </c>
    </row>
    <row r="144" customFormat="false" ht="15" hidden="false" customHeight="false" outlineLevel="0" collapsed="false">
      <c r="A144" s="131" t="str">
        <f aca="false">IF('Leslie Toole'!$B24="","",'Leslie Toole'!$A24)</f>
        <v/>
      </c>
      <c r="B144" s="131" t="str">
        <f aca="false">IF('Leslie Toole'!$B24="","",'Leslie Toole'!$B24)</f>
        <v/>
      </c>
      <c r="C144" s="132" t="str">
        <f aca="false">IF('Leslie Toole'!$B24="","",'Leslie Toole'!$C24)</f>
        <v/>
      </c>
      <c r="D144" s="132" t="str">
        <f aca="false">IF('Leslie Toole'!$B24="","",'Leslie Toole'!$D24)</f>
        <v/>
      </c>
      <c r="E144" s="132" t="str">
        <f aca="false">IF('Leslie Toole'!$B24="","",'Leslie Toole'!$E24)</f>
        <v/>
      </c>
      <c r="F144" s="132" t="str">
        <f aca="false">IF('Leslie Toole'!$B24="","",'Leslie Toole'!$F24)</f>
        <v/>
      </c>
      <c r="G144" s="132" t="str">
        <f aca="false">IF('Leslie Toole'!$B24="","",'Leslie Toole'!$G24)</f>
        <v/>
      </c>
      <c r="H144" s="131" t="str">
        <f aca="false">IF('Leslie Toole'!$B24="","",'Leslie Toole'!$H24)</f>
        <v/>
      </c>
      <c r="I144" s="131" t="str">
        <f aca="false">IF('Leslie Toole'!$B24="","",'Leslie Toole'!$I24)</f>
        <v/>
      </c>
      <c r="J144" s="133" t="str">
        <f aca="false">IF('Leslie Toole'!$B24="","",'Leslie Toole'!$J24)</f>
        <v/>
      </c>
      <c r="K144" s="134" t="str">
        <f aca="false">IF('Leslie Toole'!$B24="","",'Leslie Toole'!$K24)</f>
        <v/>
      </c>
      <c r="L144" s="134" t="str">
        <f aca="false">IF('Leslie Toole'!$B24="","",'Leslie Toole'!$L24)</f>
        <v/>
      </c>
      <c r="M144" s="132" t="str">
        <f aca="false">IF('Leslie Toole'!$B24="","",'Leslie Toole'!$M24)</f>
        <v/>
      </c>
      <c r="N144" s="132" t="str">
        <f aca="false">IF('Leslie Toole'!$B24="","",'Leslie Toole'!$N24)</f>
        <v/>
      </c>
      <c r="O144" s="134" t="str">
        <f aca="false">IF('Leslie Toole'!$B24="","",'Leslie Toole'!$O24)</f>
        <v/>
      </c>
      <c r="P144" s="132" t="str">
        <f aca="false">IF('Leslie Toole'!$B24="","",'Leslie Toole'!$P24)</f>
        <v/>
      </c>
      <c r="Q144" s="131" t="str">
        <f aca="false">IF('Leslie Toole'!$B24="","","Leslie Toole")</f>
        <v/>
      </c>
      <c r="R144" s="131" t="n">
        <f aca="true">IF(OR($B144="",$I144="Complete",$L144=""),0,IF($L144&lt;TODAY(),1,0))</f>
        <v>0</v>
      </c>
      <c r="S144" s="131" t="n">
        <f aca="true">IF(OR($B144="",$I144="Complete",$L144=""),0,IF(AND($L144&gt;=TODAY(),$L144&lt;=TODAY()+7),1,0))</f>
        <v>0</v>
      </c>
      <c r="T144" s="131" t="str">
        <f aca="true">IF(OR($B144="",$L144=""),"",$L144-TODAY())</f>
        <v/>
      </c>
      <c r="U144" s="135" t="str">
        <f aca="false">IF($B144="","",IF($I144="Complete",1,IF($J144="",0,$J144)))</f>
        <v/>
      </c>
      <c r="V144" s="131" t="n">
        <f aca="false">IF($B144="",0,IF($N144="",0,1))</f>
        <v>0</v>
      </c>
      <c r="W144" s="131" t="n">
        <f aca="false">IF($B144="",0,1)</f>
        <v>0</v>
      </c>
    </row>
    <row r="145" customFormat="false" ht="15" hidden="false" customHeight="false" outlineLevel="0" collapsed="false">
      <c r="A145" s="131" t="str">
        <f aca="false">IF('Leslie Toole'!$B25="","",'Leslie Toole'!$A25)</f>
        <v/>
      </c>
      <c r="B145" s="131" t="str">
        <f aca="false">IF('Leslie Toole'!$B25="","",'Leslie Toole'!$B25)</f>
        <v/>
      </c>
      <c r="C145" s="132" t="str">
        <f aca="false">IF('Leslie Toole'!$B25="","",'Leslie Toole'!$C25)</f>
        <v/>
      </c>
      <c r="D145" s="132" t="str">
        <f aca="false">IF('Leslie Toole'!$B25="","",'Leslie Toole'!$D25)</f>
        <v/>
      </c>
      <c r="E145" s="132" t="str">
        <f aca="false">IF('Leslie Toole'!$B25="","",'Leslie Toole'!$E25)</f>
        <v/>
      </c>
      <c r="F145" s="132" t="str">
        <f aca="false">IF('Leslie Toole'!$B25="","",'Leslie Toole'!$F25)</f>
        <v/>
      </c>
      <c r="G145" s="132" t="str">
        <f aca="false">IF('Leslie Toole'!$B25="","",'Leslie Toole'!$G25)</f>
        <v/>
      </c>
      <c r="H145" s="131" t="str">
        <f aca="false">IF('Leslie Toole'!$B25="","",'Leslie Toole'!$H25)</f>
        <v/>
      </c>
      <c r="I145" s="131" t="str">
        <f aca="false">IF('Leslie Toole'!$B25="","",'Leslie Toole'!$I25)</f>
        <v/>
      </c>
      <c r="J145" s="133" t="str">
        <f aca="false">IF('Leslie Toole'!$B25="","",'Leslie Toole'!$J25)</f>
        <v/>
      </c>
      <c r="K145" s="134" t="str">
        <f aca="false">IF('Leslie Toole'!$B25="","",'Leslie Toole'!$K25)</f>
        <v/>
      </c>
      <c r="L145" s="134" t="str">
        <f aca="false">IF('Leslie Toole'!$B25="","",'Leslie Toole'!$L25)</f>
        <v/>
      </c>
      <c r="M145" s="132" t="str">
        <f aca="false">IF('Leslie Toole'!$B25="","",'Leslie Toole'!$M25)</f>
        <v/>
      </c>
      <c r="N145" s="132" t="str">
        <f aca="false">IF('Leslie Toole'!$B25="","",'Leslie Toole'!$N25)</f>
        <v/>
      </c>
      <c r="O145" s="134" t="str">
        <f aca="false">IF('Leslie Toole'!$B25="","",'Leslie Toole'!$O25)</f>
        <v/>
      </c>
      <c r="P145" s="132" t="str">
        <f aca="false">IF('Leslie Toole'!$B25="","",'Leslie Toole'!$P25)</f>
        <v/>
      </c>
      <c r="Q145" s="131" t="str">
        <f aca="false">IF('Leslie Toole'!$B25="","","Leslie Toole")</f>
        <v/>
      </c>
      <c r="R145" s="131" t="n">
        <f aca="true">IF(OR($B145="",$I145="Complete",$L145=""),0,IF($L145&lt;TODAY(),1,0))</f>
        <v>0</v>
      </c>
      <c r="S145" s="131" t="n">
        <f aca="true">IF(OR($B145="",$I145="Complete",$L145=""),0,IF(AND($L145&gt;=TODAY(),$L145&lt;=TODAY()+7),1,0))</f>
        <v>0</v>
      </c>
      <c r="T145" s="131" t="str">
        <f aca="true">IF(OR($B145="",$L145=""),"",$L145-TODAY())</f>
        <v/>
      </c>
      <c r="U145" s="135" t="str">
        <f aca="false">IF($B145="","",IF($I145="Complete",1,IF($J145="",0,$J145)))</f>
        <v/>
      </c>
      <c r="V145" s="131" t="n">
        <f aca="false">IF($B145="",0,IF($N145="",0,1))</f>
        <v>0</v>
      </c>
      <c r="W145" s="131" t="n">
        <f aca="false">IF($B145="",0,1)</f>
        <v>0</v>
      </c>
    </row>
    <row r="146" customFormat="false" ht="15" hidden="false" customHeight="false" outlineLevel="0" collapsed="false">
      <c r="A146" s="131" t="str">
        <f aca="false">IF('Leslie Toole'!$B26="","",'Leslie Toole'!$A26)</f>
        <v/>
      </c>
      <c r="B146" s="131" t="str">
        <f aca="false">IF('Leslie Toole'!$B26="","",'Leslie Toole'!$B26)</f>
        <v/>
      </c>
      <c r="C146" s="132" t="str">
        <f aca="false">IF('Leslie Toole'!$B26="","",'Leslie Toole'!$C26)</f>
        <v/>
      </c>
      <c r="D146" s="132" t="str">
        <f aca="false">IF('Leslie Toole'!$B26="","",'Leslie Toole'!$D26)</f>
        <v/>
      </c>
      <c r="E146" s="132" t="str">
        <f aca="false">IF('Leslie Toole'!$B26="","",'Leslie Toole'!$E26)</f>
        <v/>
      </c>
      <c r="F146" s="132" t="str">
        <f aca="false">IF('Leslie Toole'!$B26="","",'Leslie Toole'!$F26)</f>
        <v/>
      </c>
      <c r="G146" s="132" t="str">
        <f aca="false">IF('Leslie Toole'!$B26="","",'Leslie Toole'!$G26)</f>
        <v/>
      </c>
      <c r="H146" s="131" t="str">
        <f aca="false">IF('Leslie Toole'!$B26="","",'Leslie Toole'!$H26)</f>
        <v/>
      </c>
      <c r="I146" s="131" t="str">
        <f aca="false">IF('Leslie Toole'!$B26="","",'Leslie Toole'!$I26)</f>
        <v/>
      </c>
      <c r="J146" s="133" t="str">
        <f aca="false">IF('Leslie Toole'!$B26="","",'Leslie Toole'!$J26)</f>
        <v/>
      </c>
      <c r="K146" s="134" t="str">
        <f aca="false">IF('Leslie Toole'!$B26="","",'Leslie Toole'!$K26)</f>
        <v/>
      </c>
      <c r="L146" s="134" t="str">
        <f aca="false">IF('Leslie Toole'!$B26="","",'Leslie Toole'!$L26)</f>
        <v/>
      </c>
      <c r="M146" s="132" t="str">
        <f aca="false">IF('Leslie Toole'!$B26="","",'Leslie Toole'!$M26)</f>
        <v/>
      </c>
      <c r="N146" s="132" t="str">
        <f aca="false">IF('Leslie Toole'!$B26="","",'Leslie Toole'!$N26)</f>
        <v/>
      </c>
      <c r="O146" s="134" t="str">
        <f aca="false">IF('Leslie Toole'!$B26="","",'Leslie Toole'!$O26)</f>
        <v/>
      </c>
      <c r="P146" s="132" t="str">
        <f aca="false">IF('Leslie Toole'!$B26="","",'Leslie Toole'!$P26)</f>
        <v/>
      </c>
      <c r="Q146" s="131" t="str">
        <f aca="false">IF('Leslie Toole'!$B26="","","Leslie Toole")</f>
        <v/>
      </c>
      <c r="R146" s="131" t="n">
        <f aca="true">IF(OR($B146="",$I146="Complete",$L146=""),0,IF($L146&lt;TODAY(),1,0))</f>
        <v>0</v>
      </c>
      <c r="S146" s="131" t="n">
        <f aca="true">IF(OR($B146="",$I146="Complete",$L146=""),0,IF(AND($L146&gt;=TODAY(),$L146&lt;=TODAY()+7),1,0))</f>
        <v>0</v>
      </c>
      <c r="T146" s="131" t="str">
        <f aca="true">IF(OR($B146="",$L146=""),"",$L146-TODAY())</f>
        <v/>
      </c>
      <c r="U146" s="135" t="str">
        <f aca="false">IF($B146="","",IF($I146="Complete",1,IF($J146="",0,$J146)))</f>
        <v/>
      </c>
      <c r="V146" s="131" t="n">
        <f aca="false">IF($B146="",0,IF($N146="",0,1))</f>
        <v>0</v>
      </c>
      <c r="W146" s="131" t="n">
        <f aca="false">IF($B146="",0,1)</f>
        <v>0</v>
      </c>
    </row>
    <row r="147" customFormat="false" ht="15" hidden="false" customHeight="false" outlineLevel="0" collapsed="false">
      <c r="A147" s="131" t="str">
        <f aca="false">IF('Leslie Toole'!$B27="","",'Leslie Toole'!$A27)</f>
        <v/>
      </c>
      <c r="B147" s="131" t="str">
        <f aca="false">IF('Leslie Toole'!$B27="","",'Leslie Toole'!$B27)</f>
        <v/>
      </c>
      <c r="C147" s="132" t="str">
        <f aca="false">IF('Leslie Toole'!$B27="","",'Leslie Toole'!$C27)</f>
        <v/>
      </c>
      <c r="D147" s="132" t="str">
        <f aca="false">IF('Leslie Toole'!$B27="","",'Leslie Toole'!$D27)</f>
        <v/>
      </c>
      <c r="E147" s="132" t="str">
        <f aca="false">IF('Leslie Toole'!$B27="","",'Leslie Toole'!$E27)</f>
        <v/>
      </c>
      <c r="F147" s="132" t="str">
        <f aca="false">IF('Leslie Toole'!$B27="","",'Leslie Toole'!$F27)</f>
        <v/>
      </c>
      <c r="G147" s="132" t="str">
        <f aca="false">IF('Leslie Toole'!$B27="","",'Leslie Toole'!$G27)</f>
        <v/>
      </c>
      <c r="H147" s="131" t="str">
        <f aca="false">IF('Leslie Toole'!$B27="","",'Leslie Toole'!$H27)</f>
        <v/>
      </c>
      <c r="I147" s="131" t="str">
        <f aca="false">IF('Leslie Toole'!$B27="","",'Leslie Toole'!$I27)</f>
        <v/>
      </c>
      <c r="J147" s="133" t="str">
        <f aca="false">IF('Leslie Toole'!$B27="","",'Leslie Toole'!$J27)</f>
        <v/>
      </c>
      <c r="K147" s="134" t="str">
        <f aca="false">IF('Leslie Toole'!$B27="","",'Leslie Toole'!$K27)</f>
        <v/>
      </c>
      <c r="L147" s="134" t="str">
        <f aca="false">IF('Leslie Toole'!$B27="","",'Leslie Toole'!$L27)</f>
        <v/>
      </c>
      <c r="M147" s="132" t="str">
        <f aca="false">IF('Leslie Toole'!$B27="","",'Leslie Toole'!$M27)</f>
        <v/>
      </c>
      <c r="N147" s="132" t="str">
        <f aca="false">IF('Leslie Toole'!$B27="","",'Leslie Toole'!$N27)</f>
        <v/>
      </c>
      <c r="O147" s="134" t="str">
        <f aca="false">IF('Leslie Toole'!$B27="","",'Leslie Toole'!$O27)</f>
        <v/>
      </c>
      <c r="P147" s="132" t="str">
        <f aca="false">IF('Leslie Toole'!$B27="","",'Leslie Toole'!$P27)</f>
        <v/>
      </c>
      <c r="Q147" s="131" t="str">
        <f aca="false">IF('Leslie Toole'!$B27="","","Leslie Toole")</f>
        <v/>
      </c>
      <c r="R147" s="131" t="n">
        <f aca="true">IF(OR($B147="",$I147="Complete",$L147=""),0,IF($L147&lt;TODAY(),1,0))</f>
        <v>0</v>
      </c>
      <c r="S147" s="131" t="n">
        <f aca="true">IF(OR($B147="",$I147="Complete",$L147=""),0,IF(AND($L147&gt;=TODAY(),$L147&lt;=TODAY()+7),1,0))</f>
        <v>0</v>
      </c>
      <c r="T147" s="131" t="str">
        <f aca="true">IF(OR($B147="",$L147=""),"",$L147-TODAY())</f>
        <v/>
      </c>
      <c r="U147" s="135" t="str">
        <f aca="false">IF($B147="","",IF($I147="Complete",1,IF($J147="",0,$J147)))</f>
        <v/>
      </c>
      <c r="V147" s="131" t="n">
        <f aca="false">IF($B147="",0,IF($N147="",0,1))</f>
        <v>0</v>
      </c>
      <c r="W147" s="131" t="n">
        <f aca="false">IF($B147="",0,1)</f>
        <v>0</v>
      </c>
    </row>
    <row r="148" customFormat="false" ht="15" hidden="false" customHeight="false" outlineLevel="0" collapsed="false">
      <c r="A148" s="131" t="str">
        <f aca="false">IF('Leslie Toole'!$B28="","",'Leslie Toole'!$A28)</f>
        <v/>
      </c>
      <c r="B148" s="131" t="str">
        <f aca="false">IF('Leslie Toole'!$B28="","",'Leslie Toole'!$B28)</f>
        <v/>
      </c>
      <c r="C148" s="132" t="str">
        <f aca="false">IF('Leslie Toole'!$B28="","",'Leslie Toole'!$C28)</f>
        <v/>
      </c>
      <c r="D148" s="132" t="str">
        <f aca="false">IF('Leslie Toole'!$B28="","",'Leslie Toole'!$D28)</f>
        <v/>
      </c>
      <c r="E148" s="132" t="str">
        <f aca="false">IF('Leslie Toole'!$B28="","",'Leslie Toole'!$E28)</f>
        <v/>
      </c>
      <c r="F148" s="132" t="str">
        <f aca="false">IF('Leslie Toole'!$B28="","",'Leslie Toole'!$F28)</f>
        <v/>
      </c>
      <c r="G148" s="132" t="str">
        <f aca="false">IF('Leslie Toole'!$B28="","",'Leslie Toole'!$G28)</f>
        <v/>
      </c>
      <c r="H148" s="131" t="str">
        <f aca="false">IF('Leslie Toole'!$B28="","",'Leslie Toole'!$H28)</f>
        <v/>
      </c>
      <c r="I148" s="131" t="str">
        <f aca="false">IF('Leslie Toole'!$B28="","",'Leslie Toole'!$I28)</f>
        <v/>
      </c>
      <c r="J148" s="133" t="str">
        <f aca="false">IF('Leslie Toole'!$B28="","",'Leslie Toole'!$J28)</f>
        <v/>
      </c>
      <c r="K148" s="134" t="str">
        <f aca="false">IF('Leslie Toole'!$B28="","",'Leslie Toole'!$K28)</f>
        <v/>
      </c>
      <c r="L148" s="134" t="str">
        <f aca="false">IF('Leslie Toole'!$B28="","",'Leslie Toole'!$L28)</f>
        <v/>
      </c>
      <c r="M148" s="132" t="str">
        <f aca="false">IF('Leslie Toole'!$B28="","",'Leslie Toole'!$M28)</f>
        <v/>
      </c>
      <c r="N148" s="132" t="str">
        <f aca="false">IF('Leslie Toole'!$B28="","",'Leslie Toole'!$N28)</f>
        <v/>
      </c>
      <c r="O148" s="134" t="str">
        <f aca="false">IF('Leslie Toole'!$B28="","",'Leslie Toole'!$O28)</f>
        <v/>
      </c>
      <c r="P148" s="132" t="str">
        <f aca="false">IF('Leslie Toole'!$B28="","",'Leslie Toole'!$P28)</f>
        <v/>
      </c>
      <c r="Q148" s="131" t="str">
        <f aca="false">IF('Leslie Toole'!$B28="","","Leslie Toole")</f>
        <v/>
      </c>
      <c r="R148" s="131" t="n">
        <f aca="true">IF(OR($B148="",$I148="Complete",$L148=""),0,IF($L148&lt;TODAY(),1,0))</f>
        <v>0</v>
      </c>
      <c r="S148" s="131" t="n">
        <f aca="true">IF(OR($B148="",$I148="Complete",$L148=""),0,IF(AND($L148&gt;=TODAY(),$L148&lt;=TODAY()+7),1,0))</f>
        <v>0</v>
      </c>
      <c r="T148" s="131" t="str">
        <f aca="true">IF(OR($B148="",$L148=""),"",$L148-TODAY())</f>
        <v/>
      </c>
      <c r="U148" s="135" t="str">
        <f aca="false">IF($B148="","",IF($I148="Complete",1,IF($J148="",0,$J148)))</f>
        <v/>
      </c>
      <c r="V148" s="131" t="n">
        <f aca="false">IF($B148="",0,IF($N148="",0,1))</f>
        <v>0</v>
      </c>
      <c r="W148" s="131" t="n">
        <f aca="false">IF($B148="",0,1)</f>
        <v>0</v>
      </c>
    </row>
    <row r="149" customFormat="false" ht="15" hidden="false" customHeight="false" outlineLevel="0" collapsed="false">
      <c r="A149" s="131" t="str">
        <f aca="false">IF('Leslie Toole'!$B29="","",'Leslie Toole'!$A29)</f>
        <v/>
      </c>
      <c r="B149" s="131" t="str">
        <f aca="false">IF('Leslie Toole'!$B29="","",'Leslie Toole'!$B29)</f>
        <v/>
      </c>
      <c r="C149" s="132" t="str">
        <f aca="false">IF('Leslie Toole'!$B29="","",'Leslie Toole'!$C29)</f>
        <v/>
      </c>
      <c r="D149" s="132" t="str">
        <f aca="false">IF('Leslie Toole'!$B29="","",'Leslie Toole'!$D29)</f>
        <v/>
      </c>
      <c r="E149" s="132" t="str">
        <f aca="false">IF('Leslie Toole'!$B29="","",'Leslie Toole'!$E29)</f>
        <v/>
      </c>
      <c r="F149" s="132" t="str">
        <f aca="false">IF('Leslie Toole'!$B29="","",'Leslie Toole'!$F29)</f>
        <v/>
      </c>
      <c r="G149" s="132" t="str">
        <f aca="false">IF('Leslie Toole'!$B29="","",'Leslie Toole'!$G29)</f>
        <v/>
      </c>
      <c r="H149" s="131" t="str">
        <f aca="false">IF('Leslie Toole'!$B29="","",'Leslie Toole'!$H29)</f>
        <v/>
      </c>
      <c r="I149" s="131" t="str">
        <f aca="false">IF('Leslie Toole'!$B29="","",'Leslie Toole'!$I29)</f>
        <v/>
      </c>
      <c r="J149" s="133" t="str">
        <f aca="false">IF('Leslie Toole'!$B29="","",'Leslie Toole'!$J29)</f>
        <v/>
      </c>
      <c r="K149" s="134" t="str">
        <f aca="false">IF('Leslie Toole'!$B29="","",'Leslie Toole'!$K29)</f>
        <v/>
      </c>
      <c r="L149" s="134" t="str">
        <f aca="false">IF('Leslie Toole'!$B29="","",'Leslie Toole'!$L29)</f>
        <v/>
      </c>
      <c r="M149" s="132" t="str">
        <f aca="false">IF('Leslie Toole'!$B29="","",'Leslie Toole'!$M29)</f>
        <v/>
      </c>
      <c r="N149" s="132" t="str">
        <f aca="false">IF('Leslie Toole'!$B29="","",'Leslie Toole'!$N29)</f>
        <v/>
      </c>
      <c r="O149" s="134" t="str">
        <f aca="false">IF('Leslie Toole'!$B29="","",'Leslie Toole'!$O29)</f>
        <v/>
      </c>
      <c r="P149" s="132" t="str">
        <f aca="false">IF('Leslie Toole'!$B29="","",'Leslie Toole'!$P29)</f>
        <v/>
      </c>
      <c r="Q149" s="131" t="str">
        <f aca="false">IF('Leslie Toole'!$B29="","","Leslie Toole")</f>
        <v/>
      </c>
      <c r="R149" s="131" t="n">
        <f aca="true">IF(OR($B149="",$I149="Complete",$L149=""),0,IF($L149&lt;TODAY(),1,0))</f>
        <v>0</v>
      </c>
      <c r="S149" s="131" t="n">
        <f aca="true">IF(OR($B149="",$I149="Complete",$L149=""),0,IF(AND($L149&gt;=TODAY(),$L149&lt;=TODAY()+7),1,0))</f>
        <v>0</v>
      </c>
      <c r="T149" s="131" t="str">
        <f aca="true">IF(OR($B149="",$L149=""),"",$L149-TODAY())</f>
        <v/>
      </c>
      <c r="U149" s="135" t="str">
        <f aca="false">IF($B149="","",IF($I149="Complete",1,IF($J149="",0,$J149)))</f>
        <v/>
      </c>
      <c r="V149" s="131" t="n">
        <f aca="false">IF($B149="",0,IF($N149="",0,1))</f>
        <v>0</v>
      </c>
      <c r="W149" s="131" t="n">
        <f aca="false">IF($B149="",0,1)</f>
        <v>0</v>
      </c>
    </row>
    <row r="150" customFormat="false" ht="15" hidden="false" customHeight="false" outlineLevel="0" collapsed="false">
      <c r="A150" s="131" t="str">
        <f aca="false">IF('Leslie Toole'!$B30="","",'Leslie Toole'!$A30)</f>
        <v/>
      </c>
      <c r="B150" s="131" t="str">
        <f aca="false">IF('Leslie Toole'!$B30="","",'Leslie Toole'!$B30)</f>
        <v/>
      </c>
      <c r="C150" s="132" t="str">
        <f aca="false">IF('Leslie Toole'!$B30="","",'Leslie Toole'!$C30)</f>
        <v/>
      </c>
      <c r="D150" s="132" t="str">
        <f aca="false">IF('Leslie Toole'!$B30="","",'Leslie Toole'!$D30)</f>
        <v/>
      </c>
      <c r="E150" s="132" t="str">
        <f aca="false">IF('Leslie Toole'!$B30="","",'Leslie Toole'!$E30)</f>
        <v/>
      </c>
      <c r="F150" s="132" t="str">
        <f aca="false">IF('Leslie Toole'!$B30="","",'Leslie Toole'!$F30)</f>
        <v/>
      </c>
      <c r="G150" s="132" t="str">
        <f aca="false">IF('Leslie Toole'!$B30="","",'Leslie Toole'!$G30)</f>
        <v/>
      </c>
      <c r="H150" s="131" t="str">
        <f aca="false">IF('Leslie Toole'!$B30="","",'Leslie Toole'!$H30)</f>
        <v/>
      </c>
      <c r="I150" s="131" t="str">
        <f aca="false">IF('Leslie Toole'!$B30="","",'Leslie Toole'!$I30)</f>
        <v/>
      </c>
      <c r="J150" s="133" t="str">
        <f aca="false">IF('Leslie Toole'!$B30="","",'Leslie Toole'!$J30)</f>
        <v/>
      </c>
      <c r="K150" s="134" t="str">
        <f aca="false">IF('Leslie Toole'!$B30="","",'Leslie Toole'!$K30)</f>
        <v/>
      </c>
      <c r="L150" s="134" t="str">
        <f aca="false">IF('Leslie Toole'!$B30="","",'Leslie Toole'!$L30)</f>
        <v/>
      </c>
      <c r="M150" s="132" t="str">
        <f aca="false">IF('Leslie Toole'!$B30="","",'Leslie Toole'!$M30)</f>
        <v/>
      </c>
      <c r="N150" s="132" t="str">
        <f aca="false">IF('Leslie Toole'!$B30="","",'Leslie Toole'!$N30)</f>
        <v/>
      </c>
      <c r="O150" s="134" t="str">
        <f aca="false">IF('Leslie Toole'!$B30="","",'Leslie Toole'!$O30)</f>
        <v/>
      </c>
      <c r="P150" s="132" t="str">
        <f aca="false">IF('Leslie Toole'!$B30="","",'Leslie Toole'!$P30)</f>
        <v/>
      </c>
      <c r="Q150" s="131" t="str">
        <f aca="false">IF('Leslie Toole'!$B30="","","Leslie Toole")</f>
        <v/>
      </c>
      <c r="R150" s="131" t="n">
        <f aca="true">IF(OR($B150="",$I150="Complete",$L150=""),0,IF($L150&lt;TODAY(),1,0))</f>
        <v>0</v>
      </c>
      <c r="S150" s="131" t="n">
        <f aca="true">IF(OR($B150="",$I150="Complete",$L150=""),0,IF(AND($L150&gt;=TODAY(),$L150&lt;=TODAY()+7),1,0))</f>
        <v>0</v>
      </c>
      <c r="T150" s="131" t="str">
        <f aca="true">IF(OR($B150="",$L150=""),"",$L150-TODAY())</f>
        <v/>
      </c>
      <c r="U150" s="135" t="str">
        <f aca="false">IF($B150="","",IF($I150="Complete",1,IF($J150="",0,$J150)))</f>
        <v/>
      </c>
      <c r="V150" s="131" t="n">
        <f aca="false">IF($B150="",0,IF($N150="",0,1))</f>
        <v>0</v>
      </c>
      <c r="W150" s="131" t="n">
        <f aca="false">IF($B150="",0,1)</f>
        <v>0</v>
      </c>
    </row>
    <row r="151" customFormat="false" ht="15" hidden="false" customHeight="false" outlineLevel="0" collapsed="false">
      <c r="A151" s="131" t="str">
        <f aca="false">IF('Leslie Toole'!$B31="","",'Leslie Toole'!$A31)</f>
        <v/>
      </c>
      <c r="B151" s="131" t="str">
        <f aca="false">IF('Leslie Toole'!$B31="","",'Leslie Toole'!$B31)</f>
        <v/>
      </c>
      <c r="C151" s="132" t="str">
        <f aca="false">IF('Leslie Toole'!$B31="","",'Leslie Toole'!$C31)</f>
        <v/>
      </c>
      <c r="D151" s="132" t="str">
        <f aca="false">IF('Leslie Toole'!$B31="","",'Leslie Toole'!$D31)</f>
        <v/>
      </c>
      <c r="E151" s="132" t="str">
        <f aca="false">IF('Leslie Toole'!$B31="","",'Leslie Toole'!$E31)</f>
        <v/>
      </c>
      <c r="F151" s="132" t="str">
        <f aca="false">IF('Leslie Toole'!$B31="","",'Leslie Toole'!$F31)</f>
        <v/>
      </c>
      <c r="G151" s="132" t="str">
        <f aca="false">IF('Leslie Toole'!$B31="","",'Leslie Toole'!$G31)</f>
        <v/>
      </c>
      <c r="H151" s="131" t="str">
        <f aca="false">IF('Leslie Toole'!$B31="","",'Leslie Toole'!$H31)</f>
        <v/>
      </c>
      <c r="I151" s="131" t="str">
        <f aca="false">IF('Leslie Toole'!$B31="","",'Leslie Toole'!$I31)</f>
        <v/>
      </c>
      <c r="J151" s="133" t="str">
        <f aca="false">IF('Leslie Toole'!$B31="","",'Leslie Toole'!$J31)</f>
        <v/>
      </c>
      <c r="K151" s="134" t="str">
        <f aca="false">IF('Leslie Toole'!$B31="","",'Leslie Toole'!$K31)</f>
        <v/>
      </c>
      <c r="L151" s="134" t="str">
        <f aca="false">IF('Leslie Toole'!$B31="","",'Leslie Toole'!$L31)</f>
        <v/>
      </c>
      <c r="M151" s="132" t="str">
        <f aca="false">IF('Leslie Toole'!$B31="","",'Leslie Toole'!$M31)</f>
        <v/>
      </c>
      <c r="N151" s="132" t="str">
        <f aca="false">IF('Leslie Toole'!$B31="","",'Leslie Toole'!$N31)</f>
        <v/>
      </c>
      <c r="O151" s="134" t="str">
        <f aca="false">IF('Leslie Toole'!$B31="","",'Leslie Toole'!$O31)</f>
        <v/>
      </c>
      <c r="P151" s="132" t="str">
        <f aca="false">IF('Leslie Toole'!$B31="","",'Leslie Toole'!$P31)</f>
        <v/>
      </c>
      <c r="Q151" s="131" t="str">
        <f aca="false">IF('Leslie Toole'!$B31="","","Leslie Toole")</f>
        <v/>
      </c>
      <c r="R151" s="131" t="n">
        <f aca="true">IF(OR($B151="",$I151="Complete",$L151=""),0,IF($L151&lt;TODAY(),1,0))</f>
        <v>0</v>
      </c>
      <c r="S151" s="131" t="n">
        <f aca="true">IF(OR($B151="",$I151="Complete",$L151=""),0,IF(AND($L151&gt;=TODAY(),$L151&lt;=TODAY()+7),1,0))</f>
        <v>0</v>
      </c>
      <c r="T151" s="131" t="str">
        <f aca="true">IF(OR($B151="",$L151=""),"",$L151-TODAY())</f>
        <v/>
      </c>
      <c r="U151" s="135" t="str">
        <f aca="false">IF($B151="","",IF($I151="Complete",1,IF($J151="",0,$J151)))</f>
        <v/>
      </c>
      <c r="V151" s="131" t="n">
        <f aca="false">IF($B151="",0,IF($N151="",0,1))</f>
        <v>0</v>
      </c>
      <c r="W151" s="131" t="n">
        <f aca="false">IF($B151="",0,1)</f>
        <v>0</v>
      </c>
    </row>
    <row r="152" customFormat="false" ht="15" hidden="false" customHeight="false" outlineLevel="0" collapsed="false">
      <c r="A152" s="131" t="str">
        <f aca="false">IF('Leslie Toole'!$B32="","",'Leslie Toole'!$A32)</f>
        <v/>
      </c>
      <c r="B152" s="131" t="str">
        <f aca="false">IF('Leslie Toole'!$B32="","",'Leslie Toole'!$B32)</f>
        <v/>
      </c>
      <c r="C152" s="132" t="str">
        <f aca="false">IF('Leslie Toole'!$B32="","",'Leslie Toole'!$C32)</f>
        <v/>
      </c>
      <c r="D152" s="132" t="str">
        <f aca="false">IF('Leslie Toole'!$B32="","",'Leslie Toole'!$D32)</f>
        <v/>
      </c>
      <c r="E152" s="132" t="str">
        <f aca="false">IF('Leslie Toole'!$B32="","",'Leslie Toole'!$E32)</f>
        <v/>
      </c>
      <c r="F152" s="132" t="str">
        <f aca="false">IF('Leslie Toole'!$B32="","",'Leslie Toole'!$F32)</f>
        <v/>
      </c>
      <c r="G152" s="132" t="str">
        <f aca="false">IF('Leslie Toole'!$B32="","",'Leslie Toole'!$G32)</f>
        <v/>
      </c>
      <c r="H152" s="131" t="str">
        <f aca="false">IF('Leslie Toole'!$B32="","",'Leslie Toole'!$H32)</f>
        <v/>
      </c>
      <c r="I152" s="131" t="str">
        <f aca="false">IF('Leslie Toole'!$B32="","",'Leslie Toole'!$I32)</f>
        <v/>
      </c>
      <c r="J152" s="133" t="str">
        <f aca="false">IF('Leslie Toole'!$B32="","",'Leslie Toole'!$J32)</f>
        <v/>
      </c>
      <c r="K152" s="134" t="str">
        <f aca="false">IF('Leslie Toole'!$B32="","",'Leslie Toole'!$K32)</f>
        <v/>
      </c>
      <c r="L152" s="134" t="str">
        <f aca="false">IF('Leslie Toole'!$B32="","",'Leslie Toole'!$L32)</f>
        <v/>
      </c>
      <c r="M152" s="132" t="str">
        <f aca="false">IF('Leslie Toole'!$B32="","",'Leslie Toole'!$M32)</f>
        <v/>
      </c>
      <c r="N152" s="132" t="str">
        <f aca="false">IF('Leslie Toole'!$B32="","",'Leslie Toole'!$N32)</f>
        <v/>
      </c>
      <c r="O152" s="134" t="str">
        <f aca="false">IF('Leslie Toole'!$B32="","",'Leslie Toole'!$O32)</f>
        <v/>
      </c>
      <c r="P152" s="132" t="str">
        <f aca="false">IF('Leslie Toole'!$B32="","",'Leslie Toole'!$P32)</f>
        <v/>
      </c>
      <c r="Q152" s="131" t="str">
        <f aca="false">IF('Leslie Toole'!$B32="","","Leslie Toole")</f>
        <v/>
      </c>
      <c r="R152" s="131" t="n">
        <f aca="true">IF(OR($B152="",$I152="Complete",$L152=""),0,IF($L152&lt;TODAY(),1,0))</f>
        <v>0</v>
      </c>
      <c r="S152" s="131" t="n">
        <f aca="true">IF(OR($B152="",$I152="Complete",$L152=""),0,IF(AND($L152&gt;=TODAY(),$L152&lt;=TODAY()+7),1,0))</f>
        <v>0</v>
      </c>
      <c r="T152" s="131" t="str">
        <f aca="true">IF(OR($B152="",$L152=""),"",$L152-TODAY())</f>
        <v/>
      </c>
      <c r="U152" s="135" t="str">
        <f aca="false">IF($B152="","",IF($I152="Complete",1,IF($J152="",0,$J152)))</f>
        <v/>
      </c>
      <c r="V152" s="131" t="n">
        <f aca="false">IF($B152="",0,IF($N152="",0,1))</f>
        <v>0</v>
      </c>
      <c r="W152" s="131" t="n">
        <f aca="false">IF($B152="",0,1)</f>
        <v>0</v>
      </c>
    </row>
    <row r="153" customFormat="false" ht="15" hidden="false" customHeight="false" outlineLevel="0" collapsed="false">
      <c r="A153" s="131" t="str">
        <f aca="false">IF('Leslie Toole'!$B33="","",'Leslie Toole'!$A33)</f>
        <v/>
      </c>
      <c r="B153" s="131" t="str">
        <f aca="false">IF('Leslie Toole'!$B33="","",'Leslie Toole'!$B33)</f>
        <v/>
      </c>
      <c r="C153" s="132" t="str">
        <f aca="false">IF('Leslie Toole'!$B33="","",'Leslie Toole'!$C33)</f>
        <v/>
      </c>
      <c r="D153" s="132" t="str">
        <f aca="false">IF('Leslie Toole'!$B33="","",'Leslie Toole'!$D33)</f>
        <v/>
      </c>
      <c r="E153" s="132" t="str">
        <f aca="false">IF('Leslie Toole'!$B33="","",'Leslie Toole'!$E33)</f>
        <v/>
      </c>
      <c r="F153" s="132" t="str">
        <f aca="false">IF('Leslie Toole'!$B33="","",'Leslie Toole'!$F33)</f>
        <v/>
      </c>
      <c r="G153" s="132" t="str">
        <f aca="false">IF('Leslie Toole'!$B33="","",'Leslie Toole'!$G33)</f>
        <v/>
      </c>
      <c r="H153" s="131" t="str">
        <f aca="false">IF('Leslie Toole'!$B33="","",'Leslie Toole'!$H33)</f>
        <v/>
      </c>
      <c r="I153" s="131" t="str">
        <f aca="false">IF('Leslie Toole'!$B33="","",'Leslie Toole'!$I33)</f>
        <v/>
      </c>
      <c r="J153" s="133" t="str">
        <f aca="false">IF('Leslie Toole'!$B33="","",'Leslie Toole'!$J33)</f>
        <v/>
      </c>
      <c r="K153" s="134" t="str">
        <f aca="false">IF('Leslie Toole'!$B33="","",'Leslie Toole'!$K33)</f>
        <v/>
      </c>
      <c r="L153" s="134" t="str">
        <f aca="false">IF('Leslie Toole'!$B33="","",'Leslie Toole'!$L33)</f>
        <v/>
      </c>
      <c r="M153" s="132" t="str">
        <f aca="false">IF('Leslie Toole'!$B33="","",'Leslie Toole'!$M33)</f>
        <v/>
      </c>
      <c r="N153" s="132" t="str">
        <f aca="false">IF('Leslie Toole'!$B33="","",'Leslie Toole'!$N33)</f>
        <v/>
      </c>
      <c r="O153" s="134" t="str">
        <f aca="false">IF('Leslie Toole'!$B33="","",'Leslie Toole'!$O33)</f>
        <v/>
      </c>
      <c r="P153" s="132" t="str">
        <f aca="false">IF('Leslie Toole'!$B33="","",'Leslie Toole'!$P33)</f>
        <v/>
      </c>
      <c r="Q153" s="131" t="str">
        <f aca="false">IF('Leslie Toole'!$B33="","","Leslie Toole")</f>
        <v/>
      </c>
      <c r="R153" s="131" t="n">
        <f aca="true">IF(OR($B153="",$I153="Complete",$L153=""),0,IF($L153&lt;TODAY(),1,0))</f>
        <v>0</v>
      </c>
      <c r="S153" s="131" t="n">
        <f aca="true">IF(OR($B153="",$I153="Complete",$L153=""),0,IF(AND($L153&gt;=TODAY(),$L153&lt;=TODAY()+7),1,0))</f>
        <v>0</v>
      </c>
      <c r="T153" s="131" t="str">
        <f aca="true">IF(OR($B153="",$L153=""),"",$L153-TODAY())</f>
        <v/>
      </c>
      <c r="U153" s="135" t="str">
        <f aca="false">IF($B153="","",IF($I153="Complete",1,IF($J153="",0,$J153)))</f>
        <v/>
      </c>
      <c r="V153" s="131" t="n">
        <f aca="false">IF($B153="",0,IF($N153="",0,1))</f>
        <v>0</v>
      </c>
      <c r="W153" s="131" t="n">
        <f aca="false">IF($B153="",0,1)</f>
        <v>0</v>
      </c>
    </row>
    <row r="154" customFormat="false" ht="15" hidden="false" customHeight="false" outlineLevel="0" collapsed="false">
      <c r="A154" s="131" t="str">
        <f aca="false">IF('Leslie Toole'!$B34="","",'Leslie Toole'!$A34)</f>
        <v/>
      </c>
      <c r="B154" s="131" t="str">
        <f aca="false">IF('Leslie Toole'!$B34="","",'Leslie Toole'!$B34)</f>
        <v/>
      </c>
      <c r="C154" s="132" t="str">
        <f aca="false">IF('Leslie Toole'!$B34="","",'Leslie Toole'!$C34)</f>
        <v/>
      </c>
      <c r="D154" s="132" t="str">
        <f aca="false">IF('Leslie Toole'!$B34="","",'Leslie Toole'!$D34)</f>
        <v/>
      </c>
      <c r="E154" s="132" t="str">
        <f aca="false">IF('Leslie Toole'!$B34="","",'Leslie Toole'!$E34)</f>
        <v/>
      </c>
      <c r="F154" s="132" t="str">
        <f aca="false">IF('Leslie Toole'!$B34="","",'Leslie Toole'!$F34)</f>
        <v/>
      </c>
      <c r="G154" s="132" t="str">
        <f aca="false">IF('Leslie Toole'!$B34="","",'Leslie Toole'!$G34)</f>
        <v/>
      </c>
      <c r="H154" s="131" t="str">
        <f aca="false">IF('Leslie Toole'!$B34="","",'Leslie Toole'!$H34)</f>
        <v/>
      </c>
      <c r="I154" s="131" t="str">
        <f aca="false">IF('Leslie Toole'!$B34="","",'Leslie Toole'!$I34)</f>
        <v/>
      </c>
      <c r="J154" s="133" t="str">
        <f aca="false">IF('Leslie Toole'!$B34="","",'Leslie Toole'!$J34)</f>
        <v/>
      </c>
      <c r="K154" s="134" t="str">
        <f aca="false">IF('Leslie Toole'!$B34="","",'Leslie Toole'!$K34)</f>
        <v/>
      </c>
      <c r="L154" s="134" t="str">
        <f aca="false">IF('Leslie Toole'!$B34="","",'Leslie Toole'!$L34)</f>
        <v/>
      </c>
      <c r="M154" s="132" t="str">
        <f aca="false">IF('Leslie Toole'!$B34="","",'Leslie Toole'!$M34)</f>
        <v/>
      </c>
      <c r="N154" s="132" t="str">
        <f aca="false">IF('Leslie Toole'!$B34="","",'Leslie Toole'!$N34)</f>
        <v/>
      </c>
      <c r="O154" s="134" t="str">
        <f aca="false">IF('Leslie Toole'!$B34="","",'Leslie Toole'!$O34)</f>
        <v/>
      </c>
      <c r="P154" s="132" t="str">
        <f aca="false">IF('Leslie Toole'!$B34="","",'Leslie Toole'!$P34)</f>
        <v/>
      </c>
      <c r="Q154" s="131" t="str">
        <f aca="false">IF('Leslie Toole'!$B34="","","Leslie Toole")</f>
        <v/>
      </c>
      <c r="R154" s="131" t="n">
        <f aca="true">IF(OR($B154="",$I154="Complete",$L154=""),0,IF($L154&lt;TODAY(),1,0))</f>
        <v>0</v>
      </c>
      <c r="S154" s="131" t="n">
        <f aca="true">IF(OR($B154="",$I154="Complete",$L154=""),0,IF(AND($L154&gt;=TODAY(),$L154&lt;=TODAY()+7),1,0))</f>
        <v>0</v>
      </c>
      <c r="T154" s="131" t="str">
        <f aca="true">IF(OR($B154="",$L154=""),"",$L154-TODAY())</f>
        <v/>
      </c>
      <c r="U154" s="135" t="str">
        <f aca="false">IF($B154="","",IF($I154="Complete",1,IF($J154="",0,$J154)))</f>
        <v/>
      </c>
      <c r="V154" s="131" t="n">
        <f aca="false">IF($B154="",0,IF($N154="",0,1))</f>
        <v>0</v>
      </c>
      <c r="W154" s="131" t="n">
        <f aca="false">IF($B154="",0,1)</f>
        <v>0</v>
      </c>
    </row>
    <row r="155" customFormat="false" ht="15" hidden="false" customHeight="false" outlineLevel="0" collapsed="false">
      <c r="A155" s="131" t="str">
        <f aca="false">IF('Leslie Toole'!$B35="","",'Leslie Toole'!$A35)</f>
        <v/>
      </c>
      <c r="B155" s="131" t="str">
        <f aca="false">IF('Leslie Toole'!$B35="","",'Leslie Toole'!$B35)</f>
        <v/>
      </c>
      <c r="C155" s="132" t="str">
        <f aca="false">IF('Leslie Toole'!$B35="","",'Leslie Toole'!$C35)</f>
        <v/>
      </c>
      <c r="D155" s="132" t="str">
        <f aca="false">IF('Leslie Toole'!$B35="","",'Leslie Toole'!$D35)</f>
        <v/>
      </c>
      <c r="E155" s="132" t="str">
        <f aca="false">IF('Leslie Toole'!$B35="","",'Leslie Toole'!$E35)</f>
        <v/>
      </c>
      <c r="F155" s="132" t="str">
        <f aca="false">IF('Leslie Toole'!$B35="","",'Leslie Toole'!$F35)</f>
        <v/>
      </c>
      <c r="G155" s="132" t="str">
        <f aca="false">IF('Leslie Toole'!$B35="","",'Leslie Toole'!$G35)</f>
        <v/>
      </c>
      <c r="H155" s="131" t="str">
        <f aca="false">IF('Leslie Toole'!$B35="","",'Leslie Toole'!$H35)</f>
        <v/>
      </c>
      <c r="I155" s="131" t="str">
        <f aca="false">IF('Leslie Toole'!$B35="","",'Leslie Toole'!$I35)</f>
        <v/>
      </c>
      <c r="J155" s="133" t="str">
        <f aca="false">IF('Leslie Toole'!$B35="","",'Leslie Toole'!$J35)</f>
        <v/>
      </c>
      <c r="K155" s="134" t="str">
        <f aca="false">IF('Leslie Toole'!$B35="","",'Leslie Toole'!$K35)</f>
        <v/>
      </c>
      <c r="L155" s="134" t="str">
        <f aca="false">IF('Leslie Toole'!$B35="","",'Leslie Toole'!$L35)</f>
        <v/>
      </c>
      <c r="M155" s="132" t="str">
        <f aca="false">IF('Leslie Toole'!$B35="","",'Leslie Toole'!$M35)</f>
        <v/>
      </c>
      <c r="N155" s="132" t="str">
        <f aca="false">IF('Leslie Toole'!$B35="","",'Leslie Toole'!$N35)</f>
        <v/>
      </c>
      <c r="O155" s="134" t="str">
        <f aca="false">IF('Leslie Toole'!$B35="","",'Leslie Toole'!$O35)</f>
        <v/>
      </c>
      <c r="P155" s="132" t="str">
        <f aca="false">IF('Leslie Toole'!$B35="","",'Leslie Toole'!$P35)</f>
        <v/>
      </c>
      <c r="Q155" s="131" t="str">
        <f aca="false">IF('Leslie Toole'!$B35="","","Leslie Toole")</f>
        <v/>
      </c>
      <c r="R155" s="131" t="n">
        <f aca="true">IF(OR($B155="",$I155="Complete",$L155=""),0,IF($L155&lt;TODAY(),1,0))</f>
        <v>0</v>
      </c>
      <c r="S155" s="131" t="n">
        <f aca="true">IF(OR($B155="",$I155="Complete",$L155=""),0,IF(AND($L155&gt;=TODAY(),$L155&lt;=TODAY()+7),1,0))</f>
        <v>0</v>
      </c>
      <c r="T155" s="131" t="str">
        <f aca="true">IF(OR($B155="",$L155=""),"",$L155-TODAY())</f>
        <v/>
      </c>
      <c r="U155" s="135" t="str">
        <f aca="false">IF($B155="","",IF($I155="Complete",1,IF($J155="",0,$J155)))</f>
        <v/>
      </c>
      <c r="V155" s="131" t="n">
        <f aca="false">IF($B155="",0,IF($N155="",0,1))</f>
        <v>0</v>
      </c>
      <c r="W155" s="131" t="n">
        <f aca="false">IF($B155="",0,1)</f>
        <v>0</v>
      </c>
    </row>
    <row r="156" customFormat="false" ht="15" hidden="false" customHeight="false" outlineLevel="0" collapsed="false">
      <c r="A156" s="131" t="str">
        <f aca="false">IF('Leslie Toole'!$B36="","",'Leslie Toole'!$A36)</f>
        <v/>
      </c>
      <c r="B156" s="131" t="str">
        <f aca="false">IF('Leslie Toole'!$B36="","",'Leslie Toole'!$B36)</f>
        <v/>
      </c>
      <c r="C156" s="132" t="str">
        <f aca="false">IF('Leslie Toole'!$B36="","",'Leslie Toole'!$C36)</f>
        <v/>
      </c>
      <c r="D156" s="132" t="str">
        <f aca="false">IF('Leslie Toole'!$B36="","",'Leslie Toole'!$D36)</f>
        <v/>
      </c>
      <c r="E156" s="132" t="str">
        <f aca="false">IF('Leslie Toole'!$B36="","",'Leslie Toole'!$E36)</f>
        <v/>
      </c>
      <c r="F156" s="132" t="str">
        <f aca="false">IF('Leslie Toole'!$B36="","",'Leslie Toole'!$F36)</f>
        <v/>
      </c>
      <c r="G156" s="132" t="str">
        <f aca="false">IF('Leslie Toole'!$B36="","",'Leslie Toole'!$G36)</f>
        <v/>
      </c>
      <c r="H156" s="131" t="str">
        <f aca="false">IF('Leslie Toole'!$B36="","",'Leslie Toole'!$H36)</f>
        <v/>
      </c>
      <c r="I156" s="131" t="str">
        <f aca="false">IF('Leslie Toole'!$B36="","",'Leslie Toole'!$I36)</f>
        <v/>
      </c>
      <c r="J156" s="133" t="str">
        <f aca="false">IF('Leslie Toole'!$B36="","",'Leslie Toole'!$J36)</f>
        <v/>
      </c>
      <c r="K156" s="134" t="str">
        <f aca="false">IF('Leslie Toole'!$B36="","",'Leslie Toole'!$K36)</f>
        <v/>
      </c>
      <c r="L156" s="134" t="str">
        <f aca="false">IF('Leslie Toole'!$B36="","",'Leslie Toole'!$L36)</f>
        <v/>
      </c>
      <c r="M156" s="132" t="str">
        <f aca="false">IF('Leslie Toole'!$B36="","",'Leslie Toole'!$M36)</f>
        <v/>
      </c>
      <c r="N156" s="132" t="str">
        <f aca="false">IF('Leslie Toole'!$B36="","",'Leslie Toole'!$N36)</f>
        <v/>
      </c>
      <c r="O156" s="134" t="str">
        <f aca="false">IF('Leslie Toole'!$B36="","",'Leslie Toole'!$O36)</f>
        <v/>
      </c>
      <c r="P156" s="132" t="str">
        <f aca="false">IF('Leslie Toole'!$B36="","",'Leslie Toole'!$P36)</f>
        <v/>
      </c>
      <c r="Q156" s="131" t="str">
        <f aca="false">IF('Leslie Toole'!$B36="","","Leslie Toole")</f>
        <v/>
      </c>
      <c r="R156" s="131" t="n">
        <f aca="true">IF(OR($B156="",$I156="Complete",$L156=""),0,IF($L156&lt;TODAY(),1,0))</f>
        <v>0</v>
      </c>
      <c r="S156" s="131" t="n">
        <f aca="true">IF(OR($B156="",$I156="Complete",$L156=""),0,IF(AND($L156&gt;=TODAY(),$L156&lt;=TODAY()+7),1,0))</f>
        <v>0</v>
      </c>
      <c r="T156" s="131" t="str">
        <f aca="true">IF(OR($B156="",$L156=""),"",$L156-TODAY())</f>
        <v/>
      </c>
      <c r="U156" s="135" t="str">
        <f aca="false">IF($B156="","",IF($I156="Complete",1,IF($J156="",0,$J156)))</f>
        <v/>
      </c>
      <c r="V156" s="131" t="n">
        <f aca="false">IF($B156="",0,IF($N156="",0,1))</f>
        <v>0</v>
      </c>
      <c r="W156" s="131" t="n">
        <f aca="false">IF($B156="",0,1)</f>
        <v>0</v>
      </c>
    </row>
    <row r="157" customFormat="false" ht="15" hidden="false" customHeight="false" outlineLevel="0" collapsed="false">
      <c r="A157" s="131" t="str">
        <f aca="false">IF('Leslie Toole'!$B37="","",'Leslie Toole'!$A37)</f>
        <v/>
      </c>
      <c r="B157" s="131" t="str">
        <f aca="false">IF('Leslie Toole'!$B37="","",'Leslie Toole'!$B37)</f>
        <v/>
      </c>
      <c r="C157" s="132" t="str">
        <f aca="false">IF('Leslie Toole'!$B37="","",'Leslie Toole'!$C37)</f>
        <v/>
      </c>
      <c r="D157" s="132" t="str">
        <f aca="false">IF('Leslie Toole'!$B37="","",'Leslie Toole'!$D37)</f>
        <v/>
      </c>
      <c r="E157" s="132" t="str">
        <f aca="false">IF('Leslie Toole'!$B37="","",'Leslie Toole'!$E37)</f>
        <v/>
      </c>
      <c r="F157" s="132" t="str">
        <f aca="false">IF('Leslie Toole'!$B37="","",'Leslie Toole'!$F37)</f>
        <v/>
      </c>
      <c r="G157" s="132" t="str">
        <f aca="false">IF('Leslie Toole'!$B37="","",'Leslie Toole'!$G37)</f>
        <v/>
      </c>
      <c r="H157" s="131" t="str">
        <f aca="false">IF('Leslie Toole'!$B37="","",'Leslie Toole'!$H37)</f>
        <v/>
      </c>
      <c r="I157" s="131" t="str">
        <f aca="false">IF('Leslie Toole'!$B37="","",'Leslie Toole'!$I37)</f>
        <v/>
      </c>
      <c r="J157" s="133" t="str">
        <f aca="false">IF('Leslie Toole'!$B37="","",'Leslie Toole'!$J37)</f>
        <v/>
      </c>
      <c r="K157" s="134" t="str">
        <f aca="false">IF('Leslie Toole'!$B37="","",'Leslie Toole'!$K37)</f>
        <v/>
      </c>
      <c r="L157" s="134" t="str">
        <f aca="false">IF('Leslie Toole'!$B37="","",'Leslie Toole'!$L37)</f>
        <v/>
      </c>
      <c r="M157" s="132" t="str">
        <f aca="false">IF('Leslie Toole'!$B37="","",'Leslie Toole'!$M37)</f>
        <v/>
      </c>
      <c r="N157" s="132" t="str">
        <f aca="false">IF('Leslie Toole'!$B37="","",'Leslie Toole'!$N37)</f>
        <v/>
      </c>
      <c r="O157" s="134" t="str">
        <f aca="false">IF('Leslie Toole'!$B37="","",'Leslie Toole'!$O37)</f>
        <v/>
      </c>
      <c r="P157" s="132" t="str">
        <f aca="false">IF('Leslie Toole'!$B37="","",'Leslie Toole'!$P37)</f>
        <v/>
      </c>
      <c r="Q157" s="131" t="str">
        <f aca="false">IF('Leslie Toole'!$B37="","","Leslie Toole")</f>
        <v/>
      </c>
      <c r="R157" s="131" t="n">
        <f aca="true">IF(OR($B157="",$I157="Complete",$L157=""),0,IF($L157&lt;TODAY(),1,0))</f>
        <v>0</v>
      </c>
      <c r="S157" s="131" t="n">
        <f aca="true">IF(OR($B157="",$I157="Complete",$L157=""),0,IF(AND($L157&gt;=TODAY(),$L157&lt;=TODAY()+7),1,0))</f>
        <v>0</v>
      </c>
      <c r="T157" s="131" t="str">
        <f aca="true">IF(OR($B157="",$L157=""),"",$L157-TODAY())</f>
        <v/>
      </c>
      <c r="U157" s="135" t="str">
        <f aca="false">IF($B157="","",IF($I157="Complete",1,IF($J157="",0,$J157)))</f>
        <v/>
      </c>
      <c r="V157" s="131" t="n">
        <f aca="false">IF($B157="",0,IF($N157="",0,1))</f>
        <v>0</v>
      </c>
      <c r="W157" s="131" t="n">
        <f aca="false">IF($B157="",0,1)</f>
        <v>0</v>
      </c>
    </row>
    <row r="158" customFormat="false" ht="15" hidden="false" customHeight="false" outlineLevel="0" collapsed="false">
      <c r="A158" s="131" t="str">
        <f aca="false">IF('Leslie Toole'!$B38="","",'Leslie Toole'!$A38)</f>
        <v/>
      </c>
      <c r="B158" s="131" t="str">
        <f aca="false">IF('Leslie Toole'!$B38="","",'Leslie Toole'!$B38)</f>
        <v/>
      </c>
      <c r="C158" s="132" t="str">
        <f aca="false">IF('Leslie Toole'!$B38="","",'Leslie Toole'!$C38)</f>
        <v/>
      </c>
      <c r="D158" s="132" t="str">
        <f aca="false">IF('Leslie Toole'!$B38="","",'Leslie Toole'!$D38)</f>
        <v/>
      </c>
      <c r="E158" s="132" t="str">
        <f aca="false">IF('Leslie Toole'!$B38="","",'Leslie Toole'!$E38)</f>
        <v/>
      </c>
      <c r="F158" s="132" t="str">
        <f aca="false">IF('Leslie Toole'!$B38="","",'Leslie Toole'!$F38)</f>
        <v/>
      </c>
      <c r="G158" s="132" t="str">
        <f aca="false">IF('Leslie Toole'!$B38="","",'Leslie Toole'!$G38)</f>
        <v/>
      </c>
      <c r="H158" s="131" t="str">
        <f aca="false">IF('Leslie Toole'!$B38="","",'Leslie Toole'!$H38)</f>
        <v/>
      </c>
      <c r="I158" s="131" t="str">
        <f aca="false">IF('Leslie Toole'!$B38="","",'Leslie Toole'!$I38)</f>
        <v/>
      </c>
      <c r="J158" s="133" t="str">
        <f aca="false">IF('Leslie Toole'!$B38="","",'Leslie Toole'!$J38)</f>
        <v/>
      </c>
      <c r="K158" s="134" t="str">
        <f aca="false">IF('Leslie Toole'!$B38="","",'Leslie Toole'!$K38)</f>
        <v/>
      </c>
      <c r="L158" s="134" t="str">
        <f aca="false">IF('Leslie Toole'!$B38="","",'Leslie Toole'!$L38)</f>
        <v/>
      </c>
      <c r="M158" s="132" t="str">
        <f aca="false">IF('Leslie Toole'!$B38="","",'Leslie Toole'!$M38)</f>
        <v/>
      </c>
      <c r="N158" s="132" t="str">
        <f aca="false">IF('Leslie Toole'!$B38="","",'Leslie Toole'!$N38)</f>
        <v/>
      </c>
      <c r="O158" s="134" t="str">
        <f aca="false">IF('Leslie Toole'!$B38="","",'Leslie Toole'!$O38)</f>
        <v/>
      </c>
      <c r="P158" s="132" t="str">
        <f aca="false">IF('Leslie Toole'!$B38="","",'Leslie Toole'!$P38)</f>
        <v/>
      </c>
      <c r="Q158" s="131" t="str">
        <f aca="false">IF('Leslie Toole'!$B38="","","Leslie Toole")</f>
        <v/>
      </c>
      <c r="R158" s="131" t="n">
        <f aca="true">IF(OR($B158="",$I158="Complete",$L158=""),0,IF($L158&lt;TODAY(),1,0))</f>
        <v>0</v>
      </c>
      <c r="S158" s="131" t="n">
        <f aca="true">IF(OR($B158="",$I158="Complete",$L158=""),0,IF(AND($L158&gt;=TODAY(),$L158&lt;=TODAY()+7),1,0))</f>
        <v>0</v>
      </c>
      <c r="T158" s="131" t="str">
        <f aca="true">IF(OR($B158="",$L158=""),"",$L158-TODAY())</f>
        <v/>
      </c>
      <c r="U158" s="135" t="str">
        <f aca="false">IF($B158="","",IF($I158="Complete",1,IF($J158="",0,$J158)))</f>
        <v/>
      </c>
      <c r="V158" s="131" t="n">
        <f aca="false">IF($B158="",0,IF($N158="",0,1))</f>
        <v>0</v>
      </c>
      <c r="W158" s="131" t="n">
        <f aca="false">IF($B158="",0,1)</f>
        <v>0</v>
      </c>
    </row>
    <row r="159" customFormat="false" ht="15" hidden="false" customHeight="false" outlineLevel="0" collapsed="false">
      <c r="A159" s="131" t="str">
        <f aca="false">IF('Leslie Toole'!$B39="","",'Leslie Toole'!$A39)</f>
        <v/>
      </c>
      <c r="B159" s="131" t="str">
        <f aca="false">IF('Leslie Toole'!$B39="","",'Leslie Toole'!$B39)</f>
        <v/>
      </c>
      <c r="C159" s="132" t="str">
        <f aca="false">IF('Leslie Toole'!$B39="","",'Leslie Toole'!$C39)</f>
        <v/>
      </c>
      <c r="D159" s="132" t="str">
        <f aca="false">IF('Leslie Toole'!$B39="","",'Leslie Toole'!$D39)</f>
        <v/>
      </c>
      <c r="E159" s="132" t="str">
        <f aca="false">IF('Leslie Toole'!$B39="","",'Leslie Toole'!$E39)</f>
        <v/>
      </c>
      <c r="F159" s="132" t="str">
        <f aca="false">IF('Leslie Toole'!$B39="","",'Leslie Toole'!$F39)</f>
        <v/>
      </c>
      <c r="G159" s="132" t="str">
        <f aca="false">IF('Leslie Toole'!$B39="","",'Leslie Toole'!$G39)</f>
        <v/>
      </c>
      <c r="H159" s="131" t="str">
        <f aca="false">IF('Leslie Toole'!$B39="","",'Leslie Toole'!$H39)</f>
        <v/>
      </c>
      <c r="I159" s="131" t="str">
        <f aca="false">IF('Leslie Toole'!$B39="","",'Leslie Toole'!$I39)</f>
        <v/>
      </c>
      <c r="J159" s="133" t="str">
        <f aca="false">IF('Leslie Toole'!$B39="","",'Leslie Toole'!$J39)</f>
        <v/>
      </c>
      <c r="K159" s="134" t="str">
        <f aca="false">IF('Leslie Toole'!$B39="","",'Leslie Toole'!$K39)</f>
        <v/>
      </c>
      <c r="L159" s="134" t="str">
        <f aca="false">IF('Leslie Toole'!$B39="","",'Leslie Toole'!$L39)</f>
        <v/>
      </c>
      <c r="M159" s="132" t="str">
        <f aca="false">IF('Leslie Toole'!$B39="","",'Leslie Toole'!$M39)</f>
        <v/>
      </c>
      <c r="N159" s="132" t="str">
        <f aca="false">IF('Leslie Toole'!$B39="","",'Leslie Toole'!$N39)</f>
        <v/>
      </c>
      <c r="O159" s="134" t="str">
        <f aca="false">IF('Leslie Toole'!$B39="","",'Leslie Toole'!$O39)</f>
        <v/>
      </c>
      <c r="P159" s="132" t="str">
        <f aca="false">IF('Leslie Toole'!$B39="","",'Leslie Toole'!$P39)</f>
        <v/>
      </c>
      <c r="Q159" s="131" t="str">
        <f aca="false">IF('Leslie Toole'!$B39="","","Leslie Toole")</f>
        <v/>
      </c>
      <c r="R159" s="131" t="n">
        <f aca="true">IF(OR($B159="",$I159="Complete",$L159=""),0,IF($L159&lt;TODAY(),1,0))</f>
        <v>0</v>
      </c>
      <c r="S159" s="131" t="n">
        <f aca="true">IF(OR($B159="",$I159="Complete",$L159=""),0,IF(AND($L159&gt;=TODAY(),$L159&lt;=TODAY()+7),1,0))</f>
        <v>0</v>
      </c>
      <c r="T159" s="131" t="str">
        <f aca="true">IF(OR($B159="",$L159=""),"",$L159-TODAY())</f>
        <v/>
      </c>
      <c r="U159" s="135" t="str">
        <f aca="false">IF($B159="","",IF($I159="Complete",1,IF($J159="",0,$J159)))</f>
        <v/>
      </c>
      <c r="V159" s="131" t="n">
        <f aca="false">IF($B159="",0,IF($N159="",0,1))</f>
        <v>0</v>
      </c>
      <c r="W159" s="131" t="n">
        <f aca="false">IF($B159="",0,1)</f>
        <v>0</v>
      </c>
    </row>
    <row r="160" customFormat="false" ht="15" hidden="false" customHeight="false" outlineLevel="0" collapsed="false">
      <c r="A160" s="131" t="str">
        <f aca="false">IF('Leslie Toole'!$B40="","",'Leslie Toole'!$A40)</f>
        <v/>
      </c>
      <c r="B160" s="131" t="str">
        <f aca="false">IF('Leslie Toole'!$B40="","",'Leslie Toole'!$B40)</f>
        <v/>
      </c>
      <c r="C160" s="132" t="str">
        <f aca="false">IF('Leslie Toole'!$B40="","",'Leslie Toole'!$C40)</f>
        <v/>
      </c>
      <c r="D160" s="132" t="str">
        <f aca="false">IF('Leslie Toole'!$B40="","",'Leslie Toole'!$D40)</f>
        <v/>
      </c>
      <c r="E160" s="132" t="str">
        <f aca="false">IF('Leslie Toole'!$B40="","",'Leslie Toole'!$E40)</f>
        <v/>
      </c>
      <c r="F160" s="132" t="str">
        <f aca="false">IF('Leslie Toole'!$B40="","",'Leslie Toole'!$F40)</f>
        <v/>
      </c>
      <c r="G160" s="132" t="str">
        <f aca="false">IF('Leslie Toole'!$B40="","",'Leslie Toole'!$G40)</f>
        <v/>
      </c>
      <c r="H160" s="131" t="str">
        <f aca="false">IF('Leslie Toole'!$B40="","",'Leslie Toole'!$H40)</f>
        <v/>
      </c>
      <c r="I160" s="131" t="str">
        <f aca="false">IF('Leslie Toole'!$B40="","",'Leslie Toole'!$I40)</f>
        <v/>
      </c>
      <c r="J160" s="133" t="str">
        <f aca="false">IF('Leslie Toole'!$B40="","",'Leslie Toole'!$J40)</f>
        <v/>
      </c>
      <c r="K160" s="134" t="str">
        <f aca="false">IF('Leslie Toole'!$B40="","",'Leslie Toole'!$K40)</f>
        <v/>
      </c>
      <c r="L160" s="134" t="str">
        <f aca="false">IF('Leslie Toole'!$B40="","",'Leslie Toole'!$L40)</f>
        <v/>
      </c>
      <c r="M160" s="132" t="str">
        <f aca="false">IF('Leslie Toole'!$B40="","",'Leslie Toole'!$M40)</f>
        <v/>
      </c>
      <c r="N160" s="132" t="str">
        <f aca="false">IF('Leslie Toole'!$B40="","",'Leslie Toole'!$N40)</f>
        <v/>
      </c>
      <c r="O160" s="134" t="str">
        <f aca="false">IF('Leslie Toole'!$B40="","",'Leslie Toole'!$O40)</f>
        <v/>
      </c>
      <c r="P160" s="132" t="str">
        <f aca="false">IF('Leslie Toole'!$B40="","",'Leslie Toole'!$P40)</f>
        <v/>
      </c>
      <c r="Q160" s="131" t="str">
        <f aca="false">IF('Leslie Toole'!$B40="","","Leslie Toole")</f>
        <v/>
      </c>
      <c r="R160" s="131" t="n">
        <f aca="true">IF(OR($B160="",$I160="Complete",$L160=""),0,IF($L160&lt;TODAY(),1,0))</f>
        <v>0</v>
      </c>
      <c r="S160" s="131" t="n">
        <f aca="true">IF(OR($B160="",$I160="Complete",$L160=""),0,IF(AND($L160&gt;=TODAY(),$L160&lt;=TODAY()+7),1,0))</f>
        <v>0</v>
      </c>
      <c r="T160" s="131" t="str">
        <f aca="true">IF(OR($B160="",$L160=""),"",$L160-TODAY())</f>
        <v/>
      </c>
      <c r="U160" s="135" t="str">
        <f aca="false">IF($B160="","",IF($I160="Complete",1,IF($J160="",0,$J160)))</f>
        <v/>
      </c>
      <c r="V160" s="131" t="n">
        <f aca="false">IF($B160="",0,IF($N160="",0,1))</f>
        <v>0</v>
      </c>
      <c r="W160" s="131" t="n">
        <f aca="false">IF($B160="",0,1)</f>
        <v>0</v>
      </c>
    </row>
    <row r="161" customFormat="false" ht="15" hidden="false" customHeight="false" outlineLevel="0" collapsed="false">
      <c r="A161" s="131" t="str">
        <f aca="false">IF('Leslie Toole'!$B41="","",'Leslie Toole'!$A41)</f>
        <v/>
      </c>
      <c r="B161" s="131" t="str">
        <f aca="false">IF('Leslie Toole'!$B41="","",'Leslie Toole'!$B41)</f>
        <v/>
      </c>
      <c r="C161" s="132" t="str">
        <f aca="false">IF('Leslie Toole'!$B41="","",'Leslie Toole'!$C41)</f>
        <v/>
      </c>
      <c r="D161" s="132" t="str">
        <f aca="false">IF('Leslie Toole'!$B41="","",'Leslie Toole'!$D41)</f>
        <v/>
      </c>
      <c r="E161" s="132" t="str">
        <f aca="false">IF('Leslie Toole'!$B41="","",'Leslie Toole'!$E41)</f>
        <v/>
      </c>
      <c r="F161" s="132" t="str">
        <f aca="false">IF('Leslie Toole'!$B41="","",'Leslie Toole'!$F41)</f>
        <v/>
      </c>
      <c r="G161" s="132" t="str">
        <f aca="false">IF('Leslie Toole'!$B41="","",'Leslie Toole'!$G41)</f>
        <v/>
      </c>
      <c r="H161" s="131" t="str">
        <f aca="false">IF('Leslie Toole'!$B41="","",'Leslie Toole'!$H41)</f>
        <v/>
      </c>
      <c r="I161" s="131" t="str">
        <f aca="false">IF('Leslie Toole'!$B41="","",'Leslie Toole'!$I41)</f>
        <v/>
      </c>
      <c r="J161" s="133" t="str">
        <f aca="false">IF('Leslie Toole'!$B41="","",'Leslie Toole'!$J41)</f>
        <v/>
      </c>
      <c r="K161" s="134" t="str">
        <f aca="false">IF('Leslie Toole'!$B41="","",'Leslie Toole'!$K41)</f>
        <v/>
      </c>
      <c r="L161" s="134" t="str">
        <f aca="false">IF('Leslie Toole'!$B41="","",'Leslie Toole'!$L41)</f>
        <v/>
      </c>
      <c r="M161" s="132" t="str">
        <f aca="false">IF('Leslie Toole'!$B41="","",'Leslie Toole'!$M41)</f>
        <v/>
      </c>
      <c r="N161" s="132" t="str">
        <f aca="false">IF('Leslie Toole'!$B41="","",'Leslie Toole'!$N41)</f>
        <v/>
      </c>
      <c r="O161" s="134" t="str">
        <f aca="false">IF('Leslie Toole'!$B41="","",'Leslie Toole'!$O41)</f>
        <v/>
      </c>
      <c r="P161" s="132" t="str">
        <f aca="false">IF('Leslie Toole'!$B41="","",'Leslie Toole'!$P41)</f>
        <v/>
      </c>
      <c r="Q161" s="131" t="str">
        <f aca="false">IF('Leslie Toole'!$B41="","","Leslie Toole")</f>
        <v/>
      </c>
      <c r="R161" s="131" t="n">
        <f aca="true">IF(OR($B161="",$I161="Complete",$L161=""),0,IF($L161&lt;TODAY(),1,0))</f>
        <v>0</v>
      </c>
      <c r="S161" s="131" t="n">
        <f aca="true">IF(OR($B161="",$I161="Complete",$L161=""),0,IF(AND($L161&gt;=TODAY(),$L161&lt;=TODAY()+7),1,0))</f>
        <v>0</v>
      </c>
      <c r="T161" s="131" t="str">
        <f aca="true">IF(OR($B161="",$L161=""),"",$L161-TODAY())</f>
        <v/>
      </c>
      <c r="U161" s="135" t="str">
        <f aca="false">IF($B161="","",IF($I161="Complete",1,IF($J161="",0,$J161)))</f>
        <v/>
      </c>
      <c r="V161" s="131" t="n">
        <f aca="false">IF($B161="",0,IF($N161="",0,1))</f>
        <v>0</v>
      </c>
      <c r="W161" s="131" t="n">
        <f aca="false">IF($B161="",0,1)</f>
        <v>0</v>
      </c>
    </row>
    <row r="162" customFormat="false" ht="15" hidden="false" customHeight="false" outlineLevel="0" collapsed="false">
      <c r="A162" s="131" t="str">
        <f aca="false">IF('Leslie Toole'!$B42="","",'Leslie Toole'!$A42)</f>
        <v/>
      </c>
      <c r="B162" s="131" t="str">
        <f aca="false">IF('Leslie Toole'!$B42="","",'Leslie Toole'!$B42)</f>
        <v/>
      </c>
      <c r="C162" s="132" t="str">
        <f aca="false">IF('Leslie Toole'!$B42="","",'Leslie Toole'!$C42)</f>
        <v/>
      </c>
      <c r="D162" s="132" t="str">
        <f aca="false">IF('Leslie Toole'!$B42="","",'Leslie Toole'!$D42)</f>
        <v/>
      </c>
      <c r="E162" s="132" t="str">
        <f aca="false">IF('Leslie Toole'!$B42="","",'Leslie Toole'!$E42)</f>
        <v/>
      </c>
      <c r="F162" s="132" t="str">
        <f aca="false">IF('Leslie Toole'!$B42="","",'Leslie Toole'!$F42)</f>
        <v/>
      </c>
      <c r="G162" s="132" t="str">
        <f aca="false">IF('Leslie Toole'!$B42="","",'Leslie Toole'!$G42)</f>
        <v/>
      </c>
      <c r="H162" s="131" t="str">
        <f aca="false">IF('Leslie Toole'!$B42="","",'Leslie Toole'!$H42)</f>
        <v/>
      </c>
      <c r="I162" s="131" t="str">
        <f aca="false">IF('Leslie Toole'!$B42="","",'Leslie Toole'!$I42)</f>
        <v/>
      </c>
      <c r="J162" s="133" t="str">
        <f aca="false">IF('Leslie Toole'!$B42="","",'Leslie Toole'!$J42)</f>
        <v/>
      </c>
      <c r="K162" s="134" t="str">
        <f aca="false">IF('Leslie Toole'!$B42="","",'Leslie Toole'!$K42)</f>
        <v/>
      </c>
      <c r="L162" s="134" t="str">
        <f aca="false">IF('Leslie Toole'!$B42="","",'Leslie Toole'!$L42)</f>
        <v/>
      </c>
      <c r="M162" s="132" t="str">
        <f aca="false">IF('Leslie Toole'!$B42="","",'Leslie Toole'!$M42)</f>
        <v/>
      </c>
      <c r="N162" s="132" t="str">
        <f aca="false">IF('Leslie Toole'!$B42="","",'Leslie Toole'!$N42)</f>
        <v/>
      </c>
      <c r="O162" s="134" t="str">
        <f aca="false">IF('Leslie Toole'!$B42="","",'Leslie Toole'!$O42)</f>
        <v/>
      </c>
      <c r="P162" s="132" t="str">
        <f aca="false">IF('Leslie Toole'!$B42="","",'Leslie Toole'!$P42)</f>
        <v/>
      </c>
      <c r="Q162" s="131" t="str">
        <f aca="false">IF('Leslie Toole'!$B42="","","Leslie Toole")</f>
        <v/>
      </c>
      <c r="R162" s="131" t="n">
        <f aca="true">IF(OR($B162="",$I162="Complete",$L162=""),0,IF($L162&lt;TODAY(),1,0))</f>
        <v>0</v>
      </c>
      <c r="S162" s="131" t="n">
        <f aca="true">IF(OR($B162="",$I162="Complete",$L162=""),0,IF(AND($L162&gt;=TODAY(),$L162&lt;=TODAY()+7),1,0))</f>
        <v>0</v>
      </c>
      <c r="T162" s="131" t="str">
        <f aca="true">IF(OR($B162="",$L162=""),"",$L162-TODAY())</f>
        <v/>
      </c>
      <c r="U162" s="135" t="str">
        <f aca="false">IF($B162="","",IF($I162="Complete",1,IF($J162="",0,$J162)))</f>
        <v/>
      </c>
      <c r="V162" s="131" t="n">
        <f aca="false">IF($B162="",0,IF($N162="",0,1))</f>
        <v>0</v>
      </c>
      <c r="W162" s="131" t="n">
        <f aca="false">IF($B162="",0,1)</f>
        <v>0</v>
      </c>
    </row>
    <row r="163" customFormat="false" ht="15" hidden="false" customHeight="false" outlineLevel="0" collapsed="false">
      <c r="A163" s="131" t="str">
        <f aca="false">IF('Leslie Toole'!$B43="","",'Leslie Toole'!$A43)</f>
        <v/>
      </c>
      <c r="B163" s="131" t="str">
        <f aca="false">IF('Leslie Toole'!$B43="","",'Leslie Toole'!$B43)</f>
        <v/>
      </c>
      <c r="C163" s="132" t="str">
        <f aca="false">IF('Leslie Toole'!$B43="","",'Leslie Toole'!$C43)</f>
        <v/>
      </c>
      <c r="D163" s="132" t="str">
        <f aca="false">IF('Leslie Toole'!$B43="","",'Leslie Toole'!$D43)</f>
        <v/>
      </c>
      <c r="E163" s="132" t="str">
        <f aca="false">IF('Leslie Toole'!$B43="","",'Leslie Toole'!$E43)</f>
        <v/>
      </c>
      <c r="F163" s="132" t="str">
        <f aca="false">IF('Leslie Toole'!$B43="","",'Leslie Toole'!$F43)</f>
        <v/>
      </c>
      <c r="G163" s="132" t="str">
        <f aca="false">IF('Leslie Toole'!$B43="","",'Leslie Toole'!$G43)</f>
        <v/>
      </c>
      <c r="H163" s="131" t="str">
        <f aca="false">IF('Leslie Toole'!$B43="","",'Leslie Toole'!$H43)</f>
        <v/>
      </c>
      <c r="I163" s="131" t="str">
        <f aca="false">IF('Leslie Toole'!$B43="","",'Leslie Toole'!$I43)</f>
        <v/>
      </c>
      <c r="J163" s="133" t="str">
        <f aca="false">IF('Leslie Toole'!$B43="","",'Leslie Toole'!$J43)</f>
        <v/>
      </c>
      <c r="K163" s="134" t="str">
        <f aca="false">IF('Leslie Toole'!$B43="","",'Leslie Toole'!$K43)</f>
        <v/>
      </c>
      <c r="L163" s="134" t="str">
        <f aca="false">IF('Leslie Toole'!$B43="","",'Leslie Toole'!$L43)</f>
        <v/>
      </c>
      <c r="M163" s="132" t="str">
        <f aca="false">IF('Leslie Toole'!$B43="","",'Leslie Toole'!$M43)</f>
        <v/>
      </c>
      <c r="N163" s="132" t="str">
        <f aca="false">IF('Leslie Toole'!$B43="","",'Leslie Toole'!$N43)</f>
        <v/>
      </c>
      <c r="O163" s="134" t="str">
        <f aca="false">IF('Leslie Toole'!$B43="","",'Leslie Toole'!$O43)</f>
        <v/>
      </c>
      <c r="P163" s="132" t="str">
        <f aca="false">IF('Leslie Toole'!$B43="","",'Leslie Toole'!$P43)</f>
        <v/>
      </c>
      <c r="Q163" s="131" t="str">
        <f aca="false">IF('Leslie Toole'!$B43="","","Leslie Toole")</f>
        <v/>
      </c>
      <c r="R163" s="131" t="n">
        <f aca="true">IF(OR($B163="",$I163="Complete",$L163=""),0,IF($L163&lt;TODAY(),1,0))</f>
        <v>0</v>
      </c>
      <c r="S163" s="131" t="n">
        <f aca="true">IF(OR($B163="",$I163="Complete",$L163=""),0,IF(AND($L163&gt;=TODAY(),$L163&lt;=TODAY()+7),1,0))</f>
        <v>0</v>
      </c>
      <c r="T163" s="131" t="str">
        <f aca="true">IF(OR($B163="",$L163=""),"",$L163-TODAY())</f>
        <v/>
      </c>
      <c r="U163" s="135" t="str">
        <f aca="false">IF($B163="","",IF($I163="Complete",1,IF($J163="",0,$J163)))</f>
        <v/>
      </c>
      <c r="V163" s="131" t="n">
        <f aca="false">IF($B163="",0,IF($N163="",0,1))</f>
        <v>0</v>
      </c>
      <c r="W163" s="131" t="n">
        <f aca="false">IF($B163="",0,1)</f>
        <v>0</v>
      </c>
    </row>
    <row r="164" customFormat="false" ht="15" hidden="false" customHeight="false" outlineLevel="0" collapsed="false">
      <c r="A164" s="131" t="str">
        <f aca="false">IF('Leslie Toole'!$B44="","",'Leslie Toole'!$A44)</f>
        <v/>
      </c>
      <c r="B164" s="131" t="str">
        <f aca="false">IF('Leslie Toole'!$B44="","",'Leslie Toole'!$B44)</f>
        <v/>
      </c>
      <c r="C164" s="132" t="str">
        <f aca="false">IF('Leslie Toole'!$B44="","",'Leslie Toole'!$C44)</f>
        <v/>
      </c>
      <c r="D164" s="132" t="str">
        <f aca="false">IF('Leslie Toole'!$B44="","",'Leslie Toole'!$D44)</f>
        <v/>
      </c>
      <c r="E164" s="132" t="str">
        <f aca="false">IF('Leslie Toole'!$B44="","",'Leslie Toole'!$E44)</f>
        <v/>
      </c>
      <c r="F164" s="132" t="str">
        <f aca="false">IF('Leslie Toole'!$B44="","",'Leslie Toole'!$F44)</f>
        <v/>
      </c>
      <c r="G164" s="132" t="str">
        <f aca="false">IF('Leslie Toole'!$B44="","",'Leslie Toole'!$G44)</f>
        <v/>
      </c>
      <c r="H164" s="131" t="str">
        <f aca="false">IF('Leslie Toole'!$B44="","",'Leslie Toole'!$H44)</f>
        <v/>
      </c>
      <c r="I164" s="131" t="str">
        <f aca="false">IF('Leslie Toole'!$B44="","",'Leslie Toole'!$I44)</f>
        <v/>
      </c>
      <c r="J164" s="133" t="str">
        <f aca="false">IF('Leslie Toole'!$B44="","",'Leslie Toole'!$J44)</f>
        <v/>
      </c>
      <c r="K164" s="134" t="str">
        <f aca="false">IF('Leslie Toole'!$B44="","",'Leslie Toole'!$K44)</f>
        <v/>
      </c>
      <c r="L164" s="134" t="str">
        <f aca="false">IF('Leslie Toole'!$B44="","",'Leslie Toole'!$L44)</f>
        <v/>
      </c>
      <c r="M164" s="132" t="str">
        <f aca="false">IF('Leslie Toole'!$B44="","",'Leslie Toole'!$M44)</f>
        <v/>
      </c>
      <c r="N164" s="132" t="str">
        <f aca="false">IF('Leslie Toole'!$B44="","",'Leslie Toole'!$N44)</f>
        <v/>
      </c>
      <c r="O164" s="134" t="str">
        <f aca="false">IF('Leslie Toole'!$B44="","",'Leslie Toole'!$O44)</f>
        <v/>
      </c>
      <c r="P164" s="132" t="str">
        <f aca="false">IF('Leslie Toole'!$B44="","",'Leslie Toole'!$P44)</f>
        <v/>
      </c>
      <c r="Q164" s="131" t="str">
        <f aca="false">IF('Leslie Toole'!$B44="","","Leslie Toole")</f>
        <v/>
      </c>
      <c r="R164" s="131" t="n">
        <f aca="true">IF(OR($B164="",$I164="Complete",$L164=""),0,IF($L164&lt;TODAY(),1,0))</f>
        <v>0</v>
      </c>
      <c r="S164" s="131" t="n">
        <f aca="true">IF(OR($B164="",$I164="Complete",$L164=""),0,IF(AND($L164&gt;=TODAY(),$L164&lt;=TODAY()+7),1,0))</f>
        <v>0</v>
      </c>
      <c r="T164" s="131" t="str">
        <f aca="true">IF(OR($B164="",$L164=""),"",$L164-TODAY())</f>
        <v/>
      </c>
      <c r="U164" s="135" t="str">
        <f aca="false">IF($B164="","",IF($I164="Complete",1,IF($J164="",0,$J164)))</f>
        <v/>
      </c>
      <c r="V164" s="131" t="n">
        <f aca="false">IF($B164="",0,IF($N164="",0,1))</f>
        <v>0</v>
      </c>
      <c r="W164" s="131" t="n">
        <f aca="false">IF($B164="",0,1)</f>
        <v>0</v>
      </c>
    </row>
    <row r="165" customFormat="false" ht="19.4" hidden="false" customHeight="false" outlineLevel="0" collapsed="false">
      <c r="A165" s="131" t="str">
        <f aca="false">IF('Leah Hanlon'!$B5="","",'Leah Hanlon'!$A5)</f>
        <v>LH-001</v>
      </c>
      <c r="B165" s="131" t="str">
        <f aca="false">IF('Leah Hanlon'!$B5="","",'Leah Hanlon'!$B5)</f>
        <v>P1-1</v>
      </c>
      <c r="C165" s="132" t="str">
        <f aca="false">IF('Leah Hanlon'!$B5="","",'Leah Hanlon'!$C5)</f>
        <v>1 – Unified Development System</v>
      </c>
      <c r="D165" s="132" t="str">
        <f aca="false">IF('Leah Hanlon'!$B5="","",'Leah Hanlon'!$D5)</f>
        <v>Implement standardized Mutual Evaluation Process (MEP) across all brands</v>
      </c>
      <c r="E165" s="132" t="str">
        <f aca="false">IF('Leah Hanlon'!$B5="","",'Leah Hanlon'!$E5)</f>
        <v>Leah Hanlon</v>
      </c>
      <c r="F165" s="132" t="str">
        <f aca="false">IF('Leah Hanlon'!$B5="","",'Leah Hanlon'!$F5)</f>
        <v>Contributor</v>
      </c>
      <c r="G165" s="132" t="str">
        <f aca="false">IF('Leah Hanlon'!$B5="","",'Leah Hanlon'!$G5)</f>
        <v>Training Section 1-3 in Fran Dev 101</v>
      </c>
      <c r="H165" s="131" t="str">
        <f aca="false">IF('Leah Hanlon'!$B5="","",'Leah Hanlon'!$H5)</f>
        <v>Medium</v>
      </c>
      <c r="I165" s="131" t="str">
        <f aca="false">IF('Leah Hanlon'!$B5="","",'Leah Hanlon'!$I5)</f>
        <v>In Progress</v>
      </c>
      <c r="J165" s="133" t="n">
        <f aca="false">IF('Leah Hanlon'!$B5="","",'Leah Hanlon'!$J5)</f>
        <v>0.5</v>
      </c>
      <c r="K165" s="134" t="n">
        <f aca="false">IF('Leah Hanlon'!$B5="","",'Leah Hanlon'!$K5)</f>
        <v>46162</v>
      </c>
      <c r="L165" s="134" t="n">
        <f aca="false">IF('Leah Hanlon'!$B5="","",'Leah Hanlon'!$L5)</f>
        <v>46186</v>
      </c>
      <c r="M165" s="132" t="n">
        <f aca="false">IF('Leah Hanlon'!$B5="","",'Leah Hanlon'!$M5)</f>
        <v>0</v>
      </c>
      <c r="N165" s="132" t="n">
        <f aca="false">IF('Leah Hanlon'!$B5="","",'Leah Hanlon'!$N5)</f>
        <v>0</v>
      </c>
      <c r="O165" s="134" t="str">
        <f aca="false">IF('Leah Hanlon'!$B5="","",'Leah Hanlon'!$O5)</f>
        <v>Assigned 5/20</v>
      </c>
      <c r="P165" s="132" t="str">
        <f aca="false">IF('Leah Hanlon'!$B5="","",'Leah Hanlon'!$P5)</f>
        <v>Complete sections 2-3</v>
      </c>
      <c r="Q165" s="131" t="str">
        <f aca="false">IF('Leah Hanlon'!$B5="","","Leah Hanlon")</f>
        <v>Leah Hanlon</v>
      </c>
      <c r="R165" s="131" t="n">
        <f aca="true">IF(OR($B165="",$I165="Complete",$L165=""),0,IF($L165&lt;TODAY(),1,0))</f>
        <v>0</v>
      </c>
      <c r="S165" s="131" t="n">
        <f aca="true">IF(OR($B165="",$I165="Complete",$L165=""),0,IF(AND($L165&gt;=TODAY(),$L165&lt;=TODAY()+7),1,0))</f>
        <v>0</v>
      </c>
      <c r="T165" s="131" t="n">
        <f aca="true">IF(OR($B165="",$L165=""),"",$L165-TODAY())</f>
        <v>16</v>
      </c>
      <c r="U165" s="135" t="n">
        <f aca="false">IF($B165="","",IF($I165="Complete",1,IF($J165="",0,$J165)))</f>
        <v>0.5</v>
      </c>
      <c r="V165" s="131" t="n">
        <f aca="false">IF($B165="",0,IF($N165="",0,1))</f>
        <v>0</v>
      </c>
      <c r="W165" s="131" t="n">
        <f aca="false">IF($B165="",0,1)</f>
        <v>1</v>
      </c>
    </row>
    <row r="166" customFormat="false" ht="15" hidden="false" customHeight="false" outlineLevel="0" collapsed="false">
      <c r="A166" s="131" t="str">
        <f aca="false">IF('Leah Hanlon'!$B6="","",'Leah Hanlon'!$A6)</f>
        <v/>
      </c>
      <c r="B166" s="131" t="str">
        <f aca="false">IF('Leah Hanlon'!$B6="","",'Leah Hanlon'!$B6)</f>
        <v/>
      </c>
      <c r="C166" s="132" t="str">
        <f aca="false">IF('Leah Hanlon'!$B6="","",'Leah Hanlon'!$C6)</f>
        <v/>
      </c>
      <c r="D166" s="132" t="str">
        <f aca="false">IF('Leah Hanlon'!$B6="","",'Leah Hanlon'!$D6)</f>
        <v/>
      </c>
      <c r="E166" s="132" t="str">
        <f aca="false">IF('Leah Hanlon'!$B6="","",'Leah Hanlon'!$E6)</f>
        <v/>
      </c>
      <c r="F166" s="132" t="str">
        <f aca="false">IF('Leah Hanlon'!$B6="","",'Leah Hanlon'!$F6)</f>
        <v/>
      </c>
      <c r="G166" s="132" t="str">
        <f aca="false">IF('Leah Hanlon'!$B6="","",'Leah Hanlon'!$G6)</f>
        <v/>
      </c>
      <c r="H166" s="131" t="str">
        <f aca="false">IF('Leah Hanlon'!$B6="","",'Leah Hanlon'!$H6)</f>
        <v/>
      </c>
      <c r="I166" s="131" t="str">
        <f aca="false">IF('Leah Hanlon'!$B6="","",'Leah Hanlon'!$I6)</f>
        <v/>
      </c>
      <c r="J166" s="133" t="str">
        <f aca="false">IF('Leah Hanlon'!$B6="","",'Leah Hanlon'!$J6)</f>
        <v/>
      </c>
      <c r="K166" s="134" t="str">
        <f aca="false">IF('Leah Hanlon'!$B6="","",'Leah Hanlon'!$K6)</f>
        <v/>
      </c>
      <c r="L166" s="134" t="str">
        <f aca="false">IF('Leah Hanlon'!$B6="","",'Leah Hanlon'!$L6)</f>
        <v/>
      </c>
      <c r="M166" s="132" t="str">
        <f aca="false">IF('Leah Hanlon'!$B6="","",'Leah Hanlon'!$M6)</f>
        <v/>
      </c>
      <c r="N166" s="132" t="str">
        <f aca="false">IF('Leah Hanlon'!$B6="","",'Leah Hanlon'!$N6)</f>
        <v/>
      </c>
      <c r="O166" s="134" t="str">
        <f aca="false">IF('Leah Hanlon'!$B6="","",'Leah Hanlon'!$O6)</f>
        <v/>
      </c>
      <c r="P166" s="132" t="str">
        <f aca="false">IF('Leah Hanlon'!$B6="","",'Leah Hanlon'!$P6)</f>
        <v/>
      </c>
      <c r="Q166" s="131" t="str">
        <f aca="false">IF('Leah Hanlon'!$B6="","","Leah Hanlon")</f>
        <v/>
      </c>
      <c r="R166" s="131" t="n">
        <f aca="true">IF(OR($B166="",$I166="Complete",$L166=""),0,IF($L166&lt;TODAY(),1,0))</f>
        <v>0</v>
      </c>
      <c r="S166" s="131" t="n">
        <f aca="true">IF(OR($B166="",$I166="Complete",$L166=""),0,IF(AND($L166&gt;=TODAY(),$L166&lt;=TODAY()+7),1,0))</f>
        <v>0</v>
      </c>
      <c r="T166" s="131" t="str">
        <f aca="true">IF(OR($B166="",$L166=""),"",$L166-TODAY())</f>
        <v/>
      </c>
      <c r="U166" s="135" t="str">
        <f aca="false">IF($B166="","",IF($I166="Complete",1,IF($J166="",0,$J166)))</f>
        <v/>
      </c>
      <c r="V166" s="131" t="n">
        <f aca="false">IF($B166="",0,IF($N166="",0,1))</f>
        <v>0</v>
      </c>
      <c r="W166" s="131" t="n">
        <f aca="false">IF($B166="",0,1)</f>
        <v>0</v>
      </c>
    </row>
    <row r="167" customFormat="false" ht="15" hidden="false" customHeight="false" outlineLevel="0" collapsed="false">
      <c r="A167" s="131" t="str">
        <f aca="false">IF('Leah Hanlon'!$B7="","",'Leah Hanlon'!$A7)</f>
        <v/>
      </c>
      <c r="B167" s="131" t="str">
        <f aca="false">IF('Leah Hanlon'!$B7="","",'Leah Hanlon'!$B7)</f>
        <v/>
      </c>
      <c r="C167" s="132" t="str">
        <f aca="false">IF('Leah Hanlon'!$B7="","",'Leah Hanlon'!$C7)</f>
        <v/>
      </c>
      <c r="D167" s="132" t="str">
        <f aca="false">IF('Leah Hanlon'!$B7="","",'Leah Hanlon'!$D7)</f>
        <v/>
      </c>
      <c r="E167" s="132" t="str">
        <f aca="false">IF('Leah Hanlon'!$B7="","",'Leah Hanlon'!$E7)</f>
        <v/>
      </c>
      <c r="F167" s="132" t="str">
        <f aca="false">IF('Leah Hanlon'!$B7="","",'Leah Hanlon'!$F7)</f>
        <v/>
      </c>
      <c r="G167" s="132" t="str">
        <f aca="false">IF('Leah Hanlon'!$B7="","",'Leah Hanlon'!$G7)</f>
        <v/>
      </c>
      <c r="H167" s="131" t="str">
        <f aca="false">IF('Leah Hanlon'!$B7="","",'Leah Hanlon'!$H7)</f>
        <v/>
      </c>
      <c r="I167" s="131" t="str">
        <f aca="false">IF('Leah Hanlon'!$B7="","",'Leah Hanlon'!$I7)</f>
        <v/>
      </c>
      <c r="J167" s="133" t="str">
        <f aca="false">IF('Leah Hanlon'!$B7="","",'Leah Hanlon'!$J7)</f>
        <v/>
      </c>
      <c r="K167" s="134" t="str">
        <f aca="false">IF('Leah Hanlon'!$B7="","",'Leah Hanlon'!$K7)</f>
        <v/>
      </c>
      <c r="L167" s="134" t="str">
        <f aca="false">IF('Leah Hanlon'!$B7="","",'Leah Hanlon'!$L7)</f>
        <v/>
      </c>
      <c r="M167" s="132" t="str">
        <f aca="false">IF('Leah Hanlon'!$B7="","",'Leah Hanlon'!$M7)</f>
        <v/>
      </c>
      <c r="N167" s="132" t="str">
        <f aca="false">IF('Leah Hanlon'!$B7="","",'Leah Hanlon'!$N7)</f>
        <v/>
      </c>
      <c r="O167" s="134" t="str">
        <f aca="false">IF('Leah Hanlon'!$B7="","",'Leah Hanlon'!$O7)</f>
        <v/>
      </c>
      <c r="P167" s="132" t="str">
        <f aca="false">IF('Leah Hanlon'!$B7="","",'Leah Hanlon'!$P7)</f>
        <v/>
      </c>
      <c r="Q167" s="131" t="str">
        <f aca="false">IF('Leah Hanlon'!$B7="","","Leah Hanlon")</f>
        <v/>
      </c>
      <c r="R167" s="131" t="n">
        <f aca="true">IF(OR($B167="",$I167="Complete",$L167=""),0,IF($L167&lt;TODAY(),1,0))</f>
        <v>0</v>
      </c>
      <c r="S167" s="131" t="n">
        <f aca="true">IF(OR($B167="",$I167="Complete",$L167=""),0,IF(AND($L167&gt;=TODAY(),$L167&lt;=TODAY()+7),1,0))</f>
        <v>0</v>
      </c>
      <c r="T167" s="131" t="str">
        <f aca="true">IF(OR($B167="",$L167=""),"",$L167-TODAY())</f>
        <v/>
      </c>
      <c r="U167" s="135" t="str">
        <f aca="false">IF($B167="","",IF($I167="Complete",1,IF($J167="",0,$J167)))</f>
        <v/>
      </c>
      <c r="V167" s="131" t="n">
        <f aca="false">IF($B167="",0,IF($N167="",0,1))</f>
        <v>0</v>
      </c>
      <c r="W167" s="131" t="n">
        <f aca="false">IF($B167="",0,1)</f>
        <v>0</v>
      </c>
    </row>
    <row r="168" customFormat="false" ht="15" hidden="false" customHeight="false" outlineLevel="0" collapsed="false">
      <c r="A168" s="131" t="str">
        <f aca="false">IF('Leah Hanlon'!$B8="","",'Leah Hanlon'!$A8)</f>
        <v/>
      </c>
      <c r="B168" s="131" t="str">
        <f aca="false">IF('Leah Hanlon'!$B8="","",'Leah Hanlon'!$B8)</f>
        <v/>
      </c>
      <c r="C168" s="132" t="str">
        <f aca="false">IF('Leah Hanlon'!$B8="","",'Leah Hanlon'!$C8)</f>
        <v/>
      </c>
      <c r="D168" s="132" t="str">
        <f aca="false">IF('Leah Hanlon'!$B8="","",'Leah Hanlon'!$D8)</f>
        <v/>
      </c>
      <c r="E168" s="132" t="str">
        <f aca="false">IF('Leah Hanlon'!$B8="","",'Leah Hanlon'!$E8)</f>
        <v/>
      </c>
      <c r="F168" s="132" t="str">
        <f aca="false">IF('Leah Hanlon'!$B8="","",'Leah Hanlon'!$F8)</f>
        <v/>
      </c>
      <c r="G168" s="132" t="str">
        <f aca="false">IF('Leah Hanlon'!$B8="","",'Leah Hanlon'!$G8)</f>
        <v/>
      </c>
      <c r="H168" s="131" t="str">
        <f aca="false">IF('Leah Hanlon'!$B8="","",'Leah Hanlon'!$H8)</f>
        <v/>
      </c>
      <c r="I168" s="131" t="str">
        <f aca="false">IF('Leah Hanlon'!$B8="","",'Leah Hanlon'!$I8)</f>
        <v/>
      </c>
      <c r="J168" s="133" t="str">
        <f aca="false">IF('Leah Hanlon'!$B8="","",'Leah Hanlon'!$J8)</f>
        <v/>
      </c>
      <c r="K168" s="134" t="str">
        <f aca="false">IF('Leah Hanlon'!$B8="","",'Leah Hanlon'!$K8)</f>
        <v/>
      </c>
      <c r="L168" s="134" t="str">
        <f aca="false">IF('Leah Hanlon'!$B8="","",'Leah Hanlon'!$L8)</f>
        <v/>
      </c>
      <c r="M168" s="132" t="str">
        <f aca="false">IF('Leah Hanlon'!$B8="","",'Leah Hanlon'!$M8)</f>
        <v/>
      </c>
      <c r="N168" s="132" t="str">
        <f aca="false">IF('Leah Hanlon'!$B8="","",'Leah Hanlon'!$N8)</f>
        <v/>
      </c>
      <c r="O168" s="134" t="str">
        <f aca="false">IF('Leah Hanlon'!$B8="","",'Leah Hanlon'!$O8)</f>
        <v/>
      </c>
      <c r="P168" s="132" t="str">
        <f aca="false">IF('Leah Hanlon'!$B8="","",'Leah Hanlon'!$P8)</f>
        <v/>
      </c>
      <c r="Q168" s="131" t="str">
        <f aca="false">IF('Leah Hanlon'!$B8="","","Leah Hanlon")</f>
        <v/>
      </c>
      <c r="R168" s="131" t="n">
        <f aca="true">IF(OR($B168="",$I168="Complete",$L168=""),0,IF($L168&lt;TODAY(),1,0))</f>
        <v>0</v>
      </c>
      <c r="S168" s="131" t="n">
        <f aca="true">IF(OR($B168="",$I168="Complete",$L168=""),0,IF(AND($L168&gt;=TODAY(),$L168&lt;=TODAY()+7),1,0))</f>
        <v>0</v>
      </c>
      <c r="T168" s="131" t="str">
        <f aca="true">IF(OR($B168="",$L168=""),"",$L168-TODAY())</f>
        <v/>
      </c>
      <c r="U168" s="135" t="str">
        <f aca="false">IF($B168="","",IF($I168="Complete",1,IF($J168="",0,$J168)))</f>
        <v/>
      </c>
      <c r="V168" s="131" t="n">
        <f aca="false">IF($B168="",0,IF($N168="",0,1))</f>
        <v>0</v>
      </c>
      <c r="W168" s="131" t="n">
        <f aca="false">IF($B168="",0,1)</f>
        <v>0</v>
      </c>
    </row>
    <row r="169" customFormat="false" ht="15" hidden="false" customHeight="false" outlineLevel="0" collapsed="false">
      <c r="A169" s="131" t="str">
        <f aca="false">IF('Leah Hanlon'!$B9="","",'Leah Hanlon'!$A9)</f>
        <v/>
      </c>
      <c r="B169" s="131" t="str">
        <f aca="false">IF('Leah Hanlon'!$B9="","",'Leah Hanlon'!$B9)</f>
        <v/>
      </c>
      <c r="C169" s="132" t="str">
        <f aca="false">IF('Leah Hanlon'!$B9="","",'Leah Hanlon'!$C9)</f>
        <v/>
      </c>
      <c r="D169" s="132" t="str">
        <f aca="false">IF('Leah Hanlon'!$B9="","",'Leah Hanlon'!$D9)</f>
        <v/>
      </c>
      <c r="E169" s="132" t="str">
        <f aca="false">IF('Leah Hanlon'!$B9="","",'Leah Hanlon'!$E9)</f>
        <v/>
      </c>
      <c r="F169" s="132" t="str">
        <f aca="false">IF('Leah Hanlon'!$B9="","",'Leah Hanlon'!$F9)</f>
        <v/>
      </c>
      <c r="G169" s="132" t="str">
        <f aca="false">IF('Leah Hanlon'!$B9="","",'Leah Hanlon'!$G9)</f>
        <v/>
      </c>
      <c r="H169" s="131" t="str">
        <f aca="false">IF('Leah Hanlon'!$B9="","",'Leah Hanlon'!$H9)</f>
        <v/>
      </c>
      <c r="I169" s="131" t="str">
        <f aca="false">IF('Leah Hanlon'!$B9="","",'Leah Hanlon'!$I9)</f>
        <v/>
      </c>
      <c r="J169" s="133" t="str">
        <f aca="false">IF('Leah Hanlon'!$B9="","",'Leah Hanlon'!$J9)</f>
        <v/>
      </c>
      <c r="K169" s="134" t="str">
        <f aca="false">IF('Leah Hanlon'!$B9="","",'Leah Hanlon'!$K9)</f>
        <v/>
      </c>
      <c r="L169" s="134" t="str">
        <f aca="false">IF('Leah Hanlon'!$B9="","",'Leah Hanlon'!$L9)</f>
        <v/>
      </c>
      <c r="M169" s="132" t="str">
        <f aca="false">IF('Leah Hanlon'!$B9="","",'Leah Hanlon'!$M9)</f>
        <v/>
      </c>
      <c r="N169" s="132" t="str">
        <f aca="false">IF('Leah Hanlon'!$B9="","",'Leah Hanlon'!$N9)</f>
        <v/>
      </c>
      <c r="O169" s="134" t="str">
        <f aca="false">IF('Leah Hanlon'!$B9="","",'Leah Hanlon'!$O9)</f>
        <v/>
      </c>
      <c r="P169" s="132" t="str">
        <f aca="false">IF('Leah Hanlon'!$B9="","",'Leah Hanlon'!$P9)</f>
        <v/>
      </c>
      <c r="Q169" s="131" t="str">
        <f aca="false">IF('Leah Hanlon'!$B9="","","Leah Hanlon")</f>
        <v/>
      </c>
      <c r="R169" s="131" t="n">
        <f aca="true">IF(OR($B169="",$I169="Complete",$L169=""),0,IF($L169&lt;TODAY(),1,0))</f>
        <v>0</v>
      </c>
      <c r="S169" s="131" t="n">
        <f aca="true">IF(OR($B169="",$I169="Complete",$L169=""),0,IF(AND($L169&gt;=TODAY(),$L169&lt;=TODAY()+7),1,0))</f>
        <v>0</v>
      </c>
      <c r="T169" s="131" t="str">
        <f aca="true">IF(OR($B169="",$L169=""),"",$L169-TODAY())</f>
        <v/>
      </c>
      <c r="U169" s="135" t="str">
        <f aca="false">IF($B169="","",IF($I169="Complete",1,IF($J169="",0,$J169)))</f>
        <v/>
      </c>
      <c r="V169" s="131" t="n">
        <f aca="false">IF($B169="",0,IF($N169="",0,1))</f>
        <v>0</v>
      </c>
      <c r="W169" s="131" t="n">
        <f aca="false">IF($B169="",0,1)</f>
        <v>0</v>
      </c>
    </row>
    <row r="170" customFormat="false" ht="15" hidden="false" customHeight="false" outlineLevel="0" collapsed="false">
      <c r="A170" s="131" t="str">
        <f aca="false">IF('Leah Hanlon'!$B10="","",'Leah Hanlon'!$A10)</f>
        <v/>
      </c>
      <c r="B170" s="131" t="str">
        <f aca="false">IF('Leah Hanlon'!$B10="","",'Leah Hanlon'!$B10)</f>
        <v/>
      </c>
      <c r="C170" s="132" t="str">
        <f aca="false">IF('Leah Hanlon'!$B10="","",'Leah Hanlon'!$C10)</f>
        <v/>
      </c>
      <c r="D170" s="132" t="str">
        <f aca="false">IF('Leah Hanlon'!$B10="","",'Leah Hanlon'!$D10)</f>
        <v/>
      </c>
      <c r="E170" s="132" t="str">
        <f aca="false">IF('Leah Hanlon'!$B10="","",'Leah Hanlon'!$E10)</f>
        <v/>
      </c>
      <c r="F170" s="132" t="str">
        <f aca="false">IF('Leah Hanlon'!$B10="","",'Leah Hanlon'!$F10)</f>
        <v/>
      </c>
      <c r="G170" s="132" t="str">
        <f aca="false">IF('Leah Hanlon'!$B10="","",'Leah Hanlon'!$G10)</f>
        <v/>
      </c>
      <c r="H170" s="131" t="str">
        <f aca="false">IF('Leah Hanlon'!$B10="","",'Leah Hanlon'!$H10)</f>
        <v/>
      </c>
      <c r="I170" s="131" t="str">
        <f aca="false">IF('Leah Hanlon'!$B10="","",'Leah Hanlon'!$I10)</f>
        <v/>
      </c>
      <c r="J170" s="133" t="str">
        <f aca="false">IF('Leah Hanlon'!$B10="","",'Leah Hanlon'!$J10)</f>
        <v/>
      </c>
      <c r="K170" s="134" t="str">
        <f aca="false">IF('Leah Hanlon'!$B10="","",'Leah Hanlon'!$K10)</f>
        <v/>
      </c>
      <c r="L170" s="134" t="str">
        <f aca="false">IF('Leah Hanlon'!$B10="","",'Leah Hanlon'!$L10)</f>
        <v/>
      </c>
      <c r="M170" s="132" t="str">
        <f aca="false">IF('Leah Hanlon'!$B10="","",'Leah Hanlon'!$M10)</f>
        <v/>
      </c>
      <c r="N170" s="132" t="str">
        <f aca="false">IF('Leah Hanlon'!$B10="","",'Leah Hanlon'!$N10)</f>
        <v/>
      </c>
      <c r="O170" s="134" t="str">
        <f aca="false">IF('Leah Hanlon'!$B10="","",'Leah Hanlon'!$O10)</f>
        <v/>
      </c>
      <c r="P170" s="132" t="str">
        <f aca="false">IF('Leah Hanlon'!$B10="","",'Leah Hanlon'!$P10)</f>
        <v/>
      </c>
      <c r="Q170" s="131" t="str">
        <f aca="false">IF('Leah Hanlon'!$B10="","","Leah Hanlon")</f>
        <v/>
      </c>
      <c r="R170" s="131" t="n">
        <f aca="true">IF(OR($B170="",$I170="Complete",$L170=""),0,IF($L170&lt;TODAY(),1,0))</f>
        <v>0</v>
      </c>
      <c r="S170" s="131" t="n">
        <f aca="true">IF(OR($B170="",$I170="Complete",$L170=""),0,IF(AND($L170&gt;=TODAY(),$L170&lt;=TODAY()+7),1,0))</f>
        <v>0</v>
      </c>
      <c r="T170" s="131" t="str">
        <f aca="true">IF(OR($B170="",$L170=""),"",$L170-TODAY())</f>
        <v/>
      </c>
      <c r="U170" s="135" t="str">
        <f aca="false">IF($B170="","",IF($I170="Complete",1,IF($J170="",0,$J170)))</f>
        <v/>
      </c>
      <c r="V170" s="131" t="n">
        <f aca="false">IF($B170="",0,IF($N170="",0,1))</f>
        <v>0</v>
      </c>
      <c r="W170" s="131" t="n">
        <f aca="false">IF($B170="",0,1)</f>
        <v>0</v>
      </c>
    </row>
    <row r="171" customFormat="false" ht="15" hidden="false" customHeight="false" outlineLevel="0" collapsed="false">
      <c r="A171" s="131" t="str">
        <f aca="false">IF('Leah Hanlon'!$B11="","",'Leah Hanlon'!$A11)</f>
        <v/>
      </c>
      <c r="B171" s="131" t="str">
        <f aca="false">IF('Leah Hanlon'!$B11="","",'Leah Hanlon'!$B11)</f>
        <v/>
      </c>
      <c r="C171" s="132" t="str">
        <f aca="false">IF('Leah Hanlon'!$B11="","",'Leah Hanlon'!$C11)</f>
        <v/>
      </c>
      <c r="D171" s="132" t="str">
        <f aca="false">IF('Leah Hanlon'!$B11="","",'Leah Hanlon'!$D11)</f>
        <v/>
      </c>
      <c r="E171" s="132" t="str">
        <f aca="false">IF('Leah Hanlon'!$B11="","",'Leah Hanlon'!$E11)</f>
        <v/>
      </c>
      <c r="F171" s="132" t="str">
        <f aca="false">IF('Leah Hanlon'!$B11="","",'Leah Hanlon'!$F11)</f>
        <v/>
      </c>
      <c r="G171" s="132" t="str">
        <f aca="false">IF('Leah Hanlon'!$B11="","",'Leah Hanlon'!$G11)</f>
        <v/>
      </c>
      <c r="H171" s="131" t="str">
        <f aca="false">IF('Leah Hanlon'!$B11="","",'Leah Hanlon'!$H11)</f>
        <v/>
      </c>
      <c r="I171" s="131" t="str">
        <f aca="false">IF('Leah Hanlon'!$B11="","",'Leah Hanlon'!$I11)</f>
        <v/>
      </c>
      <c r="J171" s="133" t="str">
        <f aca="false">IF('Leah Hanlon'!$B11="","",'Leah Hanlon'!$J11)</f>
        <v/>
      </c>
      <c r="K171" s="134" t="str">
        <f aca="false">IF('Leah Hanlon'!$B11="","",'Leah Hanlon'!$K11)</f>
        <v/>
      </c>
      <c r="L171" s="134" t="str">
        <f aca="false">IF('Leah Hanlon'!$B11="","",'Leah Hanlon'!$L11)</f>
        <v/>
      </c>
      <c r="M171" s="132" t="str">
        <f aca="false">IF('Leah Hanlon'!$B11="","",'Leah Hanlon'!$M11)</f>
        <v/>
      </c>
      <c r="N171" s="132" t="str">
        <f aca="false">IF('Leah Hanlon'!$B11="","",'Leah Hanlon'!$N11)</f>
        <v/>
      </c>
      <c r="O171" s="134" t="str">
        <f aca="false">IF('Leah Hanlon'!$B11="","",'Leah Hanlon'!$O11)</f>
        <v/>
      </c>
      <c r="P171" s="132" t="str">
        <f aca="false">IF('Leah Hanlon'!$B11="","",'Leah Hanlon'!$P11)</f>
        <v/>
      </c>
      <c r="Q171" s="131" t="str">
        <f aca="false">IF('Leah Hanlon'!$B11="","","Leah Hanlon")</f>
        <v/>
      </c>
      <c r="R171" s="131" t="n">
        <f aca="true">IF(OR($B171="",$I171="Complete",$L171=""),0,IF($L171&lt;TODAY(),1,0))</f>
        <v>0</v>
      </c>
      <c r="S171" s="131" t="n">
        <f aca="true">IF(OR($B171="",$I171="Complete",$L171=""),0,IF(AND($L171&gt;=TODAY(),$L171&lt;=TODAY()+7),1,0))</f>
        <v>0</v>
      </c>
      <c r="T171" s="131" t="str">
        <f aca="true">IF(OR($B171="",$L171=""),"",$L171-TODAY())</f>
        <v/>
      </c>
      <c r="U171" s="135" t="str">
        <f aca="false">IF($B171="","",IF($I171="Complete",1,IF($J171="",0,$J171)))</f>
        <v/>
      </c>
      <c r="V171" s="131" t="n">
        <f aca="false">IF($B171="",0,IF($N171="",0,1))</f>
        <v>0</v>
      </c>
      <c r="W171" s="131" t="n">
        <f aca="false">IF($B171="",0,1)</f>
        <v>0</v>
      </c>
    </row>
    <row r="172" customFormat="false" ht="15" hidden="false" customHeight="false" outlineLevel="0" collapsed="false">
      <c r="A172" s="131" t="str">
        <f aca="false">IF('Leah Hanlon'!$B12="","",'Leah Hanlon'!$A12)</f>
        <v/>
      </c>
      <c r="B172" s="131" t="str">
        <f aca="false">IF('Leah Hanlon'!$B12="","",'Leah Hanlon'!$B12)</f>
        <v/>
      </c>
      <c r="C172" s="132" t="str">
        <f aca="false">IF('Leah Hanlon'!$B12="","",'Leah Hanlon'!$C12)</f>
        <v/>
      </c>
      <c r="D172" s="132" t="str">
        <f aca="false">IF('Leah Hanlon'!$B12="","",'Leah Hanlon'!$D12)</f>
        <v/>
      </c>
      <c r="E172" s="132" t="str">
        <f aca="false">IF('Leah Hanlon'!$B12="","",'Leah Hanlon'!$E12)</f>
        <v/>
      </c>
      <c r="F172" s="132" t="str">
        <f aca="false">IF('Leah Hanlon'!$B12="","",'Leah Hanlon'!$F12)</f>
        <v/>
      </c>
      <c r="G172" s="132" t="str">
        <f aca="false">IF('Leah Hanlon'!$B12="","",'Leah Hanlon'!$G12)</f>
        <v/>
      </c>
      <c r="H172" s="131" t="str">
        <f aca="false">IF('Leah Hanlon'!$B12="","",'Leah Hanlon'!$H12)</f>
        <v/>
      </c>
      <c r="I172" s="131" t="str">
        <f aca="false">IF('Leah Hanlon'!$B12="","",'Leah Hanlon'!$I12)</f>
        <v/>
      </c>
      <c r="J172" s="133" t="str">
        <f aca="false">IF('Leah Hanlon'!$B12="","",'Leah Hanlon'!$J12)</f>
        <v/>
      </c>
      <c r="K172" s="134" t="str">
        <f aca="false">IF('Leah Hanlon'!$B12="","",'Leah Hanlon'!$K12)</f>
        <v/>
      </c>
      <c r="L172" s="134" t="str">
        <f aca="false">IF('Leah Hanlon'!$B12="","",'Leah Hanlon'!$L12)</f>
        <v/>
      </c>
      <c r="M172" s="132" t="str">
        <f aca="false">IF('Leah Hanlon'!$B12="","",'Leah Hanlon'!$M12)</f>
        <v/>
      </c>
      <c r="N172" s="132" t="str">
        <f aca="false">IF('Leah Hanlon'!$B12="","",'Leah Hanlon'!$N12)</f>
        <v/>
      </c>
      <c r="O172" s="134" t="str">
        <f aca="false">IF('Leah Hanlon'!$B12="","",'Leah Hanlon'!$O12)</f>
        <v/>
      </c>
      <c r="P172" s="132" t="str">
        <f aca="false">IF('Leah Hanlon'!$B12="","",'Leah Hanlon'!$P12)</f>
        <v/>
      </c>
      <c r="Q172" s="131" t="str">
        <f aca="false">IF('Leah Hanlon'!$B12="","","Leah Hanlon")</f>
        <v/>
      </c>
      <c r="R172" s="131" t="n">
        <f aca="true">IF(OR($B172="",$I172="Complete",$L172=""),0,IF($L172&lt;TODAY(),1,0))</f>
        <v>0</v>
      </c>
      <c r="S172" s="131" t="n">
        <f aca="true">IF(OR($B172="",$I172="Complete",$L172=""),0,IF(AND($L172&gt;=TODAY(),$L172&lt;=TODAY()+7),1,0))</f>
        <v>0</v>
      </c>
      <c r="T172" s="131" t="str">
        <f aca="true">IF(OR($B172="",$L172=""),"",$L172-TODAY())</f>
        <v/>
      </c>
      <c r="U172" s="135" t="str">
        <f aca="false">IF($B172="","",IF($I172="Complete",1,IF($J172="",0,$J172)))</f>
        <v/>
      </c>
      <c r="V172" s="131" t="n">
        <f aca="false">IF($B172="",0,IF($N172="",0,1))</f>
        <v>0</v>
      </c>
      <c r="W172" s="131" t="n">
        <f aca="false">IF($B172="",0,1)</f>
        <v>0</v>
      </c>
    </row>
    <row r="173" customFormat="false" ht="15" hidden="false" customHeight="false" outlineLevel="0" collapsed="false">
      <c r="A173" s="131" t="str">
        <f aca="false">IF('Leah Hanlon'!$B13="","",'Leah Hanlon'!$A13)</f>
        <v/>
      </c>
      <c r="B173" s="131" t="str">
        <f aca="false">IF('Leah Hanlon'!$B13="","",'Leah Hanlon'!$B13)</f>
        <v/>
      </c>
      <c r="C173" s="132" t="str">
        <f aca="false">IF('Leah Hanlon'!$B13="","",'Leah Hanlon'!$C13)</f>
        <v/>
      </c>
      <c r="D173" s="132" t="str">
        <f aca="false">IF('Leah Hanlon'!$B13="","",'Leah Hanlon'!$D13)</f>
        <v/>
      </c>
      <c r="E173" s="132" t="str">
        <f aca="false">IF('Leah Hanlon'!$B13="","",'Leah Hanlon'!$E13)</f>
        <v/>
      </c>
      <c r="F173" s="132" t="str">
        <f aca="false">IF('Leah Hanlon'!$B13="","",'Leah Hanlon'!$F13)</f>
        <v/>
      </c>
      <c r="G173" s="132" t="str">
        <f aca="false">IF('Leah Hanlon'!$B13="","",'Leah Hanlon'!$G13)</f>
        <v/>
      </c>
      <c r="H173" s="131" t="str">
        <f aca="false">IF('Leah Hanlon'!$B13="","",'Leah Hanlon'!$H13)</f>
        <v/>
      </c>
      <c r="I173" s="131" t="str">
        <f aca="false">IF('Leah Hanlon'!$B13="","",'Leah Hanlon'!$I13)</f>
        <v/>
      </c>
      <c r="J173" s="133" t="str">
        <f aca="false">IF('Leah Hanlon'!$B13="","",'Leah Hanlon'!$J13)</f>
        <v/>
      </c>
      <c r="K173" s="134" t="str">
        <f aca="false">IF('Leah Hanlon'!$B13="","",'Leah Hanlon'!$K13)</f>
        <v/>
      </c>
      <c r="L173" s="134" t="str">
        <f aca="false">IF('Leah Hanlon'!$B13="","",'Leah Hanlon'!$L13)</f>
        <v/>
      </c>
      <c r="M173" s="132" t="str">
        <f aca="false">IF('Leah Hanlon'!$B13="","",'Leah Hanlon'!$M13)</f>
        <v/>
      </c>
      <c r="N173" s="132" t="str">
        <f aca="false">IF('Leah Hanlon'!$B13="","",'Leah Hanlon'!$N13)</f>
        <v/>
      </c>
      <c r="O173" s="134" t="str">
        <f aca="false">IF('Leah Hanlon'!$B13="","",'Leah Hanlon'!$O13)</f>
        <v/>
      </c>
      <c r="P173" s="132" t="str">
        <f aca="false">IF('Leah Hanlon'!$B13="","",'Leah Hanlon'!$P13)</f>
        <v/>
      </c>
      <c r="Q173" s="131" t="str">
        <f aca="false">IF('Leah Hanlon'!$B13="","","Leah Hanlon")</f>
        <v/>
      </c>
      <c r="R173" s="131" t="n">
        <f aca="true">IF(OR($B173="",$I173="Complete",$L173=""),0,IF($L173&lt;TODAY(),1,0))</f>
        <v>0</v>
      </c>
      <c r="S173" s="131" t="n">
        <f aca="true">IF(OR($B173="",$I173="Complete",$L173=""),0,IF(AND($L173&gt;=TODAY(),$L173&lt;=TODAY()+7),1,0))</f>
        <v>0</v>
      </c>
      <c r="T173" s="131" t="str">
        <f aca="true">IF(OR($B173="",$L173=""),"",$L173-TODAY())</f>
        <v/>
      </c>
      <c r="U173" s="135" t="str">
        <f aca="false">IF($B173="","",IF($I173="Complete",1,IF($J173="",0,$J173)))</f>
        <v/>
      </c>
      <c r="V173" s="131" t="n">
        <f aca="false">IF($B173="",0,IF($N173="",0,1))</f>
        <v>0</v>
      </c>
      <c r="W173" s="131" t="n">
        <f aca="false">IF($B173="",0,1)</f>
        <v>0</v>
      </c>
    </row>
    <row r="174" customFormat="false" ht="15" hidden="false" customHeight="false" outlineLevel="0" collapsed="false">
      <c r="A174" s="131" t="str">
        <f aca="false">IF('Leah Hanlon'!$B14="","",'Leah Hanlon'!$A14)</f>
        <v/>
      </c>
      <c r="B174" s="131" t="str">
        <f aca="false">IF('Leah Hanlon'!$B14="","",'Leah Hanlon'!$B14)</f>
        <v/>
      </c>
      <c r="C174" s="132" t="str">
        <f aca="false">IF('Leah Hanlon'!$B14="","",'Leah Hanlon'!$C14)</f>
        <v/>
      </c>
      <c r="D174" s="132" t="str">
        <f aca="false">IF('Leah Hanlon'!$B14="","",'Leah Hanlon'!$D14)</f>
        <v/>
      </c>
      <c r="E174" s="132" t="str">
        <f aca="false">IF('Leah Hanlon'!$B14="","",'Leah Hanlon'!$E14)</f>
        <v/>
      </c>
      <c r="F174" s="132" t="str">
        <f aca="false">IF('Leah Hanlon'!$B14="","",'Leah Hanlon'!$F14)</f>
        <v/>
      </c>
      <c r="G174" s="132" t="str">
        <f aca="false">IF('Leah Hanlon'!$B14="","",'Leah Hanlon'!$G14)</f>
        <v/>
      </c>
      <c r="H174" s="131" t="str">
        <f aca="false">IF('Leah Hanlon'!$B14="","",'Leah Hanlon'!$H14)</f>
        <v/>
      </c>
      <c r="I174" s="131" t="str">
        <f aca="false">IF('Leah Hanlon'!$B14="","",'Leah Hanlon'!$I14)</f>
        <v/>
      </c>
      <c r="J174" s="133" t="str">
        <f aca="false">IF('Leah Hanlon'!$B14="","",'Leah Hanlon'!$J14)</f>
        <v/>
      </c>
      <c r="K174" s="134" t="str">
        <f aca="false">IF('Leah Hanlon'!$B14="","",'Leah Hanlon'!$K14)</f>
        <v/>
      </c>
      <c r="L174" s="134" t="str">
        <f aca="false">IF('Leah Hanlon'!$B14="","",'Leah Hanlon'!$L14)</f>
        <v/>
      </c>
      <c r="M174" s="132" t="str">
        <f aca="false">IF('Leah Hanlon'!$B14="","",'Leah Hanlon'!$M14)</f>
        <v/>
      </c>
      <c r="N174" s="132" t="str">
        <f aca="false">IF('Leah Hanlon'!$B14="","",'Leah Hanlon'!$N14)</f>
        <v/>
      </c>
      <c r="O174" s="134" t="str">
        <f aca="false">IF('Leah Hanlon'!$B14="","",'Leah Hanlon'!$O14)</f>
        <v/>
      </c>
      <c r="P174" s="132" t="str">
        <f aca="false">IF('Leah Hanlon'!$B14="","",'Leah Hanlon'!$P14)</f>
        <v/>
      </c>
      <c r="Q174" s="131" t="str">
        <f aca="false">IF('Leah Hanlon'!$B14="","","Leah Hanlon")</f>
        <v/>
      </c>
      <c r="R174" s="131" t="n">
        <f aca="true">IF(OR($B174="",$I174="Complete",$L174=""),0,IF($L174&lt;TODAY(),1,0))</f>
        <v>0</v>
      </c>
      <c r="S174" s="131" t="n">
        <f aca="true">IF(OR($B174="",$I174="Complete",$L174=""),0,IF(AND($L174&gt;=TODAY(),$L174&lt;=TODAY()+7),1,0))</f>
        <v>0</v>
      </c>
      <c r="T174" s="131" t="str">
        <f aca="true">IF(OR($B174="",$L174=""),"",$L174-TODAY())</f>
        <v/>
      </c>
      <c r="U174" s="135" t="str">
        <f aca="false">IF($B174="","",IF($I174="Complete",1,IF($J174="",0,$J174)))</f>
        <v/>
      </c>
      <c r="V174" s="131" t="n">
        <f aca="false">IF($B174="",0,IF($N174="",0,1))</f>
        <v>0</v>
      </c>
      <c r="W174" s="131" t="n">
        <f aca="false">IF($B174="",0,1)</f>
        <v>0</v>
      </c>
    </row>
    <row r="175" customFormat="false" ht="15" hidden="false" customHeight="false" outlineLevel="0" collapsed="false">
      <c r="A175" s="131" t="str">
        <f aca="false">IF('Leah Hanlon'!$B15="","",'Leah Hanlon'!$A15)</f>
        <v/>
      </c>
      <c r="B175" s="131" t="str">
        <f aca="false">IF('Leah Hanlon'!$B15="","",'Leah Hanlon'!$B15)</f>
        <v/>
      </c>
      <c r="C175" s="132" t="str">
        <f aca="false">IF('Leah Hanlon'!$B15="","",'Leah Hanlon'!$C15)</f>
        <v/>
      </c>
      <c r="D175" s="132" t="str">
        <f aca="false">IF('Leah Hanlon'!$B15="","",'Leah Hanlon'!$D15)</f>
        <v/>
      </c>
      <c r="E175" s="132" t="str">
        <f aca="false">IF('Leah Hanlon'!$B15="","",'Leah Hanlon'!$E15)</f>
        <v/>
      </c>
      <c r="F175" s="132" t="str">
        <f aca="false">IF('Leah Hanlon'!$B15="","",'Leah Hanlon'!$F15)</f>
        <v/>
      </c>
      <c r="G175" s="132" t="str">
        <f aca="false">IF('Leah Hanlon'!$B15="","",'Leah Hanlon'!$G15)</f>
        <v/>
      </c>
      <c r="H175" s="131" t="str">
        <f aca="false">IF('Leah Hanlon'!$B15="","",'Leah Hanlon'!$H15)</f>
        <v/>
      </c>
      <c r="I175" s="131" t="str">
        <f aca="false">IF('Leah Hanlon'!$B15="","",'Leah Hanlon'!$I15)</f>
        <v/>
      </c>
      <c r="J175" s="133" t="str">
        <f aca="false">IF('Leah Hanlon'!$B15="","",'Leah Hanlon'!$J15)</f>
        <v/>
      </c>
      <c r="K175" s="134" t="str">
        <f aca="false">IF('Leah Hanlon'!$B15="","",'Leah Hanlon'!$K15)</f>
        <v/>
      </c>
      <c r="L175" s="134" t="str">
        <f aca="false">IF('Leah Hanlon'!$B15="","",'Leah Hanlon'!$L15)</f>
        <v/>
      </c>
      <c r="M175" s="132" t="str">
        <f aca="false">IF('Leah Hanlon'!$B15="","",'Leah Hanlon'!$M15)</f>
        <v/>
      </c>
      <c r="N175" s="132" t="str">
        <f aca="false">IF('Leah Hanlon'!$B15="","",'Leah Hanlon'!$N15)</f>
        <v/>
      </c>
      <c r="O175" s="134" t="str">
        <f aca="false">IF('Leah Hanlon'!$B15="","",'Leah Hanlon'!$O15)</f>
        <v/>
      </c>
      <c r="P175" s="132" t="str">
        <f aca="false">IF('Leah Hanlon'!$B15="","",'Leah Hanlon'!$P15)</f>
        <v/>
      </c>
      <c r="Q175" s="131" t="str">
        <f aca="false">IF('Leah Hanlon'!$B15="","","Leah Hanlon")</f>
        <v/>
      </c>
      <c r="R175" s="131" t="n">
        <f aca="true">IF(OR($B175="",$I175="Complete",$L175=""),0,IF($L175&lt;TODAY(),1,0))</f>
        <v>0</v>
      </c>
      <c r="S175" s="131" t="n">
        <f aca="true">IF(OR($B175="",$I175="Complete",$L175=""),0,IF(AND($L175&gt;=TODAY(),$L175&lt;=TODAY()+7),1,0))</f>
        <v>0</v>
      </c>
      <c r="T175" s="131" t="str">
        <f aca="true">IF(OR($B175="",$L175=""),"",$L175-TODAY())</f>
        <v/>
      </c>
      <c r="U175" s="135" t="str">
        <f aca="false">IF($B175="","",IF($I175="Complete",1,IF($J175="",0,$J175)))</f>
        <v/>
      </c>
      <c r="V175" s="131" t="n">
        <f aca="false">IF($B175="",0,IF($N175="",0,1))</f>
        <v>0</v>
      </c>
      <c r="W175" s="131" t="n">
        <f aca="false">IF($B175="",0,1)</f>
        <v>0</v>
      </c>
    </row>
    <row r="176" customFormat="false" ht="15" hidden="false" customHeight="false" outlineLevel="0" collapsed="false">
      <c r="A176" s="131" t="str">
        <f aca="false">IF('Leah Hanlon'!$B16="","",'Leah Hanlon'!$A16)</f>
        <v/>
      </c>
      <c r="B176" s="131" t="str">
        <f aca="false">IF('Leah Hanlon'!$B16="","",'Leah Hanlon'!$B16)</f>
        <v/>
      </c>
      <c r="C176" s="132" t="str">
        <f aca="false">IF('Leah Hanlon'!$B16="","",'Leah Hanlon'!$C16)</f>
        <v/>
      </c>
      <c r="D176" s="132" t="str">
        <f aca="false">IF('Leah Hanlon'!$B16="","",'Leah Hanlon'!$D16)</f>
        <v/>
      </c>
      <c r="E176" s="132" t="str">
        <f aca="false">IF('Leah Hanlon'!$B16="","",'Leah Hanlon'!$E16)</f>
        <v/>
      </c>
      <c r="F176" s="132" t="str">
        <f aca="false">IF('Leah Hanlon'!$B16="","",'Leah Hanlon'!$F16)</f>
        <v/>
      </c>
      <c r="G176" s="132" t="str">
        <f aca="false">IF('Leah Hanlon'!$B16="","",'Leah Hanlon'!$G16)</f>
        <v/>
      </c>
      <c r="H176" s="131" t="str">
        <f aca="false">IF('Leah Hanlon'!$B16="","",'Leah Hanlon'!$H16)</f>
        <v/>
      </c>
      <c r="I176" s="131" t="str">
        <f aca="false">IF('Leah Hanlon'!$B16="","",'Leah Hanlon'!$I16)</f>
        <v/>
      </c>
      <c r="J176" s="133" t="str">
        <f aca="false">IF('Leah Hanlon'!$B16="","",'Leah Hanlon'!$J16)</f>
        <v/>
      </c>
      <c r="K176" s="134" t="str">
        <f aca="false">IF('Leah Hanlon'!$B16="","",'Leah Hanlon'!$K16)</f>
        <v/>
      </c>
      <c r="L176" s="134" t="str">
        <f aca="false">IF('Leah Hanlon'!$B16="","",'Leah Hanlon'!$L16)</f>
        <v/>
      </c>
      <c r="M176" s="132" t="str">
        <f aca="false">IF('Leah Hanlon'!$B16="","",'Leah Hanlon'!$M16)</f>
        <v/>
      </c>
      <c r="N176" s="132" t="str">
        <f aca="false">IF('Leah Hanlon'!$B16="","",'Leah Hanlon'!$N16)</f>
        <v/>
      </c>
      <c r="O176" s="134" t="str">
        <f aca="false">IF('Leah Hanlon'!$B16="","",'Leah Hanlon'!$O16)</f>
        <v/>
      </c>
      <c r="P176" s="132" t="str">
        <f aca="false">IF('Leah Hanlon'!$B16="","",'Leah Hanlon'!$P16)</f>
        <v/>
      </c>
      <c r="Q176" s="131" t="str">
        <f aca="false">IF('Leah Hanlon'!$B16="","","Leah Hanlon")</f>
        <v/>
      </c>
      <c r="R176" s="131" t="n">
        <f aca="true">IF(OR($B176="",$I176="Complete",$L176=""),0,IF($L176&lt;TODAY(),1,0))</f>
        <v>0</v>
      </c>
      <c r="S176" s="131" t="n">
        <f aca="true">IF(OR($B176="",$I176="Complete",$L176=""),0,IF(AND($L176&gt;=TODAY(),$L176&lt;=TODAY()+7),1,0))</f>
        <v>0</v>
      </c>
      <c r="T176" s="131" t="str">
        <f aca="true">IF(OR($B176="",$L176=""),"",$L176-TODAY())</f>
        <v/>
      </c>
      <c r="U176" s="135" t="str">
        <f aca="false">IF($B176="","",IF($I176="Complete",1,IF($J176="",0,$J176)))</f>
        <v/>
      </c>
      <c r="V176" s="131" t="n">
        <f aca="false">IF($B176="",0,IF($N176="",0,1))</f>
        <v>0</v>
      </c>
      <c r="W176" s="131" t="n">
        <f aca="false">IF($B176="",0,1)</f>
        <v>0</v>
      </c>
    </row>
    <row r="177" customFormat="false" ht="15" hidden="false" customHeight="false" outlineLevel="0" collapsed="false">
      <c r="A177" s="131" t="str">
        <f aca="false">IF('Leah Hanlon'!$B17="","",'Leah Hanlon'!$A17)</f>
        <v/>
      </c>
      <c r="B177" s="131" t="str">
        <f aca="false">IF('Leah Hanlon'!$B17="","",'Leah Hanlon'!$B17)</f>
        <v/>
      </c>
      <c r="C177" s="132" t="str">
        <f aca="false">IF('Leah Hanlon'!$B17="","",'Leah Hanlon'!$C17)</f>
        <v/>
      </c>
      <c r="D177" s="132" t="str">
        <f aca="false">IF('Leah Hanlon'!$B17="","",'Leah Hanlon'!$D17)</f>
        <v/>
      </c>
      <c r="E177" s="132" t="str">
        <f aca="false">IF('Leah Hanlon'!$B17="","",'Leah Hanlon'!$E17)</f>
        <v/>
      </c>
      <c r="F177" s="132" t="str">
        <f aca="false">IF('Leah Hanlon'!$B17="","",'Leah Hanlon'!$F17)</f>
        <v/>
      </c>
      <c r="G177" s="132" t="str">
        <f aca="false">IF('Leah Hanlon'!$B17="","",'Leah Hanlon'!$G17)</f>
        <v/>
      </c>
      <c r="H177" s="131" t="str">
        <f aca="false">IF('Leah Hanlon'!$B17="","",'Leah Hanlon'!$H17)</f>
        <v/>
      </c>
      <c r="I177" s="131" t="str">
        <f aca="false">IF('Leah Hanlon'!$B17="","",'Leah Hanlon'!$I17)</f>
        <v/>
      </c>
      <c r="J177" s="133" t="str">
        <f aca="false">IF('Leah Hanlon'!$B17="","",'Leah Hanlon'!$J17)</f>
        <v/>
      </c>
      <c r="K177" s="134" t="str">
        <f aca="false">IF('Leah Hanlon'!$B17="","",'Leah Hanlon'!$K17)</f>
        <v/>
      </c>
      <c r="L177" s="134" t="str">
        <f aca="false">IF('Leah Hanlon'!$B17="","",'Leah Hanlon'!$L17)</f>
        <v/>
      </c>
      <c r="M177" s="132" t="str">
        <f aca="false">IF('Leah Hanlon'!$B17="","",'Leah Hanlon'!$M17)</f>
        <v/>
      </c>
      <c r="N177" s="132" t="str">
        <f aca="false">IF('Leah Hanlon'!$B17="","",'Leah Hanlon'!$N17)</f>
        <v/>
      </c>
      <c r="O177" s="134" t="str">
        <f aca="false">IF('Leah Hanlon'!$B17="","",'Leah Hanlon'!$O17)</f>
        <v/>
      </c>
      <c r="P177" s="132" t="str">
        <f aca="false">IF('Leah Hanlon'!$B17="","",'Leah Hanlon'!$P17)</f>
        <v/>
      </c>
      <c r="Q177" s="131" t="str">
        <f aca="false">IF('Leah Hanlon'!$B17="","","Leah Hanlon")</f>
        <v/>
      </c>
      <c r="R177" s="131" t="n">
        <f aca="true">IF(OR($B177="",$I177="Complete",$L177=""),0,IF($L177&lt;TODAY(),1,0))</f>
        <v>0</v>
      </c>
      <c r="S177" s="131" t="n">
        <f aca="true">IF(OR($B177="",$I177="Complete",$L177=""),0,IF(AND($L177&gt;=TODAY(),$L177&lt;=TODAY()+7),1,0))</f>
        <v>0</v>
      </c>
      <c r="T177" s="131" t="str">
        <f aca="true">IF(OR($B177="",$L177=""),"",$L177-TODAY())</f>
        <v/>
      </c>
      <c r="U177" s="135" t="str">
        <f aca="false">IF($B177="","",IF($I177="Complete",1,IF($J177="",0,$J177)))</f>
        <v/>
      </c>
      <c r="V177" s="131" t="n">
        <f aca="false">IF($B177="",0,IF($N177="",0,1))</f>
        <v>0</v>
      </c>
      <c r="W177" s="131" t="n">
        <f aca="false">IF($B177="",0,1)</f>
        <v>0</v>
      </c>
    </row>
    <row r="178" customFormat="false" ht="15" hidden="false" customHeight="false" outlineLevel="0" collapsed="false">
      <c r="A178" s="131" t="str">
        <f aca="false">IF('Leah Hanlon'!$B18="","",'Leah Hanlon'!$A18)</f>
        <v/>
      </c>
      <c r="B178" s="131" t="str">
        <f aca="false">IF('Leah Hanlon'!$B18="","",'Leah Hanlon'!$B18)</f>
        <v/>
      </c>
      <c r="C178" s="132" t="str">
        <f aca="false">IF('Leah Hanlon'!$B18="","",'Leah Hanlon'!$C18)</f>
        <v/>
      </c>
      <c r="D178" s="132" t="str">
        <f aca="false">IF('Leah Hanlon'!$B18="","",'Leah Hanlon'!$D18)</f>
        <v/>
      </c>
      <c r="E178" s="132" t="str">
        <f aca="false">IF('Leah Hanlon'!$B18="","",'Leah Hanlon'!$E18)</f>
        <v/>
      </c>
      <c r="F178" s="132" t="str">
        <f aca="false">IF('Leah Hanlon'!$B18="","",'Leah Hanlon'!$F18)</f>
        <v/>
      </c>
      <c r="G178" s="132" t="str">
        <f aca="false">IF('Leah Hanlon'!$B18="","",'Leah Hanlon'!$G18)</f>
        <v/>
      </c>
      <c r="H178" s="131" t="str">
        <f aca="false">IF('Leah Hanlon'!$B18="","",'Leah Hanlon'!$H18)</f>
        <v/>
      </c>
      <c r="I178" s="131" t="str">
        <f aca="false">IF('Leah Hanlon'!$B18="","",'Leah Hanlon'!$I18)</f>
        <v/>
      </c>
      <c r="J178" s="133" t="str">
        <f aca="false">IF('Leah Hanlon'!$B18="","",'Leah Hanlon'!$J18)</f>
        <v/>
      </c>
      <c r="K178" s="134" t="str">
        <f aca="false">IF('Leah Hanlon'!$B18="","",'Leah Hanlon'!$K18)</f>
        <v/>
      </c>
      <c r="L178" s="134" t="str">
        <f aca="false">IF('Leah Hanlon'!$B18="","",'Leah Hanlon'!$L18)</f>
        <v/>
      </c>
      <c r="M178" s="132" t="str">
        <f aca="false">IF('Leah Hanlon'!$B18="","",'Leah Hanlon'!$M18)</f>
        <v/>
      </c>
      <c r="N178" s="132" t="str">
        <f aca="false">IF('Leah Hanlon'!$B18="","",'Leah Hanlon'!$N18)</f>
        <v/>
      </c>
      <c r="O178" s="134" t="str">
        <f aca="false">IF('Leah Hanlon'!$B18="","",'Leah Hanlon'!$O18)</f>
        <v/>
      </c>
      <c r="P178" s="132" t="str">
        <f aca="false">IF('Leah Hanlon'!$B18="","",'Leah Hanlon'!$P18)</f>
        <v/>
      </c>
      <c r="Q178" s="131" t="str">
        <f aca="false">IF('Leah Hanlon'!$B18="","","Leah Hanlon")</f>
        <v/>
      </c>
      <c r="R178" s="131" t="n">
        <f aca="true">IF(OR($B178="",$I178="Complete",$L178=""),0,IF($L178&lt;TODAY(),1,0))</f>
        <v>0</v>
      </c>
      <c r="S178" s="131" t="n">
        <f aca="true">IF(OR($B178="",$I178="Complete",$L178=""),0,IF(AND($L178&gt;=TODAY(),$L178&lt;=TODAY()+7),1,0))</f>
        <v>0</v>
      </c>
      <c r="T178" s="131" t="str">
        <f aca="true">IF(OR($B178="",$L178=""),"",$L178-TODAY())</f>
        <v/>
      </c>
      <c r="U178" s="135" t="str">
        <f aca="false">IF($B178="","",IF($I178="Complete",1,IF($J178="",0,$J178)))</f>
        <v/>
      </c>
      <c r="V178" s="131" t="n">
        <f aca="false">IF($B178="",0,IF($N178="",0,1))</f>
        <v>0</v>
      </c>
      <c r="W178" s="131" t="n">
        <f aca="false">IF($B178="",0,1)</f>
        <v>0</v>
      </c>
    </row>
    <row r="179" customFormat="false" ht="15" hidden="false" customHeight="false" outlineLevel="0" collapsed="false">
      <c r="A179" s="131" t="str">
        <f aca="false">IF('Leah Hanlon'!$B19="","",'Leah Hanlon'!$A19)</f>
        <v/>
      </c>
      <c r="B179" s="131" t="str">
        <f aca="false">IF('Leah Hanlon'!$B19="","",'Leah Hanlon'!$B19)</f>
        <v/>
      </c>
      <c r="C179" s="132" t="str">
        <f aca="false">IF('Leah Hanlon'!$B19="","",'Leah Hanlon'!$C19)</f>
        <v/>
      </c>
      <c r="D179" s="132" t="str">
        <f aca="false">IF('Leah Hanlon'!$B19="","",'Leah Hanlon'!$D19)</f>
        <v/>
      </c>
      <c r="E179" s="132" t="str">
        <f aca="false">IF('Leah Hanlon'!$B19="","",'Leah Hanlon'!$E19)</f>
        <v/>
      </c>
      <c r="F179" s="132" t="str">
        <f aca="false">IF('Leah Hanlon'!$B19="","",'Leah Hanlon'!$F19)</f>
        <v/>
      </c>
      <c r="G179" s="132" t="str">
        <f aca="false">IF('Leah Hanlon'!$B19="","",'Leah Hanlon'!$G19)</f>
        <v/>
      </c>
      <c r="H179" s="131" t="str">
        <f aca="false">IF('Leah Hanlon'!$B19="","",'Leah Hanlon'!$H19)</f>
        <v/>
      </c>
      <c r="I179" s="131" t="str">
        <f aca="false">IF('Leah Hanlon'!$B19="","",'Leah Hanlon'!$I19)</f>
        <v/>
      </c>
      <c r="J179" s="133" t="str">
        <f aca="false">IF('Leah Hanlon'!$B19="","",'Leah Hanlon'!$J19)</f>
        <v/>
      </c>
      <c r="K179" s="134" t="str">
        <f aca="false">IF('Leah Hanlon'!$B19="","",'Leah Hanlon'!$K19)</f>
        <v/>
      </c>
      <c r="L179" s="134" t="str">
        <f aca="false">IF('Leah Hanlon'!$B19="","",'Leah Hanlon'!$L19)</f>
        <v/>
      </c>
      <c r="M179" s="132" t="str">
        <f aca="false">IF('Leah Hanlon'!$B19="","",'Leah Hanlon'!$M19)</f>
        <v/>
      </c>
      <c r="N179" s="132" t="str">
        <f aca="false">IF('Leah Hanlon'!$B19="","",'Leah Hanlon'!$N19)</f>
        <v/>
      </c>
      <c r="O179" s="134" t="str">
        <f aca="false">IF('Leah Hanlon'!$B19="","",'Leah Hanlon'!$O19)</f>
        <v/>
      </c>
      <c r="P179" s="132" t="str">
        <f aca="false">IF('Leah Hanlon'!$B19="","",'Leah Hanlon'!$P19)</f>
        <v/>
      </c>
      <c r="Q179" s="131" t="str">
        <f aca="false">IF('Leah Hanlon'!$B19="","","Leah Hanlon")</f>
        <v/>
      </c>
      <c r="R179" s="131" t="n">
        <f aca="true">IF(OR($B179="",$I179="Complete",$L179=""),0,IF($L179&lt;TODAY(),1,0))</f>
        <v>0</v>
      </c>
      <c r="S179" s="131" t="n">
        <f aca="true">IF(OR($B179="",$I179="Complete",$L179=""),0,IF(AND($L179&gt;=TODAY(),$L179&lt;=TODAY()+7),1,0))</f>
        <v>0</v>
      </c>
      <c r="T179" s="131" t="str">
        <f aca="true">IF(OR($B179="",$L179=""),"",$L179-TODAY())</f>
        <v/>
      </c>
      <c r="U179" s="135" t="str">
        <f aca="false">IF($B179="","",IF($I179="Complete",1,IF($J179="",0,$J179)))</f>
        <v/>
      </c>
      <c r="V179" s="131" t="n">
        <f aca="false">IF($B179="",0,IF($N179="",0,1))</f>
        <v>0</v>
      </c>
      <c r="W179" s="131" t="n">
        <f aca="false">IF($B179="",0,1)</f>
        <v>0</v>
      </c>
    </row>
    <row r="180" customFormat="false" ht="15" hidden="false" customHeight="false" outlineLevel="0" collapsed="false">
      <c r="A180" s="131" t="str">
        <f aca="false">IF('Leah Hanlon'!$B20="","",'Leah Hanlon'!$A20)</f>
        <v/>
      </c>
      <c r="B180" s="131" t="str">
        <f aca="false">IF('Leah Hanlon'!$B20="","",'Leah Hanlon'!$B20)</f>
        <v/>
      </c>
      <c r="C180" s="132" t="str">
        <f aca="false">IF('Leah Hanlon'!$B20="","",'Leah Hanlon'!$C20)</f>
        <v/>
      </c>
      <c r="D180" s="132" t="str">
        <f aca="false">IF('Leah Hanlon'!$B20="","",'Leah Hanlon'!$D20)</f>
        <v/>
      </c>
      <c r="E180" s="132" t="str">
        <f aca="false">IF('Leah Hanlon'!$B20="","",'Leah Hanlon'!$E20)</f>
        <v/>
      </c>
      <c r="F180" s="132" t="str">
        <f aca="false">IF('Leah Hanlon'!$B20="","",'Leah Hanlon'!$F20)</f>
        <v/>
      </c>
      <c r="G180" s="132" t="str">
        <f aca="false">IF('Leah Hanlon'!$B20="","",'Leah Hanlon'!$G20)</f>
        <v/>
      </c>
      <c r="H180" s="131" t="str">
        <f aca="false">IF('Leah Hanlon'!$B20="","",'Leah Hanlon'!$H20)</f>
        <v/>
      </c>
      <c r="I180" s="131" t="str">
        <f aca="false">IF('Leah Hanlon'!$B20="","",'Leah Hanlon'!$I20)</f>
        <v/>
      </c>
      <c r="J180" s="133" t="str">
        <f aca="false">IF('Leah Hanlon'!$B20="","",'Leah Hanlon'!$J20)</f>
        <v/>
      </c>
      <c r="K180" s="134" t="str">
        <f aca="false">IF('Leah Hanlon'!$B20="","",'Leah Hanlon'!$K20)</f>
        <v/>
      </c>
      <c r="L180" s="134" t="str">
        <f aca="false">IF('Leah Hanlon'!$B20="","",'Leah Hanlon'!$L20)</f>
        <v/>
      </c>
      <c r="M180" s="132" t="str">
        <f aca="false">IF('Leah Hanlon'!$B20="","",'Leah Hanlon'!$M20)</f>
        <v/>
      </c>
      <c r="N180" s="132" t="str">
        <f aca="false">IF('Leah Hanlon'!$B20="","",'Leah Hanlon'!$N20)</f>
        <v/>
      </c>
      <c r="O180" s="134" t="str">
        <f aca="false">IF('Leah Hanlon'!$B20="","",'Leah Hanlon'!$O20)</f>
        <v/>
      </c>
      <c r="P180" s="132" t="str">
        <f aca="false">IF('Leah Hanlon'!$B20="","",'Leah Hanlon'!$P20)</f>
        <v/>
      </c>
      <c r="Q180" s="131" t="str">
        <f aca="false">IF('Leah Hanlon'!$B20="","","Leah Hanlon")</f>
        <v/>
      </c>
      <c r="R180" s="131" t="n">
        <f aca="true">IF(OR($B180="",$I180="Complete",$L180=""),0,IF($L180&lt;TODAY(),1,0))</f>
        <v>0</v>
      </c>
      <c r="S180" s="131" t="n">
        <f aca="true">IF(OR($B180="",$I180="Complete",$L180=""),0,IF(AND($L180&gt;=TODAY(),$L180&lt;=TODAY()+7),1,0))</f>
        <v>0</v>
      </c>
      <c r="T180" s="131" t="str">
        <f aca="true">IF(OR($B180="",$L180=""),"",$L180-TODAY())</f>
        <v/>
      </c>
      <c r="U180" s="135" t="str">
        <f aca="false">IF($B180="","",IF($I180="Complete",1,IF($J180="",0,$J180)))</f>
        <v/>
      </c>
      <c r="V180" s="131" t="n">
        <f aca="false">IF($B180="",0,IF($N180="",0,1))</f>
        <v>0</v>
      </c>
      <c r="W180" s="131" t="n">
        <f aca="false">IF($B180="",0,1)</f>
        <v>0</v>
      </c>
    </row>
    <row r="181" customFormat="false" ht="15" hidden="false" customHeight="false" outlineLevel="0" collapsed="false">
      <c r="A181" s="131" t="str">
        <f aca="false">IF('Leah Hanlon'!$B21="","",'Leah Hanlon'!$A21)</f>
        <v/>
      </c>
      <c r="B181" s="131" t="str">
        <f aca="false">IF('Leah Hanlon'!$B21="","",'Leah Hanlon'!$B21)</f>
        <v/>
      </c>
      <c r="C181" s="132" t="str">
        <f aca="false">IF('Leah Hanlon'!$B21="","",'Leah Hanlon'!$C21)</f>
        <v/>
      </c>
      <c r="D181" s="132" t="str">
        <f aca="false">IF('Leah Hanlon'!$B21="","",'Leah Hanlon'!$D21)</f>
        <v/>
      </c>
      <c r="E181" s="132" t="str">
        <f aca="false">IF('Leah Hanlon'!$B21="","",'Leah Hanlon'!$E21)</f>
        <v/>
      </c>
      <c r="F181" s="132" t="str">
        <f aca="false">IF('Leah Hanlon'!$B21="","",'Leah Hanlon'!$F21)</f>
        <v/>
      </c>
      <c r="G181" s="132" t="str">
        <f aca="false">IF('Leah Hanlon'!$B21="","",'Leah Hanlon'!$G21)</f>
        <v/>
      </c>
      <c r="H181" s="131" t="str">
        <f aca="false">IF('Leah Hanlon'!$B21="","",'Leah Hanlon'!$H21)</f>
        <v/>
      </c>
      <c r="I181" s="131" t="str">
        <f aca="false">IF('Leah Hanlon'!$B21="","",'Leah Hanlon'!$I21)</f>
        <v/>
      </c>
      <c r="J181" s="133" t="str">
        <f aca="false">IF('Leah Hanlon'!$B21="","",'Leah Hanlon'!$J21)</f>
        <v/>
      </c>
      <c r="K181" s="134" t="str">
        <f aca="false">IF('Leah Hanlon'!$B21="","",'Leah Hanlon'!$K21)</f>
        <v/>
      </c>
      <c r="L181" s="134" t="str">
        <f aca="false">IF('Leah Hanlon'!$B21="","",'Leah Hanlon'!$L21)</f>
        <v/>
      </c>
      <c r="M181" s="132" t="str">
        <f aca="false">IF('Leah Hanlon'!$B21="","",'Leah Hanlon'!$M21)</f>
        <v/>
      </c>
      <c r="N181" s="132" t="str">
        <f aca="false">IF('Leah Hanlon'!$B21="","",'Leah Hanlon'!$N21)</f>
        <v/>
      </c>
      <c r="O181" s="134" t="str">
        <f aca="false">IF('Leah Hanlon'!$B21="","",'Leah Hanlon'!$O21)</f>
        <v/>
      </c>
      <c r="P181" s="132" t="str">
        <f aca="false">IF('Leah Hanlon'!$B21="","",'Leah Hanlon'!$P21)</f>
        <v/>
      </c>
      <c r="Q181" s="131" t="str">
        <f aca="false">IF('Leah Hanlon'!$B21="","","Leah Hanlon")</f>
        <v/>
      </c>
      <c r="R181" s="131" t="n">
        <f aca="true">IF(OR($B181="",$I181="Complete",$L181=""),0,IF($L181&lt;TODAY(),1,0))</f>
        <v>0</v>
      </c>
      <c r="S181" s="131" t="n">
        <f aca="true">IF(OR($B181="",$I181="Complete",$L181=""),0,IF(AND($L181&gt;=TODAY(),$L181&lt;=TODAY()+7),1,0))</f>
        <v>0</v>
      </c>
      <c r="T181" s="131" t="str">
        <f aca="true">IF(OR($B181="",$L181=""),"",$L181-TODAY())</f>
        <v/>
      </c>
      <c r="U181" s="135" t="str">
        <f aca="false">IF($B181="","",IF($I181="Complete",1,IF($J181="",0,$J181)))</f>
        <v/>
      </c>
      <c r="V181" s="131" t="n">
        <f aca="false">IF($B181="",0,IF($N181="",0,1))</f>
        <v>0</v>
      </c>
      <c r="W181" s="131" t="n">
        <f aca="false">IF($B181="",0,1)</f>
        <v>0</v>
      </c>
    </row>
    <row r="182" customFormat="false" ht="15" hidden="false" customHeight="false" outlineLevel="0" collapsed="false">
      <c r="A182" s="131" t="str">
        <f aca="false">IF('Leah Hanlon'!$B22="","",'Leah Hanlon'!$A22)</f>
        <v/>
      </c>
      <c r="B182" s="131" t="str">
        <f aca="false">IF('Leah Hanlon'!$B22="","",'Leah Hanlon'!$B22)</f>
        <v/>
      </c>
      <c r="C182" s="132" t="str">
        <f aca="false">IF('Leah Hanlon'!$B22="","",'Leah Hanlon'!$C22)</f>
        <v/>
      </c>
      <c r="D182" s="132" t="str">
        <f aca="false">IF('Leah Hanlon'!$B22="","",'Leah Hanlon'!$D22)</f>
        <v/>
      </c>
      <c r="E182" s="132" t="str">
        <f aca="false">IF('Leah Hanlon'!$B22="","",'Leah Hanlon'!$E22)</f>
        <v/>
      </c>
      <c r="F182" s="132" t="str">
        <f aca="false">IF('Leah Hanlon'!$B22="","",'Leah Hanlon'!$F22)</f>
        <v/>
      </c>
      <c r="G182" s="132" t="str">
        <f aca="false">IF('Leah Hanlon'!$B22="","",'Leah Hanlon'!$G22)</f>
        <v/>
      </c>
      <c r="H182" s="131" t="str">
        <f aca="false">IF('Leah Hanlon'!$B22="","",'Leah Hanlon'!$H22)</f>
        <v/>
      </c>
      <c r="I182" s="131" t="str">
        <f aca="false">IF('Leah Hanlon'!$B22="","",'Leah Hanlon'!$I22)</f>
        <v/>
      </c>
      <c r="J182" s="133" t="str">
        <f aca="false">IF('Leah Hanlon'!$B22="","",'Leah Hanlon'!$J22)</f>
        <v/>
      </c>
      <c r="K182" s="134" t="str">
        <f aca="false">IF('Leah Hanlon'!$B22="","",'Leah Hanlon'!$K22)</f>
        <v/>
      </c>
      <c r="L182" s="134" t="str">
        <f aca="false">IF('Leah Hanlon'!$B22="","",'Leah Hanlon'!$L22)</f>
        <v/>
      </c>
      <c r="M182" s="132" t="str">
        <f aca="false">IF('Leah Hanlon'!$B22="","",'Leah Hanlon'!$M22)</f>
        <v/>
      </c>
      <c r="N182" s="132" t="str">
        <f aca="false">IF('Leah Hanlon'!$B22="","",'Leah Hanlon'!$N22)</f>
        <v/>
      </c>
      <c r="O182" s="134" t="str">
        <f aca="false">IF('Leah Hanlon'!$B22="","",'Leah Hanlon'!$O22)</f>
        <v/>
      </c>
      <c r="P182" s="132" t="str">
        <f aca="false">IF('Leah Hanlon'!$B22="","",'Leah Hanlon'!$P22)</f>
        <v/>
      </c>
      <c r="Q182" s="131" t="str">
        <f aca="false">IF('Leah Hanlon'!$B22="","","Leah Hanlon")</f>
        <v/>
      </c>
      <c r="R182" s="131" t="n">
        <f aca="true">IF(OR($B182="",$I182="Complete",$L182=""),0,IF($L182&lt;TODAY(),1,0))</f>
        <v>0</v>
      </c>
      <c r="S182" s="131" t="n">
        <f aca="true">IF(OR($B182="",$I182="Complete",$L182=""),0,IF(AND($L182&gt;=TODAY(),$L182&lt;=TODAY()+7),1,0))</f>
        <v>0</v>
      </c>
      <c r="T182" s="131" t="str">
        <f aca="true">IF(OR($B182="",$L182=""),"",$L182-TODAY())</f>
        <v/>
      </c>
      <c r="U182" s="135" t="str">
        <f aca="false">IF($B182="","",IF($I182="Complete",1,IF($J182="",0,$J182)))</f>
        <v/>
      </c>
      <c r="V182" s="131" t="n">
        <f aca="false">IF($B182="",0,IF($N182="",0,1))</f>
        <v>0</v>
      </c>
      <c r="W182" s="131" t="n">
        <f aca="false">IF($B182="",0,1)</f>
        <v>0</v>
      </c>
    </row>
    <row r="183" customFormat="false" ht="15" hidden="false" customHeight="false" outlineLevel="0" collapsed="false">
      <c r="A183" s="131" t="str">
        <f aca="false">IF('Leah Hanlon'!$B23="","",'Leah Hanlon'!$A23)</f>
        <v/>
      </c>
      <c r="B183" s="131" t="str">
        <f aca="false">IF('Leah Hanlon'!$B23="","",'Leah Hanlon'!$B23)</f>
        <v/>
      </c>
      <c r="C183" s="132" t="str">
        <f aca="false">IF('Leah Hanlon'!$B23="","",'Leah Hanlon'!$C23)</f>
        <v/>
      </c>
      <c r="D183" s="132" t="str">
        <f aca="false">IF('Leah Hanlon'!$B23="","",'Leah Hanlon'!$D23)</f>
        <v/>
      </c>
      <c r="E183" s="132" t="str">
        <f aca="false">IF('Leah Hanlon'!$B23="","",'Leah Hanlon'!$E23)</f>
        <v/>
      </c>
      <c r="F183" s="132" t="str">
        <f aca="false">IF('Leah Hanlon'!$B23="","",'Leah Hanlon'!$F23)</f>
        <v/>
      </c>
      <c r="G183" s="132" t="str">
        <f aca="false">IF('Leah Hanlon'!$B23="","",'Leah Hanlon'!$G23)</f>
        <v/>
      </c>
      <c r="H183" s="131" t="str">
        <f aca="false">IF('Leah Hanlon'!$B23="","",'Leah Hanlon'!$H23)</f>
        <v/>
      </c>
      <c r="I183" s="131" t="str">
        <f aca="false">IF('Leah Hanlon'!$B23="","",'Leah Hanlon'!$I23)</f>
        <v/>
      </c>
      <c r="J183" s="133" t="str">
        <f aca="false">IF('Leah Hanlon'!$B23="","",'Leah Hanlon'!$J23)</f>
        <v/>
      </c>
      <c r="K183" s="134" t="str">
        <f aca="false">IF('Leah Hanlon'!$B23="","",'Leah Hanlon'!$K23)</f>
        <v/>
      </c>
      <c r="L183" s="134" t="str">
        <f aca="false">IF('Leah Hanlon'!$B23="","",'Leah Hanlon'!$L23)</f>
        <v/>
      </c>
      <c r="M183" s="132" t="str">
        <f aca="false">IF('Leah Hanlon'!$B23="","",'Leah Hanlon'!$M23)</f>
        <v/>
      </c>
      <c r="N183" s="132" t="str">
        <f aca="false">IF('Leah Hanlon'!$B23="","",'Leah Hanlon'!$N23)</f>
        <v/>
      </c>
      <c r="O183" s="134" t="str">
        <f aca="false">IF('Leah Hanlon'!$B23="","",'Leah Hanlon'!$O23)</f>
        <v/>
      </c>
      <c r="P183" s="132" t="str">
        <f aca="false">IF('Leah Hanlon'!$B23="","",'Leah Hanlon'!$P23)</f>
        <v/>
      </c>
      <c r="Q183" s="131" t="str">
        <f aca="false">IF('Leah Hanlon'!$B23="","","Leah Hanlon")</f>
        <v/>
      </c>
      <c r="R183" s="131" t="n">
        <f aca="true">IF(OR($B183="",$I183="Complete",$L183=""),0,IF($L183&lt;TODAY(),1,0))</f>
        <v>0</v>
      </c>
      <c r="S183" s="131" t="n">
        <f aca="true">IF(OR($B183="",$I183="Complete",$L183=""),0,IF(AND($L183&gt;=TODAY(),$L183&lt;=TODAY()+7),1,0))</f>
        <v>0</v>
      </c>
      <c r="T183" s="131" t="str">
        <f aca="true">IF(OR($B183="",$L183=""),"",$L183-TODAY())</f>
        <v/>
      </c>
      <c r="U183" s="135" t="str">
        <f aca="false">IF($B183="","",IF($I183="Complete",1,IF($J183="",0,$J183)))</f>
        <v/>
      </c>
      <c r="V183" s="131" t="n">
        <f aca="false">IF($B183="",0,IF($N183="",0,1))</f>
        <v>0</v>
      </c>
      <c r="W183" s="131" t="n">
        <f aca="false">IF($B183="",0,1)</f>
        <v>0</v>
      </c>
    </row>
    <row r="184" customFormat="false" ht="15" hidden="false" customHeight="false" outlineLevel="0" collapsed="false">
      <c r="A184" s="131" t="str">
        <f aca="false">IF('Leah Hanlon'!$B24="","",'Leah Hanlon'!$A24)</f>
        <v/>
      </c>
      <c r="B184" s="131" t="str">
        <f aca="false">IF('Leah Hanlon'!$B24="","",'Leah Hanlon'!$B24)</f>
        <v/>
      </c>
      <c r="C184" s="132" t="str">
        <f aca="false">IF('Leah Hanlon'!$B24="","",'Leah Hanlon'!$C24)</f>
        <v/>
      </c>
      <c r="D184" s="132" t="str">
        <f aca="false">IF('Leah Hanlon'!$B24="","",'Leah Hanlon'!$D24)</f>
        <v/>
      </c>
      <c r="E184" s="132" t="str">
        <f aca="false">IF('Leah Hanlon'!$B24="","",'Leah Hanlon'!$E24)</f>
        <v/>
      </c>
      <c r="F184" s="132" t="str">
        <f aca="false">IF('Leah Hanlon'!$B24="","",'Leah Hanlon'!$F24)</f>
        <v/>
      </c>
      <c r="G184" s="132" t="str">
        <f aca="false">IF('Leah Hanlon'!$B24="","",'Leah Hanlon'!$G24)</f>
        <v/>
      </c>
      <c r="H184" s="131" t="str">
        <f aca="false">IF('Leah Hanlon'!$B24="","",'Leah Hanlon'!$H24)</f>
        <v/>
      </c>
      <c r="I184" s="131" t="str">
        <f aca="false">IF('Leah Hanlon'!$B24="","",'Leah Hanlon'!$I24)</f>
        <v/>
      </c>
      <c r="J184" s="133" t="str">
        <f aca="false">IF('Leah Hanlon'!$B24="","",'Leah Hanlon'!$J24)</f>
        <v/>
      </c>
      <c r="K184" s="134" t="str">
        <f aca="false">IF('Leah Hanlon'!$B24="","",'Leah Hanlon'!$K24)</f>
        <v/>
      </c>
      <c r="L184" s="134" t="str">
        <f aca="false">IF('Leah Hanlon'!$B24="","",'Leah Hanlon'!$L24)</f>
        <v/>
      </c>
      <c r="M184" s="132" t="str">
        <f aca="false">IF('Leah Hanlon'!$B24="","",'Leah Hanlon'!$M24)</f>
        <v/>
      </c>
      <c r="N184" s="132" t="str">
        <f aca="false">IF('Leah Hanlon'!$B24="","",'Leah Hanlon'!$N24)</f>
        <v/>
      </c>
      <c r="O184" s="134" t="str">
        <f aca="false">IF('Leah Hanlon'!$B24="","",'Leah Hanlon'!$O24)</f>
        <v/>
      </c>
      <c r="P184" s="132" t="str">
        <f aca="false">IF('Leah Hanlon'!$B24="","",'Leah Hanlon'!$P24)</f>
        <v/>
      </c>
      <c r="Q184" s="131" t="str">
        <f aca="false">IF('Leah Hanlon'!$B24="","","Leah Hanlon")</f>
        <v/>
      </c>
      <c r="R184" s="131" t="n">
        <f aca="true">IF(OR($B184="",$I184="Complete",$L184=""),0,IF($L184&lt;TODAY(),1,0))</f>
        <v>0</v>
      </c>
      <c r="S184" s="131" t="n">
        <f aca="true">IF(OR($B184="",$I184="Complete",$L184=""),0,IF(AND($L184&gt;=TODAY(),$L184&lt;=TODAY()+7),1,0))</f>
        <v>0</v>
      </c>
      <c r="T184" s="131" t="str">
        <f aca="true">IF(OR($B184="",$L184=""),"",$L184-TODAY())</f>
        <v/>
      </c>
      <c r="U184" s="135" t="str">
        <f aca="false">IF($B184="","",IF($I184="Complete",1,IF($J184="",0,$J184)))</f>
        <v/>
      </c>
      <c r="V184" s="131" t="n">
        <f aca="false">IF($B184="",0,IF($N184="",0,1))</f>
        <v>0</v>
      </c>
      <c r="W184" s="131" t="n">
        <f aca="false">IF($B184="",0,1)</f>
        <v>0</v>
      </c>
    </row>
    <row r="185" customFormat="false" ht="15" hidden="false" customHeight="false" outlineLevel="0" collapsed="false">
      <c r="A185" s="131" t="str">
        <f aca="false">IF('Leah Hanlon'!$B25="","",'Leah Hanlon'!$A25)</f>
        <v/>
      </c>
      <c r="B185" s="131" t="str">
        <f aca="false">IF('Leah Hanlon'!$B25="","",'Leah Hanlon'!$B25)</f>
        <v/>
      </c>
      <c r="C185" s="132" t="str">
        <f aca="false">IF('Leah Hanlon'!$B25="","",'Leah Hanlon'!$C25)</f>
        <v/>
      </c>
      <c r="D185" s="132" t="str">
        <f aca="false">IF('Leah Hanlon'!$B25="","",'Leah Hanlon'!$D25)</f>
        <v/>
      </c>
      <c r="E185" s="132" t="str">
        <f aca="false">IF('Leah Hanlon'!$B25="","",'Leah Hanlon'!$E25)</f>
        <v/>
      </c>
      <c r="F185" s="132" t="str">
        <f aca="false">IF('Leah Hanlon'!$B25="","",'Leah Hanlon'!$F25)</f>
        <v/>
      </c>
      <c r="G185" s="132" t="str">
        <f aca="false">IF('Leah Hanlon'!$B25="","",'Leah Hanlon'!$G25)</f>
        <v/>
      </c>
      <c r="H185" s="131" t="str">
        <f aca="false">IF('Leah Hanlon'!$B25="","",'Leah Hanlon'!$H25)</f>
        <v/>
      </c>
      <c r="I185" s="131" t="str">
        <f aca="false">IF('Leah Hanlon'!$B25="","",'Leah Hanlon'!$I25)</f>
        <v/>
      </c>
      <c r="J185" s="133" t="str">
        <f aca="false">IF('Leah Hanlon'!$B25="","",'Leah Hanlon'!$J25)</f>
        <v/>
      </c>
      <c r="K185" s="134" t="str">
        <f aca="false">IF('Leah Hanlon'!$B25="","",'Leah Hanlon'!$K25)</f>
        <v/>
      </c>
      <c r="L185" s="134" t="str">
        <f aca="false">IF('Leah Hanlon'!$B25="","",'Leah Hanlon'!$L25)</f>
        <v/>
      </c>
      <c r="M185" s="132" t="str">
        <f aca="false">IF('Leah Hanlon'!$B25="","",'Leah Hanlon'!$M25)</f>
        <v/>
      </c>
      <c r="N185" s="132" t="str">
        <f aca="false">IF('Leah Hanlon'!$B25="","",'Leah Hanlon'!$N25)</f>
        <v/>
      </c>
      <c r="O185" s="134" t="str">
        <f aca="false">IF('Leah Hanlon'!$B25="","",'Leah Hanlon'!$O25)</f>
        <v/>
      </c>
      <c r="P185" s="132" t="str">
        <f aca="false">IF('Leah Hanlon'!$B25="","",'Leah Hanlon'!$P25)</f>
        <v/>
      </c>
      <c r="Q185" s="131" t="str">
        <f aca="false">IF('Leah Hanlon'!$B25="","","Leah Hanlon")</f>
        <v/>
      </c>
      <c r="R185" s="131" t="n">
        <f aca="true">IF(OR($B185="",$I185="Complete",$L185=""),0,IF($L185&lt;TODAY(),1,0))</f>
        <v>0</v>
      </c>
      <c r="S185" s="131" t="n">
        <f aca="true">IF(OR($B185="",$I185="Complete",$L185=""),0,IF(AND($L185&gt;=TODAY(),$L185&lt;=TODAY()+7),1,0))</f>
        <v>0</v>
      </c>
      <c r="T185" s="131" t="str">
        <f aca="true">IF(OR($B185="",$L185=""),"",$L185-TODAY())</f>
        <v/>
      </c>
      <c r="U185" s="135" t="str">
        <f aca="false">IF($B185="","",IF($I185="Complete",1,IF($J185="",0,$J185)))</f>
        <v/>
      </c>
      <c r="V185" s="131" t="n">
        <f aca="false">IF($B185="",0,IF($N185="",0,1))</f>
        <v>0</v>
      </c>
      <c r="W185" s="131" t="n">
        <f aca="false">IF($B185="",0,1)</f>
        <v>0</v>
      </c>
    </row>
    <row r="186" customFormat="false" ht="15" hidden="false" customHeight="false" outlineLevel="0" collapsed="false">
      <c r="A186" s="131" t="str">
        <f aca="false">IF('Leah Hanlon'!$B26="","",'Leah Hanlon'!$A26)</f>
        <v/>
      </c>
      <c r="B186" s="131" t="str">
        <f aca="false">IF('Leah Hanlon'!$B26="","",'Leah Hanlon'!$B26)</f>
        <v/>
      </c>
      <c r="C186" s="132" t="str">
        <f aca="false">IF('Leah Hanlon'!$B26="","",'Leah Hanlon'!$C26)</f>
        <v/>
      </c>
      <c r="D186" s="132" t="str">
        <f aca="false">IF('Leah Hanlon'!$B26="","",'Leah Hanlon'!$D26)</f>
        <v/>
      </c>
      <c r="E186" s="132" t="str">
        <f aca="false">IF('Leah Hanlon'!$B26="","",'Leah Hanlon'!$E26)</f>
        <v/>
      </c>
      <c r="F186" s="132" t="str">
        <f aca="false">IF('Leah Hanlon'!$B26="","",'Leah Hanlon'!$F26)</f>
        <v/>
      </c>
      <c r="G186" s="132" t="str">
        <f aca="false">IF('Leah Hanlon'!$B26="","",'Leah Hanlon'!$G26)</f>
        <v/>
      </c>
      <c r="H186" s="131" t="str">
        <f aca="false">IF('Leah Hanlon'!$B26="","",'Leah Hanlon'!$H26)</f>
        <v/>
      </c>
      <c r="I186" s="131" t="str">
        <f aca="false">IF('Leah Hanlon'!$B26="","",'Leah Hanlon'!$I26)</f>
        <v/>
      </c>
      <c r="J186" s="133" t="str">
        <f aca="false">IF('Leah Hanlon'!$B26="","",'Leah Hanlon'!$J26)</f>
        <v/>
      </c>
      <c r="K186" s="134" t="str">
        <f aca="false">IF('Leah Hanlon'!$B26="","",'Leah Hanlon'!$K26)</f>
        <v/>
      </c>
      <c r="L186" s="134" t="str">
        <f aca="false">IF('Leah Hanlon'!$B26="","",'Leah Hanlon'!$L26)</f>
        <v/>
      </c>
      <c r="M186" s="132" t="str">
        <f aca="false">IF('Leah Hanlon'!$B26="","",'Leah Hanlon'!$M26)</f>
        <v/>
      </c>
      <c r="N186" s="132" t="str">
        <f aca="false">IF('Leah Hanlon'!$B26="","",'Leah Hanlon'!$N26)</f>
        <v/>
      </c>
      <c r="O186" s="134" t="str">
        <f aca="false">IF('Leah Hanlon'!$B26="","",'Leah Hanlon'!$O26)</f>
        <v/>
      </c>
      <c r="P186" s="132" t="str">
        <f aca="false">IF('Leah Hanlon'!$B26="","",'Leah Hanlon'!$P26)</f>
        <v/>
      </c>
      <c r="Q186" s="131" t="str">
        <f aca="false">IF('Leah Hanlon'!$B26="","","Leah Hanlon")</f>
        <v/>
      </c>
      <c r="R186" s="131" t="n">
        <f aca="true">IF(OR($B186="",$I186="Complete",$L186=""),0,IF($L186&lt;TODAY(),1,0))</f>
        <v>0</v>
      </c>
      <c r="S186" s="131" t="n">
        <f aca="true">IF(OR($B186="",$I186="Complete",$L186=""),0,IF(AND($L186&gt;=TODAY(),$L186&lt;=TODAY()+7),1,0))</f>
        <v>0</v>
      </c>
      <c r="T186" s="131" t="str">
        <f aca="true">IF(OR($B186="",$L186=""),"",$L186-TODAY())</f>
        <v/>
      </c>
      <c r="U186" s="135" t="str">
        <f aca="false">IF($B186="","",IF($I186="Complete",1,IF($J186="",0,$J186)))</f>
        <v/>
      </c>
      <c r="V186" s="131" t="n">
        <f aca="false">IF($B186="",0,IF($N186="",0,1))</f>
        <v>0</v>
      </c>
      <c r="W186" s="131" t="n">
        <f aca="false">IF($B186="",0,1)</f>
        <v>0</v>
      </c>
    </row>
    <row r="187" customFormat="false" ht="15" hidden="false" customHeight="false" outlineLevel="0" collapsed="false">
      <c r="A187" s="131" t="str">
        <f aca="false">IF('Leah Hanlon'!$B27="","",'Leah Hanlon'!$A27)</f>
        <v/>
      </c>
      <c r="B187" s="131" t="str">
        <f aca="false">IF('Leah Hanlon'!$B27="","",'Leah Hanlon'!$B27)</f>
        <v/>
      </c>
      <c r="C187" s="132" t="str">
        <f aca="false">IF('Leah Hanlon'!$B27="","",'Leah Hanlon'!$C27)</f>
        <v/>
      </c>
      <c r="D187" s="132" t="str">
        <f aca="false">IF('Leah Hanlon'!$B27="","",'Leah Hanlon'!$D27)</f>
        <v/>
      </c>
      <c r="E187" s="132" t="str">
        <f aca="false">IF('Leah Hanlon'!$B27="","",'Leah Hanlon'!$E27)</f>
        <v/>
      </c>
      <c r="F187" s="132" t="str">
        <f aca="false">IF('Leah Hanlon'!$B27="","",'Leah Hanlon'!$F27)</f>
        <v/>
      </c>
      <c r="G187" s="132" t="str">
        <f aca="false">IF('Leah Hanlon'!$B27="","",'Leah Hanlon'!$G27)</f>
        <v/>
      </c>
      <c r="H187" s="131" t="str">
        <f aca="false">IF('Leah Hanlon'!$B27="","",'Leah Hanlon'!$H27)</f>
        <v/>
      </c>
      <c r="I187" s="131" t="str">
        <f aca="false">IF('Leah Hanlon'!$B27="","",'Leah Hanlon'!$I27)</f>
        <v/>
      </c>
      <c r="J187" s="133" t="str">
        <f aca="false">IF('Leah Hanlon'!$B27="","",'Leah Hanlon'!$J27)</f>
        <v/>
      </c>
      <c r="K187" s="134" t="str">
        <f aca="false">IF('Leah Hanlon'!$B27="","",'Leah Hanlon'!$K27)</f>
        <v/>
      </c>
      <c r="L187" s="134" t="str">
        <f aca="false">IF('Leah Hanlon'!$B27="","",'Leah Hanlon'!$L27)</f>
        <v/>
      </c>
      <c r="M187" s="132" t="str">
        <f aca="false">IF('Leah Hanlon'!$B27="","",'Leah Hanlon'!$M27)</f>
        <v/>
      </c>
      <c r="N187" s="132" t="str">
        <f aca="false">IF('Leah Hanlon'!$B27="","",'Leah Hanlon'!$N27)</f>
        <v/>
      </c>
      <c r="O187" s="134" t="str">
        <f aca="false">IF('Leah Hanlon'!$B27="","",'Leah Hanlon'!$O27)</f>
        <v/>
      </c>
      <c r="P187" s="132" t="str">
        <f aca="false">IF('Leah Hanlon'!$B27="","",'Leah Hanlon'!$P27)</f>
        <v/>
      </c>
      <c r="Q187" s="131" t="str">
        <f aca="false">IF('Leah Hanlon'!$B27="","","Leah Hanlon")</f>
        <v/>
      </c>
      <c r="R187" s="131" t="n">
        <f aca="true">IF(OR($B187="",$I187="Complete",$L187=""),0,IF($L187&lt;TODAY(),1,0))</f>
        <v>0</v>
      </c>
      <c r="S187" s="131" t="n">
        <f aca="true">IF(OR($B187="",$I187="Complete",$L187=""),0,IF(AND($L187&gt;=TODAY(),$L187&lt;=TODAY()+7),1,0))</f>
        <v>0</v>
      </c>
      <c r="T187" s="131" t="str">
        <f aca="true">IF(OR($B187="",$L187=""),"",$L187-TODAY())</f>
        <v/>
      </c>
      <c r="U187" s="135" t="str">
        <f aca="false">IF($B187="","",IF($I187="Complete",1,IF($J187="",0,$J187)))</f>
        <v/>
      </c>
      <c r="V187" s="131" t="n">
        <f aca="false">IF($B187="",0,IF($N187="",0,1))</f>
        <v>0</v>
      </c>
      <c r="W187" s="131" t="n">
        <f aca="false">IF($B187="",0,1)</f>
        <v>0</v>
      </c>
    </row>
    <row r="188" customFormat="false" ht="15" hidden="false" customHeight="false" outlineLevel="0" collapsed="false">
      <c r="A188" s="131" t="str">
        <f aca="false">IF('Leah Hanlon'!$B28="","",'Leah Hanlon'!$A28)</f>
        <v/>
      </c>
      <c r="B188" s="131" t="str">
        <f aca="false">IF('Leah Hanlon'!$B28="","",'Leah Hanlon'!$B28)</f>
        <v/>
      </c>
      <c r="C188" s="132" t="str">
        <f aca="false">IF('Leah Hanlon'!$B28="","",'Leah Hanlon'!$C28)</f>
        <v/>
      </c>
      <c r="D188" s="132" t="str">
        <f aca="false">IF('Leah Hanlon'!$B28="","",'Leah Hanlon'!$D28)</f>
        <v/>
      </c>
      <c r="E188" s="132" t="str">
        <f aca="false">IF('Leah Hanlon'!$B28="","",'Leah Hanlon'!$E28)</f>
        <v/>
      </c>
      <c r="F188" s="132" t="str">
        <f aca="false">IF('Leah Hanlon'!$B28="","",'Leah Hanlon'!$F28)</f>
        <v/>
      </c>
      <c r="G188" s="132" t="str">
        <f aca="false">IF('Leah Hanlon'!$B28="","",'Leah Hanlon'!$G28)</f>
        <v/>
      </c>
      <c r="H188" s="131" t="str">
        <f aca="false">IF('Leah Hanlon'!$B28="","",'Leah Hanlon'!$H28)</f>
        <v/>
      </c>
      <c r="I188" s="131" t="str">
        <f aca="false">IF('Leah Hanlon'!$B28="","",'Leah Hanlon'!$I28)</f>
        <v/>
      </c>
      <c r="J188" s="133" t="str">
        <f aca="false">IF('Leah Hanlon'!$B28="","",'Leah Hanlon'!$J28)</f>
        <v/>
      </c>
      <c r="K188" s="134" t="str">
        <f aca="false">IF('Leah Hanlon'!$B28="","",'Leah Hanlon'!$K28)</f>
        <v/>
      </c>
      <c r="L188" s="134" t="str">
        <f aca="false">IF('Leah Hanlon'!$B28="","",'Leah Hanlon'!$L28)</f>
        <v/>
      </c>
      <c r="M188" s="132" t="str">
        <f aca="false">IF('Leah Hanlon'!$B28="","",'Leah Hanlon'!$M28)</f>
        <v/>
      </c>
      <c r="N188" s="132" t="str">
        <f aca="false">IF('Leah Hanlon'!$B28="","",'Leah Hanlon'!$N28)</f>
        <v/>
      </c>
      <c r="O188" s="134" t="str">
        <f aca="false">IF('Leah Hanlon'!$B28="","",'Leah Hanlon'!$O28)</f>
        <v/>
      </c>
      <c r="P188" s="132" t="str">
        <f aca="false">IF('Leah Hanlon'!$B28="","",'Leah Hanlon'!$P28)</f>
        <v/>
      </c>
      <c r="Q188" s="131" t="str">
        <f aca="false">IF('Leah Hanlon'!$B28="","","Leah Hanlon")</f>
        <v/>
      </c>
      <c r="R188" s="131" t="n">
        <f aca="true">IF(OR($B188="",$I188="Complete",$L188=""),0,IF($L188&lt;TODAY(),1,0))</f>
        <v>0</v>
      </c>
      <c r="S188" s="131" t="n">
        <f aca="true">IF(OR($B188="",$I188="Complete",$L188=""),0,IF(AND($L188&gt;=TODAY(),$L188&lt;=TODAY()+7),1,0))</f>
        <v>0</v>
      </c>
      <c r="T188" s="131" t="str">
        <f aca="true">IF(OR($B188="",$L188=""),"",$L188-TODAY())</f>
        <v/>
      </c>
      <c r="U188" s="135" t="str">
        <f aca="false">IF($B188="","",IF($I188="Complete",1,IF($J188="",0,$J188)))</f>
        <v/>
      </c>
      <c r="V188" s="131" t="n">
        <f aca="false">IF($B188="",0,IF($N188="",0,1))</f>
        <v>0</v>
      </c>
      <c r="W188" s="131" t="n">
        <f aca="false">IF($B188="",0,1)</f>
        <v>0</v>
      </c>
    </row>
    <row r="189" customFormat="false" ht="15" hidden="false" customHeight="false" outlineLevel="0" collapsed="false">
      <c r="A189" s="131" t="str">
        <f aca="false">IF('Leah Hanlon'!$B29="","",'Leah Hanlon'!$A29)</f>
        <v/>
      </c>
      <c r="B189" s="131" t="str">
        <f aca="false">IF('Leah Hanlon'!$B29="","",'Leah Hanlon'!$B29)</f>
        <v/>
      </c>
      <c r="C189" s="132" t="str">
        <f aca="false">IF('Leah Hanlon'!$B29="","",'Leah Hanlon'!$C29)</f>
        <v/>
      </c>
      <c r="D189" s="132" t="str">
        <f aca="false">IF('Leah Hanlon'!$B29="","",'Leah Hanlon'!$D29)</f>
        <v/>
      </c>
      <c r="E189" s="132" t="str">
        <f aca="false">IF('Leah Hanlon'!$B29="","",'Leah Hanlon'!$E29)</f>
        <v/>
      </c>
      <c r="F189" s="132" t="str">
        <f aca="false">IF('Leah Hanlon'!$B29="","",'Leah Hanlon'!$F29)</f>
        <v/>
      </c>
      <c r="G189" s="132" t="str">
        <f aca="false">IF('Leah Hanlon'!$B29="","",'Leah Hanlon'!$G29)</f>
        <v/>
      </c>
      <c r="H189" s="131" t="str">
        <f aca="false">IF('Leah Hanlon'!$B29="","",'Leah Hanlon'!$H29)</f>
        <v/>
      </c>
      <c r="I189" s="131" t="str">
        <f aca="false">IF('Leah Hanlon'!$B29="","",'Leah Hanlon'!$I29)</f>
        <v/>
      </c>
      <c r="J189" s="133" t="str">
        <f aca="false">IF('Leah Hanlon'!$B29="","",'Leah Hanlon'!$J29)</f>
        <v/>
      </c>
      <c r="K189" s="134" t="str">
        <f aca="false">IF('Leah Hanlon'!$B29="","",'Leah Hanlon'!$K29)</f>
        <v/>
      </c>
      <c r="L189" s="134" t="str">
        <f aca="false">IF('Leah Hanlon'!$B29="","",'Leah Hanlon'!$L29)</f>
        <v/>
      </c>
      <c r="M189" s="132" t="str">
        <f aca="false">IF('Leah Hanlon'!$B29="","",'Leah Hanlon'!$M29)</f>
        <v/>
      </c>
      <c r="N189" s="132" t="str">
        <f aca="false">IF('Leah Hanlon'!$B29="","",'Leah Hanlon'!$N29)</f>
        <v/>
      </c>
      <c r="O189" s="134" t="str">
        <f aca="false">IF('Leah Hanlon'!$B29="","",'Leah Hanlon'!$O29)</f>
        <v/>
      </c>
      <c r="P189" s="132" t="str">
        <f aca="false">IF('Leah Hanlon'!$B29="","",'Leah Hanlon'!$P29)</f>
        <v/>
      </c>
      <c r="Q189" s="131" t="str">
        <f aca="false">IF('Leah Hanlon'!$B29="","","Leah Hanlon")</f>
        <v/>
      </c>
      <c r="R189" s="131" t="n">
        <f aca="true">IF(OR($B189="",$I189="Complete",$L189=""),0,IF($L189&lt;TODAY(),1,0))</f>
        <v>0</v>
      </c>
      <c r="S189" s="131" t="n">
        <f aca="true">IF(OR($B189="",$I189="Complete",$L189=""),0,IF(AND($L189&gt;=TODAY(),$L189&lt;=TODAY()+7),1,0))</f>
        <v>0</v>
      </c>
      <c r="T189" s="131" t="str">
        <f aca="true">IF(OR($B189="",$L189=""),"",$L189-TODAY())</f>
        <v/>
      </c>
      <c r="U189" s="135" t="str">
        <f aca="false">IF($B189="","",IF($I189="Complete",1,IF($J189="",0,$J189)))</f>
        <v/>
      </c>
      <c r="V189" s="131" t="n">
        <f aca="false">IF($B189="",0,IF($N189="",0,1))</f>
        <v>0</v>
      </c>
      <c r="W189" s="131" t="n">
        <f aca="false">IF($B189="",0,1)</f>
        <v>0</v>
      </c>
    </row>
    <row r="190" customFormat="false" ht="15" hidden="false" customHeight="false" outlineLevel="0" collapsed="false">
      <c r="A190" s="131" t="str">
        <f aca="false">IF('Leah Hanlon'!$B30="","",'Leah Hanlon'!$A30)</f>
        <v/>
      </c>
      <c r="B190" s="131" t="str">
        <f aca="false">IF('Leah Hanlon'!$B30="","",'Leah Hanlon'!$B30)</f>
        <v/>
      </c>
      <c r="C190" s="132" t="str">
        <f aca="false">IF('Leah Hanlon'!$B30="","",'Leah Hanlon'!$C30)</f>
        <v/>
      </c>
      <c r="D190" s="132" t="str">
        <f aca="false">IF('Leah Hanlon'!$B30="","",'Leah Hanlon'!$D30)</f>
        <v/>
      </c>
      <c r="E190" s="132" t="str">
        <f aca="false">IF('Leah Hanlon'!$B30="","",'Leah Hanlon'!$E30)</f>
        <v/>
      </c>
      <c r="F190" s="132" t="str">
        <f aca="false">IF('Leah Hanlon'!$B30="","",'Leah Hanlon'!$F30)</f>
        <v/>
      </c>
      <c r="G190" s="132" t="str">
        <f aca="false">IF('Leah Hanlon'!$B30="","",'Leah Hanlon'!$G30)</f>
        <v/>
      </c>
      <c r="H190" s="131" t="str">
        <f aca="false">IF('Leah Hanlon'!$B30="","",'Leah Hanlon'!$H30)</f>
        <v/>
      </c>
      <c r="I190" s="131" t="str">
        <f aca="false">IF('Leah Hanlon'!$B30="","",'Leah Hanlon'!$I30)</f>
        <v/>
      </c>
      <c r="J190" s="133" t="str">
        <f aca="false">IF('Leah Hanlon'!$B30="","",'Leah Hanlon'!$J30)</f>
        <v/>
      </c>
      <c r="K190" s="134" t="str">
        <f aca="false">IF('Leah Hanlon'!$B30="","",'Leah Hanlon'!$K30)</f>
        <v/>
      </c>
      <c r="L190" s="134" t="str">
        <f aca="false">IF('Leah Hanlon'!$B30="","",'Leah Hanlon'!$L30)</f>
        <v/>
      </c>
      <c r="M190" s="132" t="str">
        <f aca="false">IF('Leah Hanlon'!$B30="","",'Leah Hanlon'!$M30)</f>
        <v/>
      </c>
      <c r="N190" s="132" t="str">
        <f aca="false">IF('Leah Hanlon'!$B30="","",'Leah Hanlon'!$N30)</f>
        <v/>
      </c>
      <c r="O190" s="134" t="str">
        <f aca="false">IF('Leah Hanlon'!$B30="","",'Leah Hanlon'!$O30)</f>
        <v/>
      </c>
      <c r="P190" s="132" t="str">
        <f aca="false">IF('Leah Hanlon'!$B30="","",'Leah Hanlon'!$P30)</f>
        <v/>
      </c>
      <c r="Q190" s="131" t="str">
        <f aca="false">IF('Leah Hanlon'!$B30="","","Leah Hanlon")</f>
        <v/>
      </c>
      <c r="R190" s="131" t="n">
        <f aca="true">IF(OR($B190="",$I190="Complete",$L190=""),0,IF($L190&lt;TODAY(),1,0))</f>
        <v>0</v>
      </c>
      <c r="S190" s="131" t="n">
        <f aca="true">IF(OR($B190="",$I190="Complete",$L190=""),0,IF(AND($L190&gt;=TODAY(),$L190&lt;=TODAY()+7),1,0))</f>
        <v>0</v>
      </c>
      <c r="T190" s="131" t="str">
        <f aca="true">IF(OR($B190="",$L190=""),"",$L190-TODAY())</f>
        <v/>
      </c>
      <c r="U190" s="135" t="str">
        <f aca="false">IF($B190="","",IF($I190="Complete",1,IF($J190="",0,$J190)))</f>
        <v/>
      </c>
      <c r="V190" s="131" t="n">
        <f aca="false">IF($B190="",0,IF($N190="",0,1))</f>
        <v>0</v>
      </c>
      <c r="W190" s="131" t="n">
        <f aca="false">IF($B190="",0,1)</f>
        <v>0</v>
      </c>
    </row>
    <row r="191" customFormat="false" ht="15" hidden="false" customHeight="false" outlineLevel="0" collapsed="false">
      <c r="A191" s="131" t="str">
        <f aca="false">IF('Leah Hanlon'!$B31="","",'Leah Hanlon'!$A31)</f>
        <v/>
      </c>
      <c r="B191" s="131" t="str">
        <f aca="false">IF('Leah Hanlon'!$B31="","",'Leah Hanlon'!$B31)</f>
        <v/>
      </c>
      <c r="C191" s="132" t="str">
        <f aca="false">IF('Leah Hanlon'!$B31="","",'Leah Hanlon'!$C31)</f>
        <v/>
      </c>
      <c r="D191" s="132" t="str">
        <f aca="false">IF('Leah Hanlon'!$B31="","",'Leah Hanlon'!$D31)</f>
        <v/>
      </c>
      <c r="E191" s="132" t="str">
        <f aca="false">IF('Leah Hanlon'!$B31="","",'Leah Hanlon'!$E31)</f>
        <v/>
      </c>
      <c r="F191" s="132" t="str">
        <f aca="false">IF('Leah Hanlon'!$B31="","",'Leah Hanlon'!$F31)</f>
        <v/>
      </c>
      <c r="G191" s="132" t="str">
        <f aca="false">IF('Leah Hanlon'!$B31="","",'Leah Hanlon'!$G31)</f>
        <v/>
      </c>
      <c r="H191" s="131" t="str">
        <f aca="false">IF('Leah Hanlon'!$B31="","",'Leah Hanlon'!$H31)</f>
        <v/>
      </c>
      <c r="I191" s="131" t="str">
        <f aca="false">IF('Leah Hanlon'!$B31="","",'Leah Hanlon'!$I31)</f>
        <v/>
      </c>
      <c r="J191" s="133" t="str">
        <f aca="false">IF('Leah Hanlon'!$B31="","",'Leah Hanlon'!$J31)</f>
        <v/>
      </c>
      <c r="K191" s="134" t="str">
        <f aca="false">IF('Leah Hanlon'!$B31="","",'Leah Hanlon'!$K31)</f>
        <v/>
      </c>
      <c r="L191" s="134" t="str">
        <f aca="false">IF('Leah Hanlon'!$B31="","",'Leah Hanlon'!$L31)</f>
        <v/>
      </c>
      <c r="M191" s="132" t="str">
        <f aca="false">IF('Leah Hanlon'!$B31="","",'Leah Hanlon'!$M31)</f>
        <v/>
      </c>
      <c r="N191" s="132" t="str">
        <f aca="false">IF('Leah Hanlon'!$B31="","",'Leah Hanlon'!$N31)</f>
        <v/>
      </c>
      <c r="O191" s="134" t="str">
        <f aca="false">IF('Leah Hanlon'!$B31="","",'Leah Hanlon'!$O31)</f>
        <v/>
      </c>
      <c r="P191" s="132" t="str">
        <f aca="false">IF('Leah Hanlon'!$B31="","",'Leah Hanlon'!$P31)</f>
        <v/>
      </c>
      <c r="Q191" s="131" t="str">
        <f aca="false">IF('Leah Hanlon'!$B31="","","Leah Hanlon")</f>
        <v/>
      </c>
      <c r="R191" s="131" t="n">
        <f aca="true">IF(OR($B191="",$I191="Complete",$L191=""),0,IF($L191&lt;TODAY(),1,0))</f>
        <v>0</v>
      </c>
      <c r="S191" s="131" t="n">
        <f aca="true">IF(OR($B191="",$I191="Complete",$L191=""),0,IF(AND($L191&gt;=TODAY(),$L191&lt;=TODAY()+7),1,0))</f>
        <v>0</v>
      </c>
      <c r="T191" s="131" t="str">
        <f aca="true">IF(OR($B191="",$L191=""),"",$L191-TODAY())</f>
        <v/>
      </c>
      <c r="U191" s="135" t="str">
        <f aca="false">IF($B191="","",IF($I191="Complete",1,IF($J191="",0,$J191)))</f>
        <v/>
      </c>
      <c r="V191" s="131" t="n">
        <f aca="false">IF($B191="",0,IF($N191="",0,1))</f>
        <v>0</v>
      </c>
      <c r="W191" s="131" t="n">
        <f aca="false">IF($B191="",0,1)</f>
        <v>0</v>
      </c>
    </row>
    <row r="192" customFormat="false" ht="15" hidden="false" customHeight="false" outlineLevel="0" collapsed="false">
      <c r="A192" s="131" t="str">
        <f aca="false">IF('Leah Hanlon'!$B32="","",'Leah Hanlon'!$A32)</f>
        <v/>
      </c>
      <c r="B192" s="131" t="str">
        <f aca="false">IF('Leah Hanlon'!$B32="","",'Leah Hanlon'!$B32)</f>
        <v/>
      </c>
      <c r="C192" s="132" t="str">
        <f aca="false">IF('Leah Hanlon'!$B32="","",'Leah Hanlon'!$C32)</f>
        <v/>
      </c>
      <c r="D192" s="132" t="str">
        <f aca="false">IF('Leah Hanlon'!$B32="","",'Leah Hanlon'!$D32)</f>
        <v/>
      </c>
      <c r="E192" s="132" t="str">
        <f aca="false">IF('Leah Hanlon'!$B32="","",'Leah Hanlon'!$E32)</f>
        <v/>
      </c>
      <c r="F192" s="132" t="str">
        <f aca="false">IF('Leah Hanlon'!$B32="","",'Leah Hanlon'!$F32)</f>
        <v/>
      </c>
      <c r="G192" s="132" t="str">
        <f aca="false">IF('Leah Hanlon'!$B32="","",'Leah Hanlon'!$G32)</f>
        <v/>
      </c>
      <c r="H192" s="131" t="str">
        <f aca="false">IF('Leah Hanlon'!$B32="","",'Leah Hanlon'!$H32)</f>
        <v/>
      </c>
      <c r="I192" s="131" t="str">
        <f aca="false">IF('Leah Hanlon'!$B32="","",'Leah Hanlon'!$I32)</f>
        <v/>
      </c>
      <c r="J192" s="133" t="str">
        <f aca="false">IF('Leah Hanlon'!$B32="","",'Leah Hanlon'!$J32)</f>
        <v/>
      </c>
      <c r="K192" s="134" t="str">
        <f aca="false">IF('Leah Hanlon'!$B32="","",'Leah Hanlon'!$K32)</f>
        <v/>
      </c>
      <c r="L192" s="134" t="str">
        <f aca="false">IF('Leah Hanlon'!$B32="","",'Leah Hanlon'!$L32)</f>
        <v/>
      </c>
      <c r="M192" s="132" t="str">
        <f aca="false">IF('Leah Hanlon'!$B32="","",'Leah Hanlon'!$M32)</f>
        <v/>
      </c>
      <c r="N192" s="132" t="str">
        <f aca="false">IF('Leah Hanlon'!$B32="","",'Leah Hanlon'!$N32)</f>
        <v/>
      </c>
      <c r="O192" s="134" t="str">
        <f aca="false">IF('Leah Hanlon'!$B32="","",'Leah Hanlon'!$O32)</f>
        <v/>
      </c>
      <c r="P192" s="132" t="str">
        <f aca="false">IF('Leah Hanlon'!$B32="","",'Leah Hanlon'!$P32)</f>
        <v/>
      </c>
      <c r="Q192" s="131" t="str">
        <f aca="false">IF('Leah Hanlon'!$B32="","","Leah Hanlon")</f>
        <v/>
      </c>
      <c r="R192" s="131" t="n">
        <f aca="true">IF(OR($B192="",$I192="Complete",$L192=""),0,IF($L192&lt;TODAY(),1,0))</f>
        <v>0</v>
      </c>
      <c r="S192" s="131" t="n">
        <f aca="true">IF(OR($B192="",$I192="Complete",$L192=""),0,IF(AND($L192&gt;=TODAY(),$L192&lt;=TODAY()+7),1,0))</f>
        <v>0</v>
      </c>
      <c r="T192" s="131" t="str">
        <f aca="true">IF(OR($B192="",$L192=""),"",$L192-TODAY())</f>
        <v/>
      </c>
      <c r="U192" s="135" t="str">
        <f aca="false">IF($B192="","",IF($I192="Complete",1,IF($J192="",0,$J192)))</f>
        <v/>
      </c>
      <c r="V192" s="131" t="n">
        <f aca="false">IF($B192="",0,IF($N192="",0,1))</f>
        <v>0</v>
      </c>
      <c r="W192" s="131" t="n">
        <f aca="false">IF($B192="",0,1)</f>
        <v>0</v>
      </c>
    </row>
    <row r="193" customFormat="false" ht="15" hidden="false" customHeight="false" outlineLevel="0" collapsed="false">
      <c r="A193" s="131" t="str">
        <f aca="false">IF('Leah Hanlon'!$B33="","",'Leah Hanlon'!$A33)</f>
        <v/>
      </c>
      <c r="B193" s="131" t="str">
        <f aca="false">IF('Leah Hanlon'!$B33="","",'Leah Hanlon'!$B33)</f>
        <v/>
      </c>
      <c r="C193" s="132" t="str">
        <f aca="false">IF('Leah Hanlon'!$B33="","",'Leah Hanlon'!$C33)</f>
        <v/>
      </c>
      <c r="D193" s="132" t="str">
        <f aca="false">IF('Leah Hanlon'!$B33="","",'Leah Hanlon'!$D33)</f>
        <v/>
      </c>
      <c r="E193" s="132" t="str">
        <f aca="false">IF('Leah Hanlon'!$B33="","",'Leah Hanlon'!$E33)</f>
        <v/>
      </c>
      <c r="F193" s="132" t="str">
        <f aca="false">IF('Leah Hanlon'!$B33="","",'Leah Hanlon'!$F33)</f>
        <v/>
      </c>
      <c r="G193" s="132" t="str">
        <f aca="false">IF('Leah Hanlon'!$B33="","",'Leah Hanlon'!$G33)</f>
        <v/>
      </c>
      <c r="H193" s="131" t="str">
        <f aca="false">IF('Leah Hanlon'!$B33="","",'Leah Hanlon'!$H33)</f>
        <v/>
      </c>
      <c r="I193" s="131" t="str">
        <f aca="false">IF('Leah Hanlon'!$B33="","",'Leah Hanlon'!$I33)</f>
        <v/>
      </c>
      <c r="J193" s="133" t="str">
        <f aca="false">IF('Leah Hanlon'!$B33="","",'Leah Hanlon'!$J33)</f>
        <v/>
      </c>
      <c r="K193" s="134" t="str">
        <f aca="false">IF('Leah Hanlon'!$B33="","",'Leah Hanlon'!$K33)</f>
        <v/>
      </c>
      <c r="L193" s="134" t="str">
        <f aca="false">IF('Leah Hanlon'!$B33="","",'Leah Hanlon'!$L33)</f>
        <v/>
      </c>
      <c r="M193" s="132" t="str">
        <f aca="false">IF('Leah Hanlon'!$B33="","",'Leah Hanlon'!$M33)</f>
        <v/>
      </c>
      <c r="N193" s="132" t="str">
        <f aca="false">IF('Leah Hanlon'!$B33="","",'Leah Hanlon'!$N33)</f>
        <v/>
      </c>
      <c r="O193" s="134" t="str">
        <f aca="false">IF('Leah Hanlon'!$B33="","",'Leah Hanlon'!$O33)</f>
        <v/>
      </c>
      <c r="P193" s="132" t="str">
        <f aca="false">IF('Leah Hanlon'!$B33="","",'Leah Hanlon'!$P33)</f>
        <v/>
      </c>
      <c r="Q193" s="131" t="str">
        <f aca="false">IF('Leah Hanlon'!$B33="","","Leah Hanlon")</f>
        <v/>
      </c>
      <c r="R193" s="131" t="n">
        <f aca="true">IF(OR($B193="",$I193="Complete",$L193=""),0,IF($L193&lt;TODAY(),1,0))</f>
        <v>0</v>
      </c>
      <c r="S193" s="131" t="n">
        <f aca="true">IF(OR($B193="",$I193="Complete",$L193=""),0,IF(AND($L193&gt;=TODAY(),$L193&lt;=TODAY()+7),1,0))</f>
        <v>0</v>
      </c>
      <c r="T193" s="131" t="str">
        <f aca="true">IF(OR($B193="",$L193=""),"",$L193-TODAY())</f>
        <v/>
      </c>
      <c r="U193" s="135" t="str">
        <f aca="false">IF($B193="","",IF($I193="Complete",1,IF($J193="",0,$J193)))</f>
        <v/>
      </c>
      <c r="V193" s="131" t="n">
        <f aca="false">IF($B193="",0,IF($N193="",0,1))</f>
        <v>0</v>
      </c>
      <c r="W193" s="131" t="n">
        <f aca="false">IF($B193="",0,1)</f>
        <v>0</v>
      </c>
    </row>
    <row r="194" customFormat="false" ht="15" hidden="false" customHeight="false" outlineLevel="0" collapsed="false">
      <c r="A194" s="131" t="str">
        <f aca="false">IF('Leah Hanlon'!$B34="","",'Leah Hanlon'!$A34)</f>
        <v/>
      </c>
      <c r="B194" s="131" t="str">
        <f aca="false">IF('Leah Hanlon'!$B34="","",'Leah Hanlon'!$B34)</f>
        <v/>
      </c>
      <c r="C194" s="132" t="str">
        <f aca="false">IF('Leah Hanlon'!$B34="","",'Leah Hanlon'!$C34)</f>
        <v/>
      </c>
      <c r="D194" s="132" t="str">
        <f aca="false">IF('Leah Hanlon'!$B34="","",'Leah Hanlon'!$D34)</f>
        <v/>
      </c>
      <c r="E194" s="132" t="str">
        <f aca="false">IF('Leah Hanlon'!$B34="","",'Leah Hanlon'!$E34)</f>
        <v/>
      </c>
      <c r="F194" s="132" t="str">
        <f aca="false">IF('Leah Hanlon'!$B34="","",'Leah Hanlon'!$F34)</f>
        <v/>
      </c>
      <c r="G194" s="132" t="str">
        <f aca="false">IF('Leah Hanlon'!$B34="","",'Leah Hanlon'!$G34)</f>
        <v/>
      </c>
      <c r="H194" s="131" t="str">
        <f aca="false">IF('Leah Hanlon'!$B34="","",'Leah Hanlon'!$H34)</f>
        <v/>
      </c>
      <c r="I194" s="131" t="str">
        <f aca="false">IF('Leah Hanlon'!$B34="","",'Leah Hanlon'!$I34)</f>
        <v/>
      </c>
      <c r="J194" s="133" t="str">
        <f aca="false">IF('Leah Hanlon'!$B34="","",'Leah Hanlon'!$J34)</f>
        <v/>
      </c>
      <c r="K194" s="134" t="str">
        <f aca="false">IF('Leah Hanlon'!$B34="","",'Leah Hanlon'!$K34)</f>
        <v/>
      </c>
      <c r="L194" s="134" t="str">
        <f aca="false">IF('Leah Hanlon'!$B34="","",'Leah Hanlon'!$L34)</f>
        <v/>
      </c>
      <c r="M194" s="132" t="str">
        <f aca="false">IF('Leah Hanlon'!$B34="","",'Leah Hanlon'!$M34)</f>
        <v/>
      </c>
      <c r="N194" s="132" t="str">
        <f aca="false">IF('Leah Hanlon'!$B34="","",'Leah Hanlon'!$N34)</f>
        <v/>
      </c>
      <c r="O194" s="134" t="str">
        <f aca="false">IF('Leah Hanlon'!$B34="","",'Leah Hanlon'!$O34)</f>
        <v/>
      </c>
      <c r="P194" s="132" t="str">
        <f aca="false">IF('Leah Hanlon'!$B34="","",'Leah Hanlon'!$P34)</f>
        <v/>
      </c>
      <c r="Q194" s="131" t="str">
        <f aca="false">IF('Leah Hanlon'!$B34="","","Leah Hanlon")</f>
        <v/>
      </c>
      <c r="R194" s="131" t="n">
        <f aca="true">IF(OR($B194="",$I194="Complete",$L194=""),0,IF($L194&lt;TODAY(),1,0))</f>
        <v>0</v>
      </c>
      <c r="S194" s="131" t="n">
        <f aca="true">IF(OR($B194="",$I194="Complete",$L194=""),0,IF(AND($L194&gt;=TODAY(),$L194&lt;=TODAY()+7),1,0))</f>
        <v>0</v>
      </c>
      <c r="T194" s="131" t="str">
        <f aca="true">IF(OR($B194="",$L194=""),"",$L194-TODAY())</f>
        <v/>
      </c>
      <c r="U194" s="135" t="str">
        <f aca="false">IF($B194="","",IF($I194="Complete",1,IF($J194="",0,$J194)))</f>
        <v/>
      </c>
      <c r="V194" s="131" t="n">
        <f aca="false">IF($B194="",0,IF($N194="",0,1))</f>
        <v>0</v>
      </c>
      <c r="W194" s="131" t="n">
        <f aca="false">IF($B194="",0,1)</f>
        <v>0</v>
      </c>
    </row>
    <row r="195" customFormat="false" ht="15" hidden="false" customHeight="false" outlineLevel="0" collapsed="false">
      <c r="A195" s="131" t="str">
        <f aca="false">IF('Leah Hanlon'!$B35="","",'Leah Hanlon'!$A35)</f>
        <v/>
      </c>
      <c r="B195" s="131" t="str">
        <f aca="false">IF('Leah Hanlon'!$B35="","",'Leah Hanlon'!$B35)</f>
        <v/>
      </c>
      <c r="C195" s="132" t="str">
        <f aca="false">IF('Leah Hanlon'!$B35="","",'Leah Hanlon'!$C35)</f>
        <v/>
      </c>
      <c r="D195" s="132" t="str">
        <f aca="false">IF('Leah Hanlon'!$B35="","",'Leah Hanlon'!$D35)</f>
        <v/>
      </c>
      <c r="E195" s="132" t="str">
        <f aca="false">IF('Leah Hanlon'!$B35="","",'Leah Hanlon'!$E35)</f>
        <v/>
      </c>
      <c r="F195" s="132" t="str">
        <f aca="false">IF('Leah Hanlon'!$B35="","",'Leah Hanlon'!$F35)</f>
        <v/>
      </c>
      <c r="G195" s="132" t="str">
        <f aca="false">IF('Leah Hanlon'!$B35="","",'Leah Hanlon'!$G35)</f>
        <v/>
      </c>
      <c r="H195" s="131" t="str">
        <f aca="false">IF('Leah Hanlon'!$B35="","",'Leah Hanlon'!$H35)</f>
        <v/>
      </c>
      <c r="I195" s="131" t="str">
        <f aca="false">IF('Leah Hanlon'!$B35="","",'Leah Hanlon'!$I35)</f>
        <v/>
      </c>
      <c r="J195" s="133" t="str">
        <f aca="false">IF('Leah Hanlon'!$B35="","",'Leah Hanlon'!$J35)</f>
        <v/>
      </c>
      <c r="K195" s="134" t="str">
        <f aca="false">IF('Leah Hanlon'!$B35="","",'Leah Hanlon'!$K35)</f>
        <v/>
      </c>
      <c r="L195" s="134" t="str">
        <f aca="false">IF('Leah Hanlon'!$B35="","",'Leah Hanlon'!$L35)</f>
        <v/>
      </c>
      <c r="M195" s="132" t="str">
        <f aca="false">IF('Leah Hanlon'!$B35="","",'Leah Hanlon'!$M35)</f>
        <v/>
      </c>
      <c r="N195" s="132" t="str">
        <f aca="false">IF('Leah Hanlon'!$B35="","",'Leah Hanlon'!$N35)</f>
        <v/>
      </c>
      <c r="O195" s="134" t="str">
        <f aca="false">IF('Leah Hanlon'!$B35="","",'Leah Hanlon'!$O35)</f>
        <v/>
      </c>
      <c r="P195" s="132" t="str">
        <f aca="false">IF('Leah Hanlon'!$B35="","",'Leah Hanlon'!$P35)</f>
        <v/>
      </c>
      <c r="Q195" s="131" t="str">
        <f aca="false">IF('Leah Hanlon'!$B35="","","Leah Hanlon")</f>
        <v/>
      </c>
      <c r="R195" s="131" t="n">
        <f aca="true">IF(OR($B195="",$I195="Complete",$L195=""),0,IF($L195&lt;TODAY(),1,0))</f>
        <v>0</v>
      </c>
      <c r="S195" s="131" t="n">
        <f aca="true">IF(OR($B195="",$I195="Complete",$L195=""),0,IF(AND($L195&gt;=TODAY(),$L195&lt;=TODAY()+7),1,0))</f>
        <v>0</v>
      </c>
      <c r="T195" s="131" t="str">
        <f aca="true">IF(OR($B195="",$L195=""),"",$L195-TODAY())</f>
        <v/>
      </c>
      <c r="U195" s="135" t="str">
        <f aca="false">IF($B195="","",IF($I195="Complete",1,IF($J195="",0,$J195)))</f>
        <v/>
      </c>
      <c r="V195" s="131" t="n">
        <f aca="false">IF($B195="",0,IF($N195="",0,1))</f>
        <v>0</v>
      </c>
      <c r="W195" s="131" t="n">
        <f aca="false">IF($B195="",0,1)</f>
        <v>0</v>
      </c>
    </row>
    <row r="196" customFormat="false" ht="15" hidden="false" customHeight="false" outlineLevel="0" collapsed="false">
      <c r="A196" s="131" t="str">
        <f aca="false">IF('Leah Hanlon'!$B36="","",'Leah Hanlon'!$A36)</f>
        <v/>
      </c>
      <c r="B196" s="131" t="str">
        <f aca="false">IF('Leah Hanlon'!$B36="","",'Leah Hanlon'!$B36)</f>
        <v/>
      </c>
      <c r="C196" s="132" t="str">
        <f aca="false">IF('Leah Hanlon'!$B36="","",'Leah Hanlon'!$C36)</f>
        <v/>
      </c>
      <c r="D196" s="132" t="str">
        <f aca="false">IF('Leah Hanlon'!$B36="","",'Leah Hanlon'!$D36)</f>
        <v/>
      </c>
      <c r="E196" s="132" t="str">
        <f aca="false">IF('Leah Hanlon'!$B36="","",'Leah Hanlon'!$E36)</f>
        <v/>
      </c>
      <c r="F196" s="132" t="str">
        <f aca="false">IF('Leah Hanlon'!$B36="","",'Leah Hanlon'!$F36)</f>
        <v/>
      </c>
      <c r="G196" s="132" t="str">
        <f aca="false">IF('Leah Hanlon'!$B36="","",'Leah Hanlon'!$G36)</f>
        <v/>
      </c>
      <c r="H196" s="131" t="str">
        <f aca="false">IF('Leah Hanlon'!$B36="","",'Leah Hanlon'!$H36)</f>
        <v/>
      </c>
      <c r="I196" s="131" t="str">
        <f aca="false">IF('Leah Hanlon'!$B36="","",'Leah Hanlon'!$I36)</f>
        <v/>
      </c>
      <c r="J196" s="133" t="str">
        <f aca="false">IF('Leah Hanlon'!$B36="","",'Leah Hanlon'!$J36)</f>
        <v/>
      </c>
      <c r="K196" s="134" t="str">
        <f aca="false">IF('Leah Hanlon'!$B36="","",'Leah Hanlon'!$K36)</f>
        <v/>
      </c>
      <c r="L196" s="134" t="str">
        <f aca="false">IF('Leah Hanlon'!$B36="","",'Leah Hanlon'!$L36)</f>
        <v/>
      </c>
      <c r="M196" s="132" t="str">
        <f aca="false">IF('Leah Hanlon'!$B36="","",'Leah Hanlon'!$M36)</f>
        <v/>
      </c>
      <c r="N196" s="132" t="str">
        <f aca="false">IF('Leah Hanlon'!$B36="","",'Leah Hanlon'!$N36)</f>
        <v/>
      </c>
      <c r="O196" s="134" t="str">
        <f aca="false">IF('Leah Hanlon'!$B36="","",'Leah Hanlon'!$O36)</f>
        <v/>
      </c>
      <c r="P196" s="132" t="str">
        <f aca="false">IF('Leah Hanlon'!$B36="","",'Leah Hanlon'!$P36)</f>
        <v/>
      </c>
      <c r="Q196" s="131" t="str">
        <f aca="false">IF('Leah Hanlon'!$B36="","","Leah Hanlon")</f>
        <v/>
      </c>
      <c r="R196" s="131" t="n">
        <f aca="true">IF(OR($B196="",$I196="Complete",$L196=""),0,IF($L196&lt;TODAY(),1,0))</f>
        <v>0</v>
      </c>
      <c r="S196" s="131" t="n">
        <f aca="true">IF(OR($B196="",$I196="Complete",$L196=""),0,IF(AND($L196&gt;=TODAY(),$L196&lt;=TODAY()+7),1,0))</f>
        <v>0</v>
      </c>
      <c r="T196" s="131" t="str">
        <f aca="true">IF(OR($B196="",$L196=""),"",$L196-TODAY())</f>
        <v/>
      </c>
      <c r="U196" s="135" t="str">
        <f aca="false">IF($B196="","",IF($I196="Complete",1,IF($J196="",0,$J196)))</f>
        <v/>
      </c>
      <c r="V196" s="131" t="n">
        <f aca="false">IF($B196="",0,IF($N196="",0,1))</f>
        <v>0</v>
      </c>
      <c r="W196" s="131" t="n">
        <f aca="false">IF($B196="",0,1)</f>
        <v>0</v>
      </c>
    </row>
    <row r="197" customFormat="false" ht="15" hidden="false" customHeight="false" outlineLevel="0" collapsed="false">
      <c r="A197" s="131" t="str">
        <f aca="false">IF('Leah Hanlon'!$B37="","",'Leah Hanlon'!$A37)</f>
        <v/>
      </c>
      <c r="B197" s="131" t="str">
        <f aca="false">IF('Leah Hanlon'!$B37="","",'Leah Hanlon'!$B37)</f>
        <v/>
      </c>
      <c r="C197" s="132" t="str">
        <f aca="false">IF('Leah Hanlon'!$B37="","",'Leah Hanlon'!$C37)</f>
        <v/>
      </c>
      <c r="D197" s="132" t="str">
        <f aca="false">IF('Leah Hanlon'!$B37="","",'Leah Hanlon'!$D37)</f>
        <v/>
      </c>
      <c r="E197" s="132" t="str">
        <f aca="false">IF('Leah Hanlon'!$B37="","",'Leah Hanlon'!$E37)</f>
        <v/>
      </c>
      <c r="F197" s="132" t="str">
        <f aca="false">IF('Leah Hanlon'!$B37="","",'Leah Hanlon'!$F37)</f>
        <v/>
      </c>
      <c r="G197" s="132" t="str">
        <f aca="false">IF('Leah Hanlon'!$B37="","",'Leah Hanlon'!$G37)</f>
        <v/>
      </c>
      <c r="H197" s="131" t="str">
        <f aca="false">IF('Leah Hanlon'!$B37="","",'Leah Hanlon'!$H37)</f>
        <v/>
      </c>
      <c r="I197" s="131" t="str">
        <f aca="false">IF('Leah Hanlon'!$B37="","",'Leah Hanlon'!$I37)</f>
        <v/>
      </c>
      <c r="J197" s="133" t="str">
        <f aca="false">IF('Leah Hanlon'!$B37="","",'Leah Hanlon'!$J37)</f>
        <v/>
      </c>
      <c r="K197" s="134" t="str">
        <f aca="false">IF('Leah Hanlon'!$B37="","",'Leah Hanlon'!$K37)</f>
        <v/>
      </c>
      <c r="L197" s="134" t="str">
        <f aca="false">IF('Leah Hanlon'!$B37="","",'Leah Hanlon'!$L37)</f>
        <v/>
      </c>
      <c r="M197" s="132" t="str">
        <f aca="false">IF('Leah Hanlon'!$B37="","",'Leah Hanlon'!$M37)</f>
        <v/>
      </c>
      <c r="N197" s="132" t="str">
        <f aca="false">IF('Leah Hanlon'!$B37="","",'Leah Hanlon'!$N37)</f>
        <v/>
      </c>
      <c r="O197" s="134" t="str">
        <f aca="false">IF('Leah Hanlon'!$B37="","",'Leah Hanlon'!$O37)</f>
        <v/>
      </c>
      <c r="P197" s="132" t="str">
        <f aca="false">IF('Leah Hanlon'!$B37="","",'Leah Hanlon'!$P37)</f>
        <v/>
      </c>
      <c r="Q197" s="131" t="str">
        <f aca="false">IF('Leah Hanlon'!$B37="","","Leah Hanlon")</f>
        <v/>
      </c>
      <c r="R197" s="131" t="n">
        <f aca="true">IF(OR($B197="",$I197="Complete",$L197=""),0,IF($L197&lt;TODAY(),1,0))</f>
        <v>0</v>
      </c>
      <c r="S197" s="131" t="n">
        <f aca="true">IF(OR($B197="",$I197="Complete",$L197=""),0,IF(AND($L197&gt;=TODAY(),$L197&lt;=TODAY()+7),1,0))</f>
        <v>0</v>
      </c>
      <c r="T197" s="131" t="str">
        <f aca="true">IF(OR($B197="",$L197=""),"",$L197-TODAY())</f>
        <v/>
      </c>
      <c r="U197" s="135" t="str">
        <f aca="false">IF($B197="","",IF($I197="Complete",1,IF($J197="",0,$J197)))</f>
        <v/>
      </c>
      <c r="V197" s="131" t="n">
        <f aca="false">IF($B197="",0,IF($N197="",0,1))</f>
        <v>0</v>
      </c>
      <c r="W197" s="131" t="n">
        <f aca="false">IF($B197="",0,1)</f>
        <v>0</v>
      </c>
    </row>
    <row r="198" customFormat="false" ht="15" hidden="false" customHeight="false" outlineLevel="0" collapsed="false">
      <c r="A198" s="131" t="str">
        <f aca="false">IF('Leah Hanlon'!$B38="","",'Leah Hanlon'!$A38)</f>
        <v/>
      </c>
      <c r="B198" s="131" t="str">
        <f aca="false">IF('Leah Hanlon'!$B38="","",'Leah Hanlon'!$B38)</f>
        <v/>
      </c>
      <c r="C198" s="132" t="str">
        <f aca="false">IF('Leah Hanlon'!$B38="","",'Leah Hanlon'!$C38)</f>
        <v/>
      </c>
      <c r="D198" s="132" t="str">
        <f aca="false">IF('Leah Hanlon'!$B38="","",'Leah Hanlon'!$D38)</f>
        <v/>
      </c>
      <c r="E198" s="132" t="str">
        <f aca="false">IF('Leah Hanlon'!$B38="","",'Leah Hanlon'!$E38)</f>
        <v/>
      </c>
      <c r="F198" s="132" t="str">
        <f aca="false">IF('Leah Hanlon'!$B38="","",'Leah Hanlon'!$F38)</f>
        <v/>
      </c>
      <c r="G198" s="132" t="str">
        <f aca="false">IF('Leah Hanlon'!$B38="","",'Leah Hanlon'!$G38)</f>
        <v/>
      </c>
      <c r="H198" s="131" t="str">
        <f aca="false">IF('Leah Hanlon'!$B38="","",'Leah Hanlon'!$H38)</f>
        <v/>
      </c>
      <c r="I198" s="131" t="str">
        <f aca="false">IF('Leah Hanlon'!$B38="","",'Leah Hanlon'!$I38)</f>
        <v/>
      </c>
      <c r="J198" s="133" t="str">
        <f aca="false">IF('Leah Hanlon'!$B38="","",'Leah Hanlon'!$J38)</f>
        <v/>
      </c>
      <c r="K198" s="134" t="str">
        <f aca="false">IF('Leah Hanlon'!$B38="","",'Leah Hanlon'!$K38)</f>
        <v/>
      </c>
      <c r="L198" s="134" t="str">
        <f aca="false">IF('Leah Hanlon'!$B38="","",'Leah Hanlon'!$L38)</f>
        <v/>
      </c>
      <c r="M198" s="132" t="str">
        <f aca="false">IF('Leah Hanlon'!$B38="","",'Leah Hanlon'!$M38)</f>
        <v/>
      </c>
      <c r="N198" s="132" t="str">
        <f aca="false">IF('Leah Hanlon'!$B38="","",'Leah Hanlon'!$N38)</f>
        <v/>
      </c>
      <c r="O198" s="134" t="str">
        <f aca="false">IF('Leah Hanlon'!$B38="","",'Leah Hanlon'!$O38)</f>
        <v/>
      </c>
      <c r="P198" s="132" t="str">
        <f aca="false">IF('Leah Hanlon'!$B38="","",'Leah Hanlon'!$P38)</f>
        <v/>
      </c>
      <c r="Q198" s="131" t="str">
        <f aca="false">IF('Leah Hanlon'!$B38="","","Leah Hanlon")</f>
        <v/>
      </c>
      <c r="R198" s="131" t="n">
        <f aca="true">IF(OR($B198="",$I198="Complete",$L198=""),0,IF($L198&lt;TODAY(),1,0))</f>
        <v>0</v>
      </c>
      <c r="S198" s="131" t="n">
        <f aca="true">IF(OR($B198="",$I198="Complete",$L198=""),0,IF(AND($L198&gt;=TODAY(),$L198&lt;=TODAY()+7),1,0))</f>
        <v>0</v>
      </c>
      <c r="T198" s="131" t="str">
        <f aca="true">IF(OR($B198="",$L198=""),"",$L198-TODAY())</f>
        <v/>
      </c>
      <c r="U198" s="135" t="str">
        <f aca="false">IF($B198="","",IF($I198="Complete",1,IF($J198="",0,$J198)))</f>
        <v/>
      </c>
      <c r="V198" s="131" t="n">
        <f aca="false">IF($B198="",0,IF($N198="",0,1))</f>
        <v>0</v>
      </c>
      <c r="W198" s="131" t="n">
        <f aca="false">IF($B198="",0,1)</f>
        <v>0</v>
      </c>
    </row>
    <row r="199" customFormat="false" ht="15" hidden="false" customHeight="false" outlineLevel="0" collapsed="false">
      <c r="A199" s="131" t="str">
        <f aca="false">IF('Leah Hanlon'!$B39="","",'Leah Hanlon'!$A39)</f>
        <v/>
      </c>
      <c r="B199" s="131" t="str">
        <f aca="false">IF('Leah Hanlon'!$B39="","",'Leah Hanlon'!$B39)</f>
        <v/>
      </c>
      <c r="C199" s="132" t="str">
        <f aca="false">IF('Leah Hanlon'!$B39="","",'Leah Hanlon'!$C39)</f>
        <v/>
      </c>
      <c r="D199" s="132" t="str">
        <f aca="false">IF('Leah Hanlon'!$B39="","",'Leah Hanlon'!$D39)</f>
        <v/>
      </c>
      <c r="E199" s="132" t="str">
        <f aca="false">IF('Leah Hanlon'!$B39="","",'Leah Hanlon'!$E39)</f>
        <v/>
      </c>
      <c r="F199" s="132" t="str">
        <f aca="false">IF('Leah Hanlon'!$B39="","",'Leah Hanlon'!$F39)</f>
        <v/>
      </c>
      <c r="G199" s="132" t="str">
        <f aca="false">IF('Leah Hanlon'!$B39="","",'Leah Hanlon'!$G39)</f>
        <v/>
      </c>
      <c r="H199" s="131" t="str">
        <f aca="false">IF('Leah Hanlon'!$B39="","",'Leah Hanlon'!$H39)</f>
        <v/>
      </c>
      <c r="I199" s="131" t="str">
        <f aca="false">IF('Leah Hanlon'!$B39="","",'Leah Hanlon'!$I39)</f>
        <v/>
      </c>
      <c r="J199" s="133" t="str">
        <f aca="false">IF('Leah Hanlon'!$B39="","",'Leah Hanlon'!$J39)</f>
        <v/>
      </c>
      <c r="K199" s="134" t="str">
        <f aca="false">IF('Leah Hanlon'!$B39="","",'Leah Hanlon'!$K39)</f>
        <v/>
      </c>
      <c r="L199" s="134" t="str">
        <f aca="false">IF('Leah Hanlon'!$B39="","",'Leah Hanlon'!$L39)</f>
        <v/>
      </c>
      <c r="M199" s="132" t="str">
        <f aca="false">IF('Leah Hanlon'!$B39="","",'Leah Hanlon'!$M39)</f>
        <v/>
      </c>
      <c r="N199" s="132" t="str">
        <f aca="false">IF('Leah Hanlon'!$B39="","",'Leah Hanlon'!$N39)</f>
        <v/>
      </c>
      <c r="O199" s="134" t="str">
        <f aca="false">IF('Leah Hanlon'!$B39="","",'Leah Hanlon'!$O39)</f>
        <v/>
      </c>
      <c r="P199" s="132" t="str">
        <f aca="false">IF('Leah Hanlon'!$B39="","",'Leah Hanlon'!$P39)</f>
        <v/>
      </c>
      <c r="Q199" s="131" t="str">
        <f aca="false">IF('Leah Hanlon'!$B39="","","Leah Hanlon")</f>
        <v/>
      </c>
      <c r="R199" s="131" t="n">
        <f aca="true">IF(OR($B199="",$I199="Complete",$L199=""),0,IF($L199&lt;TODAY(),1,0))</f>
        <v>0</v>
      </c>
      <c r="S199" s="131" t="n">
        <f aca="true">IF(OR($B199="",$I199="Complete",$L199=""),0,IF(AND($L199&gt;=TODAY(),$L199&lt;=TODAY()+7),1,0))</f>
        <v>0</v>
      </c>
      <c r="T199" s="131" t="str">
        <f aca="true">IF(OR($B199="",$L199=""),"",$L199-TODAY())</f>
        <v/>
      </c>
      <c r="U199" s="135" t="str">
        <f aca="false">IF($B199="","",IF($I199="Complete",1,IF($J199="",0,$J199)))</f>
        <v/>
      </c>
      <c r="V199" s="131" t="n">
        <f aca="false">IF($B199="",0,IF($N199="",0,1))</f>
        <v>0</v>
      </c>
      <c r="W199" s="131" t="n">
        <f aca="false">IF($B199="",0,1)</f>
        <v>0</v>
      </c>
    </row>
    <row r="200" customFormat="false" ht="15" hidden="false" customHeight="false" outlineLevel="0" collapsed="false">
      <c r="A200" s="131" t="str">
        <f aca="false">IF('Leah Hanlon'!$B40="","",'Leah Hanlon'!$A40)</f>
        <v/>
      </c>
      <c r="B200" s="131" t="str">
        <f aca="false">IF('Leah Hanlon'!$B40="","",'Leah Hanlon'!$B40)</f>
        <v/>
      </c>
      <c r="C200" s="132" t="str">
        <f aca="false">IF('Leah Hanlon'!$B40="","",'Leah Hanlon'!$C40)</f>
        <v/>
      </c>
      <c r="D200" s="132" t="str">
        <f aca="false">IF('Leah Hanlon'!$B40="","",'Leah Hanlon'!$D40)</f>
        <v/>
      </c>
      <c r="E200" s="132" t="str">
        <f aca="false">IF('Leah Hanlon'!$B40="","",'Leah Hanlon'!$E40)</f>
        <v/>
      </c>
      <c r="F200" s="132" t="str">
        <f aca="false">IF('Leah Hanlon'!$B40="","",'Leah Hanlon'!$F40)</f>
        <v/>
      </c>
      <c r="G200" s="132" t="str">
        <f aca="false">IF('Leah Hanlon'!$B40="","",'Leah Hanlon'!$G40)</f>
        <v/>
      </c>
      <c r="H200" s="131" t="str">
        <f aca="false">IF('Leah Hanlon'!$B40="","",'Leah Hanlon'!$H40)</f>
        <v/>
      </c>
      <c r="I200" s="131" t="str">
        <f aca="false">IF('Leah Hanlon'!$B40="","",'Leah Hanlon'!$I40)</f>
        <v/>
      </c>
      <c r="J200" s="133" t="str">
        <f aca="false">IF('Leah Hanlon'!$B40="","",'Leah Hanlon'!$J40)</f>
        <v/>
      </c>
      <c r="K200" s="134" t="str">
        <f aca="false">IF('Leah Hanlon'!$B40="","",'Leah Hanlon'!$K40)</f>
        <v/>
      </c>
      <c r="L200" s="134" t="str">
        <f aca="false">IF('Leah Hanlon'!$B40="","",'Leah Hanlon'!$L40)</f>
        <v/>
      </c>
      <c r="M200" s="132" t="str">
        <f aca="false">IF('Leah Hanlon'!$B40="","",'Leah Hanlon'!$M40)</f>
        <v/>
      </c>
      <c r="N200" s="132" t="str">
        <f aca="false">IF('Leah Hanlon'!$B40="","",'Leah Hanlon'!$N40)</f>
        <v/>
      </c>
      <c r="O200" s="134" t="str">
        <f aca="false">IF('Leah Hanlon'!$B40="","",'Leah Hanlon'!$O40)</f>
        <v/>
      </c>
      <c r="P200" s="132" t="str">
        <f aca="false">IF('Leah Hanlon'!$B40="","",'Leah Hanlon'!$P40)</f>
        <v/>
      </c>
      <c r="Q200" s="131" t="str">
        <f aca="false">IF('Leah Hanlon'!$B40="","","Leah Hanlon")</f>
        <v/>
      </c>
      <c r="R200" s="131" t="n">
        <f aca="true">IF(OR($B200="",$I200="Complete",$L200=""),0,IF($L200&lt;TODAY(),1,0))</f>
        <v>0</v>
      </c>
      <c r="S200" s="131" t="n">
        <f aca="true">IF(OR($B200="",$I200="Complete",$L200=""),0,IF(AND($L200&gt;=TODAY(),$L200&lt;=TODAY()+7),1,0))</f>
        <v>0</v>
      </c>
      <c r="T200" s="131" t="str">
        <f aca="true">IF(OR($B200="",$L200=""),"",$L200-TODAY())</f>
        <v/>
      </c>
      <c r="U200" s="135" t="str">
        <f aca="false">IF($B200="","",IF($I200="Complete",1,IF($J200="",0,$J200)))</f>
        <v/>
      </c>
      <c r="V200" s="131" t="n">
        <f aca="false">IF($B200="",0,IF($N200="",0,1))</f>
        <v>0</v>
      </c>
      <c r="W200" s="131" t="n">
        <f aca="false">IF($B200="",0,1)</f>
        <v>0</v>
      </c>
    </row>
    <row r="201" customFormat="false" ht="15" hidden="false" customHeight="false" outlineLevel="0" collapsed="false">
      <c r="A201" s="131" t="str">
        <f aca="false">IF('Leah Hanlon'!$B41="","",'Leah Hanlon'!$A41)</f>
        <v/>
      </c>
      <c r="B201" s="131" t="str">
        <f aca="false">IF('Leah Hanlon'!$B41="","",'Leah Hanlon'!$B41)</f>
        <v/>
      </c>
      <c r="C201" s="132" t="str">
        <f aca="false">IF('Leah Hanlon'!$B41="","",'Leah Hanlon'!$C41)</f>
        <v/>
      </c>
      <c r="D201" s="132" t="str">
        <f aca="false">IF('Leah Hanlon'!$B41="","",'Leah Hanlon'!$D41)</f>
        <v/>
      </c>
      <c r="E201" s="132" t="str">
        <f aca="false">IF('Leah Hanlon'!$B41="","",'Leah Hanlon'!$E41)</f>
        <v/>
      </c>
      <c r="F201" s="132" t="str">
        <f aca="false">IF('Leah Hanlon'!$B41="","",'Leah Hanlon'!$F41)</f>
        <v/>
      </c>
      <c r="G201" s="132" t="str">
        <f aca="false">IF('Leah Hanlon'!$B41="","",'Leah Hanlon'!$G41)</f>
        <v/>
      </c>
      <c r="H201" s="131" t="str">
        <f aca="false">IF('Leah Hanlon'!$B41="","",'Leah Hanlon'!$H41)</f>
        <v/>
      </c>
      <c r="I201" s="131" t="str">
        <f aca="false">IF('Leah Hanlon'!$B41="","",'Leah Hanlon'!$I41)</f>
        <v/>
      </c>
      <c r="J201" s="133" t="str">
        <f aca="false">IF('Leah Hanlon'!$B41="","",'Leah Hanlon'!$J41)</f>
        <v/>
      </c>
      <c r="K201" s="134" t="str">
        <f aca="false">IF('Leah Hanlon'!$B41="","",'Leah Hanlon'!$K41)</f>
        <v/>
      </c>
      <c r="L201" s="134" t="str">
        <f aca="false">IF('Leah Hanlon'!$B41="","",'Leah Hanlon'!$L41)</f>
        <v/>
      </c>
      <c r="M201" s="132" t="str">
        <f aca="false">IF('Leah Hanlon'!$B41="","",'Leah Hanlon'!$M41)</f>
        <v/>
      </c>
      <c r="N201" s="132" t="str">
        <f aca="false">IF('Leah Hanlon'!$B41="","",'Leah Hanlon'!$N41)</f>
        <v/>
      </c>
      <c r="O201" s="134" t="str">
        <f aca="false">IF('Leah Hanlon'!$B41="","",'Leah Hanlon'!$O41)</f>
        <v/>
      </c>
      <c r="P201" s="132" t="str">
        <f aca="false">IF('Leah Hanlon'!$B41="","",'Leah Hanlon'!$P41)</f>
        <v/>
      </c>
      <c r="Q201" s="131" t="str">
        <f aca="false">IF('Leah Hanlon'!$B41="","","Leah Hanlon")</f>
        <v/>
      </c>
      <c r="R201" s="131" t="n">
        <f aca="true">IF(OR($B201="",$I201="Complete",$L201=""),0,IF($L201&lt;TODAY(),1,0))</f>
        <v>0</v>
      </c>
      <c r="S201" s="131" t="n">
        <f aca="true">IF(OR($B201="",$I201="Complete",$L201=""),0,IF(AND($L201&gt;=TODAY(),$L201&lt;=TODAY()+7),1,0))</f>
        <v>0</v>
      </c>
      <c r="T201" s="131" t="str">
        <f aca="true">IF(OR($B201="",$L201=""),"",$L201-TODAY())</f>
        <v/>
      </c>
      <c r="U201" s="135" t="str">
        <f aca="false">IF($B201="","",IF($I201="Complete",1,IF($J201="",0,$J201)))</f>
        <v/>
      </c>
      <c r="V201" s="131" t="n">
        <f aca="false">IF($B201="",0,IF($N201="",0,1))</f>
        <v>0</v>
      </c>
      <c r="W201" s="131" t="n">
        <f aca="false">IF($B201="",0,1)</f>
        <v>0</v>
      </c>
    </row>
    <row r="202" customFormat="false" ht="15" hidden="false" customHeight="false" outlineLevel="0" collapsed="false">
      <c r="A202" s="131" t="str">
        <f aca="false">IF('Leah Hanlon'!$B42="","",'Leah Hanlon'!$A42)</f>
        <v/>
      </c>
      <c r="B202" s="131" t="str">
        <f aca="false">IF('Leah Hanlon'!$B42="","",'Leah Hanlon'!$B42)</f>
        <v/>
      </c>
      <c r="C202" s="132" t="str">
        <f aca="false">IF('Leah Hanlon'!$B42="","",'Leah Hanlon'!$C42)</f>
        <v/>
      </c>
      <c r="D202" s="132" t="str">
        <f aca="false">IF('Leah Hanlon'!$B42="","",'Leah Hanlon'!$D42)</f>
        <v/>
      </c>
      <c r="E202" s="132" t="str">
        <f aca="false">IF('Leah Hanlon'!$B42="","",'Leah Hanlon'!$E42)</f>
        <v/>
      </c>
      <c r="F202" s="132" t="str">
        <f aca="false">IF('Leah Hanlon'!$B42="","",'Leah Hanlon'!$F42)</f>
        <v/>
      </c>
      <c r="G202" s="132" t="str">
        <f aca="false">IF('Leah Hanlon'!$B42="","",'Leah Hanlon'!$G42)</f>
        <v/>
      </c>
      <c r="H202" s="131" t="str">
        <f aca="false">IF('Leah Hanlon'!$B42="","",'Leah Hanlon'!$H42)</f>
        <v/>
      </c>
      <c r="I202" s="131" t="str">
        <f aca="false">IF('Leah Hanlon'!$B42="","",'Leah Hanlon'!$I42)</f>
        <v/>
      </c>
      <c r="J202" s="133" t="str">
        <f aca="false">IF('Leah Hanlon'!$B42="","",'Leah Hanlon'!$J42)</f>
        <v/>
      </c>
      <c r="K202" s="134" t="str">
        <f aca="false">IF('Leah Hanlon'!$B42="","",'Leah Hanlon'!$K42)</f>
        <v/>
      </c>
      <c r="L202" s="134" t="str">
        <f aca="false">IF('Leah Hanlon'!$B42="","",'Leah Hanlon'!$L42)</f>
        <v/>
      </c>
      <c r="M202" s="132" t="str">
        <f aca="false">IF('Leah Hanlon'!$B42="","",'Leah Hanlon'!$M42)</f>
        <v/>
      </c>
      <c r="N202" s="132" t="str">
        <f aca="false">IF('Leah Hanlon'!$B42="","",'Leah Hanlon'!$N42)</f>
        <v/>
      </c>
      <c r="O202" s="134" t="str">
        <f aca="false">IF('Leah Hanlon'!$B42="","",'Leah Hanlon'!$O42)</f>
        <v/>
      </c>
      <c r="P202" s="132" t="str">
        <f aca="false">IF('Leah Hanlon'!$B42="","",'Leah Hanlon'!$P42)</f>
        <v/>
      </c>
      <c r="Q202" s="131" t="str">
        <f aca="false">IF('Leah Hanlon'!$B42="","","Leah Hanlon")</f>
        <v/>
      </c>
      <c r="R202" s="131" t="n">
        <f aca="true">IF(OR($B202="",$I202="Complete",$L202=""),0,IF($L202&lt;TODAY(),1,0))</f>
        <v>0</v>
      </c>
      <c r="S202" s="131" t="n">
        <f aca="true">IF(OR($B202="",$I202="Complete",$L202=""),0,IF(AND($L202&gt;=TODAY(),$L202&lt;=TODAY()+7),1,0))</f>
        <v>0</v>
      </c>
      <c r="T202" s="131" t="str">
        <f aca="true">IF(OR($B202="",$L202=""),"",$L202-TODAY())</f>
        <v/>
      </c>
      <c r="U202" s="135" t="str">
        <f aca="false">IF($B202="","",IF($I202="Complete",1,IF($J202="",0,$J202)))</f>
        <v/>
      </c>
      <c r="V202" s="131" t="n">
        <f aca="false">IF($B202="",0,IF($N202="",0,1))</f>
        <v>0</v>
      </c>
      <c r="W202" s="131" t="n">
        <f aca="false">IF($B202="",0,1)</f>
        <v>0</v>
      </c>
    </row>
    <row r="203" customFormat="false" ht="15" hidden="false" customHeight="false" outlineLevel="0" collapsed="false">
      <c r="A203" s="131" t="str">
        <f aca="false">IF('Leah Hanlon'!$B43="","",'Leah Hanlon'!$A43)</f>
        <v/>
      </c>
      <c r="B203" s="131" t="str">
        <f aca="false">IF('Leah Hanlon'!$B43="","",'Leah Hanlon'!$B43)</f>
        <v/>
      </c>
      <c r="C203" s="132" t="str">
        <f aca="false">IF('Leah Hanlon'!$B43="","",'Leah Hanlon'!$C43)</f>
        <v/>
      </c>
      <c r="D203" s="132" t="str">
        <f aca="false">IF('Leah Hanlon'!$B43="","",'Leah Hanlon'!$D43)</f>
        <v/>
      </c>
      <c r="E203" s="132" t="str">
        <f aca="false">IF('Leah Hanlon'!$B43="","",'Leah Hanlon'!$E43)</f>
        <v/>
      </c>
      <c r="F203" s="132" t="str">
        <f aca="false">IF('Leah Hanlon'!$B43="","",'Leah Hanlon'!$F43)</f>
        <v/>
      </c>
      <c r="G203" s="132" t="str">
        <f aca="false">IF('Leah Hanlon'!$B43="","",'Leah Hanlon'!$G43)</f>
        <v/>
      </c>
      <c r="H203" s="131" t="str">
        <f aca="false">IF('Leah Hanlon'!$B43="","",'Leah Hanlon'!$H43)</f>
        <v/>
      </c>
      <c r="I203" s="131" t="str">
        <f aca="false">IF('Leah Hanlon'!$B43="","",'Leah Hanlon'!$I43)</f>
        <v/>
      </c>
      <c r="J203" s="133" t="str">
        <f aca="false">IF('Leah Hanlon'!$B43="","",'Leah Hanlon'!$J43)</f>
        <v/>
      </c>
      <c r="K203" s="134" t="str">
        <f aca="false">IF('Leah Hanlon'!$B43="","",'Leah Hanlon'!$K43)</f>
        <v/>
      </c>
      <c r="L203" s="134" t="str">
        <f aca="false">IF('Leah Hanlon'!$B43="","",'Leah Hanlon'!$L43)</f>
        <v/>
      </c>
      <c r="M203" s="132" t="str">
        <f aca="false">IF('Leah Hanlon'!$B43="","",'Leah Hanlon'!$M43)</f>
        <v/>
      </c>
      <c r="N203" s="132" t="str">
        <f aca="false">IF('Leah Hanlon'!$B43="","",'Leah Hanlon'!$N43)</f>
        <v/>
      </c>
      <c r="O203" s="134" t="str">
        <f aca="false">IF('Leah Hanlon'!$B43="","",'Leah Hanlon'!$O43)</f>
        <v/>
      </c>
      <c r="P203" s="132" t="str">
        <f aca="false">IF('Leah Hanlon'!$B43="","",'Leah Hanlon'!$P43)</f>
        <v/>
      </c>
      <c r="Q203" s="131" t="str">
        <f aca="false">IF('Leah Hanlon'!$B43="","","Leah Hanlon")</f>
        <v/>
      </c>
      <c r="R203" s="131" t="n">
        <f aca="true">IF(OR($B203="",$I203="Complete",$L203=""),0,IF($L203&lt;TODAY(),1,0))</f>
        <v>0</v>
      </c>
      <c r="S203" s="131" t="n">
        <f aca="true">IF(OR($B203="",$I203="Complete",$L203=""),0,IF(AND($L203&gt;=TODAY(),$L203&lt;=TODAY()+7),1,0))</f>
        <v>0</v>
      </c>
      <c r="T203" s="131" t="str">
        <f aca="true">IF(OR($B203="",$L203=""),"",$L203-TODAY())</f>
        <v/>
      </c>
      <c r="U203" s="135" t="str">
        <f aca="false">IF($B203="","",IF($I203="Complete",1,IF($J203="",0,$J203)))</f>
        <v/>
      </c>
      <c r="V203" s="131" t="n">
        <f aca="false">IF($B203="",0,IF($N203="",0,1))</f>
        <v>0</v>
      </c>
      <c r="W203" s="131" t="n">
        <f aca="false">IF($B203="",0,1)</f>
        <v>0</v>
      </c>
    </row>
    <row r="204" customFormat="false" ht="15" hidden="false" customHeight="false" outlineLevel="0" collapsed="false">
      <c r="A204" s="131" t="str">
        <f aca="false">IF('Leah Hanlon'!$B44="","",'Leah Hanlon'!$A44)</f>
        <v/>
      </c>
      <c r="B204" s="131" t="str">
        <f aca="false">IF('Leah Hanlon'!$B44="","",'Leah Hanlon'!$B44)</f>
        <v/>
      </c>
      <c r="C204" s="132" t="str">
        <f aca="false">IF('Leah Hanlon'!$B44="","",'Leah Hanlon'!$C44)</f>
        <v/>
      </c>
      <c r="D204" s="132" t="str">
        <f aca="false">IF('Leah Hanlon'!$B44="","",'Leah Hanlon'!$D44)</f>
        <v/>
      </c>
      <c r="E204" s="132" t="str">
        <f aca="false">IF('Leah Hanlon'!$B44="","",'Leah Hanlon'!$E44)</f>
        <v/>
      </c>
      <c r="F204" s="132" t="str">
        <f aca="false">IF('Leah Hanlon'!$B44="","",'Leah Hanlon'!$F44)</f>
        <v/>
      </c>
      <c r="G204" s="132" t="str">
        <f aca="false">IF('Leah Hanlon'!$B44="","",'Leah Hanlon'!$G44)</f>
        <v/>
      </c>
      <c r="H204" s="131" t="str">
        <f aca="false">IF('Leah Hanlon'!$B44="","",'Leah Hanlon'!$H44)</f>
        <v/>
      </c>
      <c r="I204" s="131" t="str">
        <f aca="false">IF('Leah Hanlon'!$B44="","",'Leah Hanlon'!$I44)</f>
        <v/>
      </c>
      <c r="J204" s="133" t="str">
        <f aca="false">IF('Leah Hanlon'!$B44="","",'Leah Hanlon'!$J44)</f>
        <v/>
      </c>
      <c r="K204" s="134" t="str">
        <f aca="false">IF('Leah Hanlon'!$B44="","",'Leah Hanlon'!$K44)</f>
        <v/>
      </c>
      <c r="L204" s="134" t="str">
        <f aca="false">IF('Leah Hanlon'!$B44="","",'Leah Hanlon'!$L44)</f>
        <v/>
      </c>
      <c r="M204" s="132" t="str">
        <f aca="false">IF('Leah Hanlon'!$B44="","",'Leah Hanlon'!$M44)</f>
        <v/>
      </c>
      <c r="N204" s="132" t="str">
        <f aca="false">IF('Leah Hanlon'!$B44="","",'Leah Hanlon'!$N44)</f>
        <v/>
      </c>
      <c r="O204" s="134" t="str">
        <f aca="false">IF('Leah Hanlon'!$B44="","",'Leah Hanlon'!$O44)</f>
        <v/>
      </c>
      <c r="P204" s="132" t="str">
        <f aca="false">IF('Leah Hanlon'!$B44="","",'Leah Hanlon'!$P44)</f>
        <v/>
      </c>
      <c r="Q204" s="131" t="str">
        <f aca="false">IF('Leah Hanlon'!$B44="","","Leah Hanlon")</f>
        <v/>
      </c>
      <c r="R204" s="131" t="n">
        <f aca="true">IF(OR($B204="",$I204="Complete",$L204=""),0,IF($L204&lt;TODAY(),1,0))</f>
        <v>0</v>
      </c>
      <c r="S204" s="131" t="n">
        <f aca="true">IF(OR($B204="",$I204="Complete",$L204=""),0,IF(AND($L204&gt;=TODAY(),$L204&lt;=TODAY()+7),1,0))</f>
        <v>0</v>
      </c>
      <c r="T204" s="131" t="str">
        <f aca="true">IF(OR($B204="",$L204=""),"",$L204-TODAY())</f>
        <v/>
      </c>
      <c r="U204" s="135" t="str">
        <f aca="false">IF($B204="","",IF($I204="Complete",1,IF($J204="",0,$J204)))</f>
        <v/>
      </c>
      <c r="V204" s="131" t="n">
        <f aca="false">IF($B204="",0,IF($N204="",0,1))</f>
        <v>0</v>
      </c>
      <c r="W204" s="131" t="n">
        <f aca="false">IF($B204="",0,1)</f>
        <v>0</v>
      </c>
    </row>
    <row r="205" customFormat="false" ht="19.4" hidden="false" customHeight="false" outlineLevel="0" collapsed="false">
      <c r="A205" s="131" t="str">
        <f aca="false">IF('Jamie Lavigne'!$B5="","",'Jamie Lavigne'!$A5)</f>
        <v>JL-001</v>
      </c>
      <c r="B205" s="131" t="str">
        <f aca="false">IF('Jamie Lavigne'!$B5="","",'Jamie Lavigne'!$B5)</f>
        <v>P1-1</v>
      </c>
      <c r="C205" s="132" t="str">
        <f aca="false">IF('Jamie Lavigne'!$B5="","",'Jamie Lavigne'!$C5)</f>
        <v>1 – Unified Development System</v>
      </c>
      <c r="D205" s="132" t="str">
        <f aca="false">IF('Jamie Lavigne'!$B5="","",'Jamie Lavigne'!$D5)</f>
        <v>Implement standardized Mutual Evaluation Process (MEP) across all brands</v>
      </c>
      <c r="E205" s="132" t="str">
        <f aca="false">IF('Jamie Lavigne'!$B5="","",'Jamie Lavigne'!$E5)</f>
        <v>Jamie Lavigne</v>
      </c>
      <c r="F205" s="132" t="str">
        <f aca="false">IF('Jamie Lavigne'!$B5="","",'Jamie Lavigne'!$F5)</f>
        <v>Contributor</v>
      </c>
      <c r="G205" s="132" t="str">
        <f aca="false">IF('Jamie Lavigne'!$B5="","",'Jamie Lavigne'!$G5)</f>
        <v>Training Section 1-3 in Fran Dev 101</v>
      </c>
      <c r="H205" s="131" t="str">
        <f aca="false">IF('Jamie Lavigne'!$B5="","",'Jamie Lavigne'!$H5)</f>
        <v>Medium</v>
      </c>
      <c r="I205" s="131" t="str">
        <f aca="false">IF('Jamie Lavigne'!$B5="","",'Jamie Lavigne'!$I5)</f>
        <v>In Progress</v>
      </c>
      <c r="J205" s="133" t="n">
        <f aca="false">IF('Jamie Lavigne'!$B5="","",'Jamie Lavigne'!$J5)</f>
        <v>0.5</v>
      </c>
      <c r="K205" s="134" t="n">
        <f aca="false">IF('Jamie Lavigne'!$B5="","",'Jamie Lavigne'!$K5)</f>
        <v>46162</v>
      </c>
      <c r="L205" s="134" t="n">
        <f aca="false">IF('Jamie Lavigne'!$B5="","",'Jamie Lavigne'!$L5)</f>
        <v>46186</v>
      </c>
      <c r="M205" s="132" t="n">
        <f aca="false">IF('Jamie Lavigne'!$B5="","",'Jamie Lavigne'!$M5)</f>
        <v>0</v>
      </c>
      <c r="N205" s="132" t="n">
        <f aca="false">IF('Jamie Lavigne'!$B5="","",'Jamie Lavigne'!$N5)</f>
        <v>0</v>
      </c>
      <c r="O205" s="134" t="str">
        <f aca="false">IF('Jamie Lavigne'!$B5="","",'Jamie Lavigne'!$O5)</f>
        <v>Assigned 5/20</v>
      </c>
      <c r="P205" s="132" t="str">
        <f aca="false">IF('Jamie Lavigne'!$B5="","",'Jamie Lavigne'!$P5)</f>
        <v>Complete sections 2-3</v>
      </c>
      <c r="Q205" s="131" t="str">
        <f aca="false">IF('Jamie Lavigne'!$B5="","","Jamie Lavigne")</f>
        <v>Jamie Lavigne</v>
      </c>
      <c r="R205" s="131" t="n">
        <f aca="true">IF(OR($B205="",$I205="Complete",$L205=""),0,IF($L205&lt;TODAY(),1,0))</f>
        <v>0</v>
      </c>
      <c r="S205" s="131" t="n">
        <f aca="true">IF(OR($B205="",$I205="Complete",$L205=""),0,IF(AND($L205&gt;=TODAY(),$L205&lt;=TODAY()+7),1,0))</f>
        <v>0</v>
      </c>
      <c r="T205" s="131" t="n">
        <f aca="true">IF(OR($B205="",$L205=""),"",$L205-TODAY())</f>
        <v>16</v>
      </c>
      <c r="U205" s="135" t="n">
        <f aca="false">IF($B205="","",IF($I205="Complete",1,IF($J205="",0,$J205)))</f>
        <v>0.5</v>
      </c>
      <c r="V205" s="131" t="n">
        <f aca="false">IF($B205="",0,IF($N205="",0,1))</f>
        <v>0</v>
      </c>
      <c r="W205" s="131" t="n">
        <f aca="false">IF($B205="",0,1)</f>
        <v>1</v>
      </c>
    </row>
    <row r="206" customFormat="false" ht="28.35" hidden="false" customHeight="false" outlineLevel="0" collapsed="false">
      <c r="A206" s="131" t="str">
        <f aca="false">IF('Jamie Lavigne'!$B6="","",'Jamie Lavigne'!$A6)</f>
        <v>JL-002</v>
      </c>
      <c r="B206" s="131" t="str">
        <f aca="false">IF('Jamie Lavigne'!$B6="","",'Jamie Lavigne'!$B6)</f>
        <v>P6-1</v>
      </c>
      <c r="C206" s="132" t="str">
        <f aca="false">IF('Jamie Lavigne'!$B6="","",'Jamie Lavigne'!$C6)</f>
        <v>6 – Automation &amp; Content</v>
      </c>
      <c r="D206" s="132" t="str">
        <f aca="false">IF('Jamie Lavigne'!$B6="","",'Jamie Lavigne'!$D6)</f>
        <v>Develop standardized brand overview videos</v>
      </c>
      <c r="E206" s="132" t="str">
        <f aca="false">IF('Jamie Lavigne'!$B6="","",'Jamie Lavigne'!$E6)</f>
        <v>Jamie Lavigne</v>
      </c>
      <c r="F206" s="132" t="str">
        <f aca="false">IF('Jamie Lavigne'!$B6="","",'Jamie Lavigne'!$F6)</f>
        <v>Support</v>
      </c>
      <c r="G206" s="132" t="str">
        <f aca="false">IF('Jamie Lavigne'!$B6="","",'Jamie Lavigne'!$G6)</f>
        <v>Provide Signature 7 sample / sub footage</v>
      </c>
      <c r="H206" s="131" t="str">
        <f aca="false">IF('Jamie Lavigne'!$B6="","",'Jamie Lavigne'!$H6)</f>
        <v>Low</v>
      </c>
      <c r="I206" s="131" t="str">
        <f aca="false">IF('Jamie Lavigne'!$B6="","",'Jamie Lavigne'!$I6)</f>
        <v>In Progress</v>
      </c>
      <c r="J206" s="133" t="n">
        <f aca="false">IF('Jamie Lavigne'!$B6="","",'Jamie Lavigne'!$J6)</f>
        <v>0.5</v>
      </c>
      <c r="K206" s="134" t="n">
        <f aca="false">IF('Jamie Lavigne'!$B6="","",'Jamie Lavigne'!$K6)</f>
        <v>46152</v>
      </c>
      <c r="L206" s="134" t="n">
        <f aca="false">IF('Jamie Lavigne'!$B6="","",'Jamie Lavigne'!$L6)</f>
        <v>46193</v>
      </c>
      <c r="M206" s="132" t="n">
        <f aca="false">IF('Jamie Lavigne'!$B6="","",'Jamie Lavigne'!$M6)</f>
        <v>0</v>
      </c>
      <c r="N206" s="132" t="n">
        <f aca="false">IF('Jamie Lavigne'!$B6="","",'Jamie Lavigne'!$N6)</f>
        <v>0</v>
      </c>
      <c r="O206" s="134" t="str">
        <f aca="false">IF('Jamie Lavigne'!$B6="","",'Jamie Lavigne'!$O6)</f>
        <v>Sample available for The Seals &amp; Prism</v>
      </c>
      <c r="P206" s="132" t="str">
        <f aca="false">IF('Jamie Lavigne'!$B6="","",'Jamie Lavigne'!$P6)</f>
        <v>Share footage with Chadwick</v>
      </c>
      <c r="Q206" s="131" t="str">
        <f aca="false">IF('Jamie Lavigne'!$B6="","","Jamie Lavigne")</f>
        <v>Jamie Lavigne</v>
      </c>
      <c r="R206" s="131" t="n">
        <f aca="true">IF(OR($B206="",$I206="Complete",$L206=""),0,IF($L206&lt;TODAY(),1,0))</f>
        <v>0</v>
      </c>
      <c r="S206" s="131" t="n">
        <f aca="true">IF(OR($B206="",$I206="Complete",$L206=""),0,IF(AND($L206&gt;=TODAY(),$L206&lt;=TODAY()+7),1,0))</f>
        <v>0</v>
      </c>
      <c r="T206" s="131" t="n">
        <f aca="true">IF(OR($B206="",$L206=""),"",$L206-TODAY())</f>
        <v>23</v>
      </c>
      <c r="U206" s="135" t="n">
        <f aca="false">IF($B206="","",IF($I206="Complete",1,IF($J206="",0,$J206)))</f>
        <v>0.5</v>
      </c>
      <c r="V206" s="131" t="n">
        <f aca="false">IF($B206="",0,IF($N206="",0,1))</f>
        <v>0</v>
      </c>
      <c r="W206" s="131" t="n">
        <f aca="false">IF($B206="",0,1)</f>
        <v>1</v>
      </c>
    </row>
    <row r="207" customFormat="false" ht="15" hidden="false" customHeight="false" outlineLevel="0" collapsed="false">
      <c r="A207" s="131" t="str">
        <f aca="false">IF('Jamie Lavigne'!$B7="","",'Jamie Lavigne'!$A7)</f>
        <v/>
      </c>
      <c r="B207" s="131" t="str">
        <f aca="false">IF('Jamie Lavigne'!$B7="","",'Jamie Lavigne'!$B7)</f>
        <v/>
      </c>
      <c r="C207" s="132" t="str">
        <f aca="false">IF('Jamie Lavigne'!$B7="","",'Jamie Lavigne'!$C7)</f>
        <v/>
      </c>
      <c r="D207" s="132" t="str">
        <f aca="false">IF('Jamie Lavigne'!$B7="","",'Jamie Lavigne'!$D7)</f>
        <v/>
      </c>
      <c r="E207" s="132" t="str">
        <f aca="false">IF('Jamie Lavigne'!$B7="","",'Jamie Lavigne'!$E7)</f>
        <v/>
      </c>
      <c r="F207" s="132" t="str">
        <f aca="false">IF('Jamie Lavigne'!$B7="","",'Jamie Lavigne'!$F7)</f>
        <v/>
      </c>
      <c r="G207" s="132" t="str">
        <f aca="false">IF('Jamie Lavigne'!$B7="","",'Jamie Lavigne'!$G7)</f>
        <v/>
      </c>
      <c r="H207" s="131" t="str">
        <f aca="false">IF('Jamie Lavigne'!$B7="","",'Jamie Lavigne'!$H7)</f>
        <v/>
      </c>
      <c r="I207" s="131" t="str">
        <f aca="false">IF('Jamie Lavigne'!$B7="","",'Jamie Lavigne'!$I7)</f>
        <v/>
      </c>
      <c r="J207" s="133" t="str">
        <f aca="false">IF('Jamie Lavigne'!$B7="","",'Jamie Lavigne'!$J7)</f>
        <v/>
      </c>
      <c r="K207" s="134" t="str">
        <f aca="false">IF('Jamie Lavigne'!$B7="","",'Jamie Lavigne'!$K7)</f>
        <v/>
      </c>
      <c r="L207" s="134" t="str">
        <f aca="false">IF('Jamie Lavigne'!$B7="","",'Jamie Lavigne'!$L7)</f>
        <v/>
      </c>
      <c r="M207" s="132" t="str">
        <f aca="false">IF('Jamie Lavigne'!$B7="","",'Jamie Lavigne'!$M7)</f>
        <v/>
      </c>
      <c r="N207" s="132" t="str">
        <f aca="false">IF('Jamie Lavigne'!$B7="","",'Jamie Lavigne'!$N7)</f>
        <v/>
      </c>
      <c r="O207" s="134" t="str">
        <f aca="false">IF('Jamie Lavigne'!$B7="","",'Jamie Lavigne'!$O7)</f>
        <v/>
      </c>
      <c r="P207" s="132" t="str">
        <f aca="false">IF('Jamie Lavigne'!$B7="","",'Jamie Lavigne'!$P7)</f>
        <v/>
      </c>
      <c r="Q207" s="131" t="str">
        <f aca="false">IF('Jamie Lavigne'!$B7="","","Jamie Lavigne")</f>
        <v/>
      </c>
      <c r="R207" s="131" t="n">
        <f aca="true">IF(OR($B207="",$I207="Complete",$L207=""),0,IF($L207&lt;TODAY(),1,0))</f>
        <v>0</v>
      </c>
      <c r="S207" s="131" t="n">
        <f aca="true">IF(OR($B207="",$I207="Complete",$L207=""),0,IF(AND($L207&gt;=TODAY(),$L207&lt;=TODAY()+7),1,0))</f>
        <v>0</v>
      </c>
      <c r="T207" s="131" t="str">
        <f aca="true">IF(OR($B207="",$L207=""),"",$L207-TODAY())</f>
        <v/>
      </c>
      <c r="U207" s="135" t="str">
        <f aca="false">IF($B207="","",IF($I207="Complete",1,IF($J207="",0,$J207)))</f>
        <v/>
      </c>
      <c r="V207" s="131" t="n">
        <f aca="false">IF($B207="",0,IF($N207="",0,1))</f>
        <v>0</v>
      </c>
      <c r="W207" s="131" t="n">
        <f aca="false">IF($B207="",0,1)</f>
        <v>0</v>
      </c>
    </row>
    <row r="208" customFormat="false" ht="15" hidden="false" customHeight="false" outlineLevel="0" collapsed="false">
      <c r="A208" s="131" t="str">
        <f aca="false">IF('Jamie Lavigne'!$B8="","",'Jamie Lavigne'!$A8)</f>
        <v/>
      </c>
      <c r="B208" s="131" t="str">
        <f aca="false">IF('Jamie Lavigne'!$B8="","",'Jamie Lavigne'!$B8)</f>
        <v/>
      </c>
      <c r="C208" s="132" t="str">
        <f aca="false">IF('Jamie Lavigne'!$B8="","",'Jamie Lavigne'!$C8)</f>
        <v/>
      </c>
      <c r="D208" s="132" t="str">
        <f aca="false">IF('Jamie Lavigne'!$B8="","",'Jamie Lavigne'!$D8)</f>
        <v/>
      </c>
      <c r="E208" s="132" t="str">
        <f aca="false">IF('Jamie Lavigne'!$B8="","",'Jamie Lavigne'!$E8)</f>
        <v/>
      </c>
      <c r="F208" s="132" t="str">
        <f aca="false">IF('Jamie Lavigne'!$B8="","",'Jamie Lavigne'!$F8)</f>
        <v/>
      </c>
      <c r="G208" s="132" t="str">
        <f aca="false">IF('Jamie Lavigne'!$B8="","",'Jamie Lavigne'!$G8)</f>
        <v/>
      </c>
      <c r="H208" s="131" t="str">
        <f aca="false">IF('Jamie Lavigne'!$B8="","",'Jamie Lavigne'!$H8)</f>
        <v/>
      </c>
      <c r="I208" s="131" t="str">
        <f aca="false">IF('Jamie Lavigne'!$B8="","",'Jamie Lavigne'!$I8)</f>
        <v/>
      </c>
      <c r="J208" s="133" t="str">
        <f aca="false">IF('Jamie Lavigne'!$B8="","",'Jamie Lavigne'!$J8)</f>
        <v/>
      </c>
      <c r="K208" s="134" t="str">
        <f aca="false">IF('Jamie Lavigne'!$B8="","",'Jamie Lavigne'!$K8)</f>
        <v/>
      </c>
      <c r="L208" s="134" t="str">
        <f aca="false">IF('Jamie Lavigne'!$B8="","",'Jamie Lavigne'!$L8)</f>
        <v/>
      </c>
      <c r="M208" s="132" t="str">
        <f aca="false">IF('Jamie Lavigne'!$B8="","",'Jamie Lavigne'!$M8)</f>
        <v/>
      </c>
      <c r="N208" s="132" t="str">
        <f aca="false">IF('Jamie Lavigne'!$B8="","",'Jamie Lavigne'!$N8)</f>
        <v/>
      </c>
      <c r="O208" s="134" t="str">
        <f aca="false">IF('Jamie Lavigne'!$B8="","",'Jamie Lavigne'!$O8)</f>
        <v/>
      </c>
      <c r="P208" s="132" t="str">
        <f aca="false">IF('Jamie Lavigne'!$B8="","",'Jamie Lavigne'!$P8)</f>
        <v/>
      </c>
      <c r="Q208" s="131" t="str">
        <f aca="false">IF('Jamie Lavigne'!$B8="","","Jamie Lavigne")</f>
        <v/>
      </c>
      <c r="R208" s="131" t="n">
        <f aca="true">IF(OR($B208="",$I208="Complete",$L208=""),0,IF($L208&lt;TODAY(),1,0))</f>
        <v>0</v>
      </c>
      <c r="S208" s="131" t="n">
        <f aca="true">IF(OR($B208="",$I208="Complete",$L208=""),0,IF(AND($L208&gt;=TODAY(),$L208&lt;=TODAY()+7),1,0))</f>
        <v>0</v>
      </c>
      <c r="T208" s="131" t="str">
        <f aca="true">IF(OR($B208="",$L208=""),"",$L208-TODAY())</f>
        <v/>
      </c>
      <c r="U208" s="135" t="str">
        <f aca="false">IF($B208="","",IF($I208="Complete",1,IF($J208="",0,$J208)))</f>
        <v/>
      </c>
      <c r="V208" s="131" t="n">
        <f aca="false">IF($B208="",0,IF($N208="",0,1))</f>
        <v>0</v>
      </c>
      <c r="W208" s="131" t="n">
        <f aca="false">IF($B208="",0,1)</f>
        <v>0</v>
      </c>
    </row>
    <row r="209" customFormat="false" ht="15" hidden="false" customHeight="false" outlineLevel="0" collapsed="false">
      <c r="A209" s="131" t="str">
        <f aca="false">IF('Jamie Lavigne'!$B9="","",'Jamie Lavigne'!$A9)</f>
        <v/>
      </c>
      <c r="B209" s="131" t="str">
        <f aca="false">IF('Jamie Lavigne'!$B9="","",'Jamie Lavigne'!$B9)</f>
        <v/>
      </c>
      <c r="C209" s="132" t="str">
        <f aca="false">IF('Jamie Lavigne'!$B9="","",'Jamie Lavigne'!$C9)</f>
        <v/>
      </c>
      <c r="D209" s="132" t="str">
        <f aca="false">IF('Jamie Lavigne'!$B9="","",'Jamie Lavigne'!$D9)</f>
        <v/>
      </c>
      <c r="E209" s="132" t="str">
        <f aca="false">IF('Jamie Lavigne'!$B9="","",'Jamie Lavigne'!$E9)</f>
        <v/>
      </c>
      <c r="F209" s="132" t="str">
        <f aca="false">IF('Jamie Lavigne'!$B9="","",'Jamie Lavigne'!$F9)</f>
        <v/>
      </c>
      <c r="G209" s="132" t="str">
        <f aca="false">IF('Jamie Lavigne'!$B9="","",'Jamie Lavigne'!$G9)</f>
        <v/>
      </c>
      <c r="H209" s="131" t="str">
        <f aca="false">IF('Jamie Lavigne'!$B9="","",'Jamie Lavigne'!$H9)</f>
        <v/>
      </c>
      <c r="I209" s="131" t="str">
        <f aca="false">IF('Jamie Lavigne'!$B9="","",'Jamie Lavigne'!$I9)</f>
        <v/>
      </c>
      <c r="J209" s="133" t="str">
        <f aca="false">IF('Jamie Lavigne'!$B9="","",'Jamie Lavigne'!$J9)</f>
        <v/>
      </c>
      <c r="K209" s="134" t="str">
        <f aca="false">IF('Jamie Lavigne'!$B9="","",'Jamie Lavigne'!$K9)</f>
        <v/>
      </c>
      <c r="L209" s="134" t="str">
        <f aca="false">IF('Jamie Lavigne'!$B9="","",'Jamie Lavigne'!$L9)</f>
        <v/>
      </c>
      <c r="M209" s="132" t="str">
        <f aca="false">IF('Jamie Lavigne'!$B9="","",'Jamie Lavigne'!$M9)</f>
        <v/>
      </c>
      <c r="N209" s="132" t="str">
        <f aca="false">IF('Jamie Lavigne'!$B9="","",'Jamie Lavigne'!$N9)</f>
        <v/>
      </c>
      <c r="O209" s="134" t="str">
        <f aca="false">IF('Jamie Lavigne'!$B9="","",'Jamie Lavigne'!$O9)</f>
        <v/>
      </c>
      <c r="P209" s="132" t="str">
        <f aca="false">IF('Jamie Lavigne'!$B9="","",'Jamie Lavigne'!$P9)</f>
        <v/>
      </c>
      <c r="Q209" s="131" t="str">
        <f aca="false">IF('Jamie Lavigne'!$B9="","","Jamie Lavigne")</f>
        <v/>
      </c>
      <c r="R209" s="131" t="n">
        <f aca="true">IF(OR($B209="",$I209="Complete",$L209=""),0,IF($L209&lt;TODAY(),1,0))</f>
        <v>0</v>
      </c>
      <c r="S209" s="131" t="n">
        <f aca="true">IF(OR($B209="",$I209="Complete",$L209=""),0,IF(AND($L209&gt;=TODAY(),$L209&lt;=TODAY()+7),1,0))</f>
        <v>0</v>
      </c>
      <c r="T209" s="131" t="str">
        <f aca="true">IF(OR($B209="",$L209=""),"",$L209-TODAY())</f>
        <v/>
      </c>
      <c r="U209" s="135" t="str">
        <f aca="false">IF($B209="","",IF($I209="Complete",1,IF($J209="",0,$J209)))</f>
        <v/>
      </c>
      <c r="V209" s="131" t="n">
        <f aca="false">IF($B209="",0,IF($N209="",0,1))</f>
        <v>0</v>
      </c>
      <c r="W209" s="131" t="n">
        <f aca="false">IF($B209="",0,1)</f>
        <v>0</v>
      </c>
    </row>
    <row r="210" customFormat="false" ht="15" hidden="false" customHeight="false" outlineLevel="0" collapsed="false">
      <c r="A210" s="131" t="str">
        <f aca="false">IF('Jamie Lavigne'!$B10="","",'Jamie Lavigne'!$A10)</f>
        <v/>
      </c>
      <c r="B210" s="131" t="str">
        <f aca="false">IF('Jamie Lavigne'!$B10="","",'Jamie Lavigne'!$B10)</f>
        <v/>
      </c>
      <c r="C210" s="132" t="str">
        <f aca="false">IF('Jamie Lavigne'!$B10="","",'Jamie Lavigne'!$C10)</f>
        <v/>
      </c>
      <c r="D210" s="132" t="str">
        <f aca="false">IF('Jamie Lavigne'!$B10="","",'Jamie Lavigne'!$D10)</f>
        <v/>
      </c>
      <c r="E210" s="132" t="str">
        <f aca="false">IF('Jamie Lavigne'!$B10="","",'Jamie Lavigne'!$E10)</f>
        <v/>
      </c>
      <c r="F210" s="132" t="str">
        <f aca="false">IF('Jamie Lavigne'!$B10="","",'Jamie Lavigne'!$F10)</f>
        <v/>
      </c>
      <c r="G210" s="132" t="str">
        <f aca="false">IF('Jamie Lavigne'!$B10="","",'Jamie Lavigne'!$G10)</f>
        <v/>
      </c>
      <c r="H210" s="131" t="str">
        <f aca="false">IF('Jamie Lavigne'!$B10="","",'Jamie Lavigne'!$H10)</f>
        <v/>
      </c>
      <c r="I210" s="131" t="str">
        <f aca="false">IF('Jamie Lavigne'!$B10="","",'Jamie Lavigne'!$I10)</f>
        <v/>
      </c>
      <c r="J210" s="133" t="str">
        <f aca="false">IF('Jamie Lavigne'!$B10="","",'Jamie Lavigne'!$J10)</f>
        <v/>
      </c>
      <c r="K210" s="134" t="str">
        <f aca="false">IF('Jamie Lavigne'!$B10="","",'Jamie Lavigne'!$K10)</f>
        <v/>
      </c>
      <c r="L210" s="134" t="str">
        <f aca="false">IF('Jamie Lavigne'!$B10="","",'Jamie Lavigne'!$L10)</f>
        <v/>
      </c>
      <c r="M210" s="132" t="str">
        <f aca="false">IF('Jamie Lavigne'!$B10="","",'Jamie Lavigne'!$M10)</f>
        <v/>
      </c>
      <c r="N210" s="132" t="str">
        <f aca="false">IF('Jamie Lavigne'!$B10="","",'Jamie Lavigne'!$N10)</f>
        <v/>
      </c>
      <c r="O210" s="134" t="str">
        <f aca="false">IF('Jamie Lavigne'!$B10="","",'Jamie Lavigne'!$O10)</f>
        <v/>
      </c>
      <c r="P210" s="132" t="str">
        <f aca="false">IF('Jamie Lavigne'!$B10="","",'Jamie Lavigne'!$P10)</f>
        <v/>
      </c>
      <c r="Q210" s="131" t="str">
        <f aca="false">IF('Jamie Lavigne'!$B10="","","Jamie Lavigne")</f>
        <v/>
      </c>
      <c r="R210" s="131" t="n">
        <f aca="true">IF(OR($B210="",$I210="Complete",$L210=""),0,IF($L210&lt;TODAY(),1,0))</f>
        <v>0</v>
      </c>
      <c r="S210" s="131" t="n">
        <f aca="true">IF(OR($B210="",$I210="Complete",$L210=""),0,IF(AND($L210&gt;=TODAY(),$L210&lt;=TODAY()+7),1,0))</f>
        <v>0</v>
      </c>
      <c r="T210" s="131" t="str">
        <f aca="true">IF(OR($B210="",$L210=""),"",$L210-TODAY())</f>
        <v/>
      </c>
      <c r="U210" s="135" t="str">
        <f aca="false">IF($B210="","",IF($I210="Complete",1,IF($J210="",0,$J210)))</f>
        <v/>
      </c>
      <c r="V210" s="131" t="n">
        <f aca="false">IF($B210="",0,IF($N210="",0,1))</f>
        <v>0</v>
      </c>
      <c r="W210" s="131" t="n">
        <f aca="false">IF($B210="",0,1)</f>
        <v>0</v>
      </c>
    </row>
    <row r="211" customFormat="false" ht="15" hidden="false" customHeight="false" outlineLevel="0" collapsed="false">
      <c r="A211" s="131" t="str">
        <f aca="false">IF('Jamie Lavigne'!$B11="","",'Jamie Lavigne'!$A11)</f>
        <v/>
      </c>
      <c r="B211" s="131" t="str">
        <f aca="false">IF('Jamie Lavigne'!$B11="","",'Jamie Lavigne'!$B11)</f>
        <v/>
      </c>
      <c r="C211" s="132" t="str">
        <f aca="false">IF('Jamie Lavigne'!$B11="","",'Jamie Lavigne'!$C11)</f>
        <v/>
      </c>
      <c r="D211" s="132" t="str">
        <f aca="false">IF('Jamie Lavigne'!$B11="","",'Jamie Lavigne'!$D11)</f>
        <v/>
      </c>
      <c r="E211" s="132" t="str">
        <f aca="false">IF('Jamie Lavigne'!$B11="","",'Jamie Lavigne'!$E11)</f>
        <v/>
      </c>
      <c r="F211" s="132" t="str">
        <f aca="false">IF('Jamie Lavigne'!$B11="","",'Jamie Lavigne'!$F11)</f>
        <v/>
      </c>
      <c r="G211" s="132" t="str">
        <f aca="false">IF('Jamie Lavigne'!$B11="","",'Jamie Lavigne'!$G11)</f>
        <v/>
      </c>
      <c r="H211" s="131" t="str">
        <f aca="false">IF('Jamie Lavigne'!$B11="","",'Jamie Lavigne'!$H11)</f>
        <v/>
      </c>
      <c r="I211" s="131" t="str">
        <f aca="false">IF('Jamie Lavigne'!$B11="","",'Jamie Lavigne'!$I11)</f>
        <v/>
      </c>
      <c r="J211" s="133" t="str">
        <f aca="false">IF('Jamie Lavigne'!$B11="","",'Jamie Lavigne'!$J11)</f>
        <v/>
      </c>
      <c r="K211" s="134" t="str">
        <f aca="false">IF('Jamie Lavigne'!$B11="","",'Jamie Lavigne'!$K11)</f>
        <v/>
      </c>
      <c r="L211" s="134" t="str">
        <f aca="false">IF('Jamie Lavigne'!$B11="","",'Jamie Lavigne'!$L11)</f>
        <v/>
      </c>
      <c r="M211" s="132" t="str">
        <f aca="false">IF('Jamie Lavigne'!$B11="","",'Jamie Lavigne'!$M11)</f>
        <v/>
      </c>
      <c r="N211" s="132" t="str">
        <f aca="false">IF('Jamie Lavigne'!$B11="","",'Jamie Lavigne'!$N11)</f>
        <v/>
      </c>
      <c r="O211" s="134" t="str">
        <f aca="false">IF('Jamie Lavigne'!$B11="","",'Jamie Lavigne'!$O11)</f>
        <v/>
      </c>
      <c r="P211" s="132" t="str">
        <f aca="false">IF('Jamie Lavigne'!$B11="","",'Jamie Lavigne'!$P11)</f>
        <v/>
      </c>
      <c r="Q211" s="131" t="str">
        <f aca="false">IF('Jamie Lavigne'!$B11="","","Jamie Lavigne")</f>
        <v/>
      </c>
      <c r="R211" s="131" t="n">
        <f aca="true">IF(OR($B211="",$I211="Complete",$L211=""),0,IF($L211&lt;TODAY(),1,0))</f>
        <v>0</v>
      </c>
      <c r="S211" s="131" t="n">
        <f aca="true">IF(OR($B211="",$I211="Complete",$L211=""),0,IF(AND($L211&gt;=TODAY(),$L211&lt;=TODAY()+7),1,0))</f>
        <v>0</v>
      </c>
      <c r="T211" s="131" t="str">
        <f aca="true">IF(OR($B211="",$L211=""),"",$L211-TODAY())</f>
        <v/>
      </c>
      <c r="U211" s="135" t="str">
        <f aca="false">IF($B211="","",IF($I211="Complete",1,IF($J211="",0,$J211)))</f>
        <v/>
      </c>
      <c r="V211" s="131" t="n">
        <f aca="false">IF($B211="",0,IF($N211="",0,1))</f>
        <v>0</v>
      </c>
      <c r="W211" s="131" t="n">
        <f aca="false">IF($B211="",0,1)</f>
        <v>0</v>
      </c>
    </row>
    <row r="212" customFormat="false" ht="15" hidden="false" customHeight="false" outlineLevel="0" collapsed="false">
      <c r="A212" s="131" t="str">
        <f aca="false">IF('Jamie Lavigne'!$B12="","",'Jamie Lavigne'!$A12)</f>
        <v/>
      </c>
      <c r="B212" s="131" t="str">
        <f aca="false">IF('Jamie Lavigne'!$B12="","",'Jamie Lavigne'!$B12)</f>
        <v/>
      </c>
      <c r="C212" s="132" t="str">
        <f aca="false">IF('Jamie Lavigne'!$B12="","",'Jamie Lavigne'!$C12)</f>
        <v/>
      </c>
      <c r="D212" s="132" t="str">
        <f aca="false">IF('Jamie Lavigne'!$B12="","",'Jamie Lavigne'!$D12)</f>
        <v/>
      </c>
      <c r="E212" s="132" t="str">
        <f aca="false">IF('Jamie Lavigne'!$B12="","",'Jamie Lavigne'!$E12)</f>
        <v/>
      </c>
      <c r="F212" s="132" t="str">
        <f aca="false">IF('Jamie Lavigne'!$B12="","",'Jamie Lavigne'!$F12)</f>
        <v/>
      </c>
      <c r="G212" s="132" t="str">
        <f aca="false">IF('Jamie Lavigne'!$B12="","",'Jamie Lavigne'!$G12)</f>
        <v/>
      </c>
      <c r="H212" s="131" t="str">
        <f aca="false">IF('Jamie Lavigne'!$B12="","",'Jamie Lavigne'!$H12)</f>
        <v/>
      </c>
      <c r="I212" s="131" t="str">
        <f aca="false">IF('Jamie Lavigne'!$B12="","",'Jamie Lavigne'!$I12)</f>
        <v/>
      </c>
      <c r="J212" s="133" t="str">
        <f aca="false">IF('Jamie Lavigne'!$B12="","",'Jamie Lavigne'!$J12)</f>
        <v/>
      </c>
      <c r="K212" s="134" t="str">
        <f aca="false">IF('Jamie Lavigne'!$B12="","",'Jamie Lavigne'!$K12)</f>
        <v/>
      </c>
      <c r="L212" s="134" t="str">
        <f aca="false">IF('Jamie Lavigne'!$B12="","",'Jamie Lavigne'!$L12)</f>
        <v/>
      </c>
      <c r="M212" s="132" t="str">
        <f aca="false">IF('Jamie Lavigne'!$B12="","",'Jamie Lavigne'!$M12)</f>
        <v/>
      </c>
      <c r="N212" s="132" t="str">
        <f aca="false">IF('Jamie Lavigne'!$B12="","",'Jamie Lavigne'!$N12)</f>
        <v/>
      </c>
      <c r="O212" s="134" t="str">
        <f aca="false">IF('Jamie Lavigne'!$B12="","",'Jamie Lavigne'!$O12)</f>
        <v/>
      </c>
      <c r="P212" s="132" t="str">
        <f aca="false">IF('Jamie Lavigne'!$B12="","",'Jamie Lavigne'!$P12)</f>
        <v/>
      </c>
      <c r="Q212" s="131" t="str">
        <f aca="false">IF('Jamie Lavigne'!$B12="","","Jamie Lavigne")</f>
        <v/>
      </c>
      <c r="R212" s="131" t="n">
        <f aca="true">IF(OR($B212="",$I212="Complete",$L212=""),0,IF($L212&lt;TODAY(),1,0))</f>
        <v>0</v>
      </c>
      <c r="S212" s="131" t="n">
        <f aca="true">IF(OR($B212="",$I212="Complete",$L212=""),0,IF(AND($L212&gt;=TODAY(),$L212&lt;=TODAY()+7),1,0))</f>
        <v>0</v>
      </c>
      <c r="T212" s="131" t="str">
        <f aca="true">IF(OR($B212="",$L212=""),"",$L212-TODAY())</f>
        <v/>
      </c>
      <c r="U212" s="135" t="str">
        <f aca="false">IF($B212="","",IF($I212="Complete",1,IF($J212="",0,$J212)))</f>
        <v/>
      </c>
      <c r="V212" s="131" t="n">
        <f aca="false">IF($B212="",0,IF($N212="",0,1))</f>
        <v>0</v>
      </c>
      <c r="W212" s="131" t="n">
        <f aca="false">IF($B212="",0,1)</f>
        <v>0</v>
      </c>
    </row>
    <row r="213" customFormat="false" ht="15" hidden="false" customHeight="false" outlineLevel="0" collapsed="false">
      <c r="A213" s="131" t="str">
        <f aca="false">IF('Jamie Lavigne'!$B13="","",'Jamie Lavigne'!$A13)</f>
        <v/>
      </c>
      <c r="B213" s="131" t="str">
        <f aca="false">IF('Jamie Lavigne'!$B13="","",'Jamie Lavigne'!$B13)</f>
        <v/>
      </c>
      <c r="C213" s="132" t="str">
        <f aca="false">IF('Jamie Lavigne'!$B13="","",'Jamie Lavigne'!$C13)</f>
        <v/>
      </c>
      <c r="D213" s="132" t="str">
        <f aca="false">IF('Jamie Lavigne'!$B13="","",'Jamie Lavigne'!$D13)</f>
        <v/>
      </c>
      <c r="E213" s="132" t="str">
        <f aca="false">IF('Jamie Lavigne'!$B13="","",'Jamie Lavigne'!$E13)</f>
        <v/>
      </c>
      <c r="F213" s="132" t="str">
        <f aca="false">IF('Jamie Lavigne'!$B13="","",'Jamie Lavigne'!$F13)</f>
        <v/>
      </c>
      <c r="G213" s="132" t="str">
        <f aca="false">IF('Jamie Lavigne'!$B13="","",'Jamie Lavigne'!$G13)</f>
        <v/>
      </c>
      <c r="H213" s="131" t="str">
        <f aca="false">IF('Jamie Lavigne'!$B13="","",'Jamie Lavigne'!$H13)</f>
        <v/>
      </c>
      <c r="I213" s="131" t="str">
        <f aca="false">IF('Jamie Lavigne'!$B13="","",'Jamie Lavigne'!$I13)</f>
        <v/>
      </c>
      <c r="J213" s="133" t="str">
        <f aca="false">IF('Jamie Lavigne'!$B13="","",'Jamie Lavigne'!$J13)</f>
        <v/>
      </c>
      <c r="K213" s="134" t="str">
        <f aca="false">IF('Jamie Lavigne'!$B13="","",'Jamie Lavigne'!$K13)</f>
        <v/>
      </c>
      <c r="L213" s="134" t="str">
        <f aca="false">IF('Jamie Lavigne'!$B13="","",'Jamie Lavigne'!$L13)</f>
        <v/>
      </c>
      <c r="M213" s="132" t="str">
        <f aca="false">IF('Jamie Lavigne'!$B13="","",'Jamie Lavigne'!$M13)</f>
        <v/>
      </c>
      <c r="N213" s="132" t="str">
        <f aca="false">IF('Jamie Lavigne'!$B13="","",'Jamie Lavigne'!$N13)</f>
        <v/>
      </c>
      <c r="O213" s="134" t="str">
        <f aca="false">IF('Jamie Lavigne'!$B13="","",'Jamie Lavigne'!$O13)</f>
        <v/>
      </c>
      <c r="P213" s="132" t="str">
        <f aca="false">IF('Jamie Lavigne'!$B13="","",'Jamie Lavigne'!$P13)</f>
        <v/>
      </c>
      <c r="Q213" s="131" t="str">
        <f aca="false">IF('Jamie Lavigne'!$B13="","","Jamie Lavigne")</f>
        <v/>
      </c>
      <c r="R213" s="131" t="n">
        <f aca="true">IF(OR($B213="",$I213="Complete",$L213=""),0,IF($L213&lt;TODAY(),1,0))</f>
        <v>0</v>
      </c>
      <c r="S213" s="131" t="n">
        <f aca="true">IF(OR($B213="",$I213="Complete",$L213=""),0,IF(AND($L213&gt;=TODAY(),$L213&lt;=TODAY()+7),1,0))</f>
        <v>0</v>
      </c>
      <c r="T213" s="131" t="str">
        <f aca="true">IF(OR($B213="",$L213=""),"",$L213-TODAY())</f>
        <v/>
      </c>
      <c r="U213" s="135" t="str">
        <f aca="false">IF($B213="","",IF($I213="Complete",1,IF($J213="",0,$J213)))</f>
        <v/>
      </c>
      <c r="V213" s="131" t="n">
        <f aca="false">IF($B213="",0,IF($N213="",0,1))</f>
        <v>0</v>
      </c>
      <c r="W213" s="131" t="n">
        <f aca="false">IF($B213="",0,1)</f>
        <v>0</v>
      </c>
    </row>
    <row r="214" customFormat="false" ht="15" hidden="false" customHeight="false" outlineLevel="0" collapsed="false">
      <c r="A214" s="131" t="str">
        <f aca="false">IF('Jamie Lavigne'!$B14="","",'Jamie Lavigne'!$A14)</f>
        <v/>
      </c>
      <c r="B214" s="131" t="str">
        <f aca="false">IF('Jamie Lavigne'!$B14="","",'Jamie Lavigne'!$B14)</f>
        <v/>
      </c>
      <c r="C214" s="132" t="str">
        <f aca="false">IF('Jamie Lavigne'!$B14="","",'Jamie Lavigne'!$C14)</f>
        <v/>
      </c>
      <c r="D214" s="132" t="str">
        <f aca="false">IF('Jamie Lavigne'!$B14="","",'Jamie Lavigne'!$D14)</f>
        <v/>
      </c>
      <c r="E214" s="132" t="str">
        <f aca="false">IF('Jamie Lavigne'!$B14="","",'Jamie Lavigne'!$E14)</f>
        <v/>
      </c>
      <c r="F214" s="132" t="str">
        <f aca="false">IF('Jamie Lavigne'!$B14="","",'Jamie Lavigne'!$F14)</f>
        <v/>
      </c>
      <c r="G214" s="132" t="str">
        <f aca="false">IF('Jamie Lavigne'!$B14="","",'Jamie Lavigne'!$G14)</f>
        <v/>
      </c>
      <c r="H214" s="131" t="str">
        <f aca="false">IF('Jamie Lavigne'!$B14="","",'Jamie Lavigne'!$H14)</f>
        <v/>
      </c>
      <c r="I214" s="131" t="str">
        <f aca="false">IF('Jamie Lavigne'!$B14="","",'Jamie Lavigne'!$I14)</f>
        <v/>
      </c>
      <c r="J214" s="133" t="str">
        <f aca="false">IF('Jamie Lavigne'!$B14="","",'Jamie Lavigne'!$J14)</f>
        <v/>
      </c>
      <c r="K214" s="134" t="str">
        <f aca="false">IF('Jamie Lavigne'!$B14="","",'Jamie Lavigne'!$K14)</f>
        <v/>
      </c>
      <c r="L214" s="134" t="str">
        <f aca="false">IF('Jamie Lavigne'!$B14="","",'Jamie Lavigne'!$L14)</f>
        <v/>
      </c>
      <c r="M214" s="132" t="str">
        <f aca="false">IF('Jamie Lavigne'!$B14="","",'Jamie Lavigne'!$M14)</f>
        <v/>
      </c>
      <c r="N214" s="132" t="str">
        <f aca="false">IF('Jamie Lavigne'!$B14="","",'Jamie Lavigne'!$N14)</f>
        <v/>
      </c>
      <c r="O214" s="134" t="str">
        <f aca="false">IF('Jamie Lavigne'!$B14="","",'Jamie Lavigne'!$O14)</f>
        <v/>
      </c>
      <c r="P214" s="132" t="str">
        <f aca="false">IF('Jamie Lavigne'!$B14="","",'Jamie Lavigne'!$P14)</f>
        <v/>
      </c>
      <c r="Q214" s="131" t="str">
        <f aca="false">IF('Jamie Lavigne'!$B14="","","Jamie Lavigne")</f>
        <v/>
      </c>
      <c r="R214" s="131" t="n">
        <f aca="true">IF(OR($B214="",$I214="Complete",$L214=""),0,IF($L214&lt;TODAY(),1,0))</f>
        <v>0</v>
      </c>
      <c r="S214" s="131" t="n">
        <f aca="true">IF(OR($B214="",$I214="Complete",$L214=""),0,IF(AND($L214&gt;=TODAY(),$L214&lt;=TODAY()+7),1,0))</f>
        <v>0</v>
      </c>
      <c r="T214" s="131" t="str">
        <f aca="true">IF(OR($B214="",$L214=""),"",$L214-TODAY())</f>
        <v/>
      </c>
      <c r="U214" s="135" t="str">
        <f aca="false">IF($B214="","",IF($I214="Complete",1,IF($J214="",0,$J214)))</f>
        <v/>
      </c>
      <c r="V214" s="131" t="n">
        <f aca="false">IF($B214="",0,IF($N214="",0,1))</f>
        <v>0</v>
      </c>
      <c r="W214" s="131" t="n">
        <f aca="false">IF($B214="",0,1)</f>
        <v>0</v>
      </c>
    </row>
    <row r="215" customFormat="false" ht="15" hidden="false" customHeight="false" outlineLevel="0" collapsed="false">
      <c r="A215" s="131" t="str">
        <f aca="false">IF('Jamie Lavigne'!$B15="","",'Jamie Lavigne'!$A15)</f>
        <v/>
      </c>
      <c r="B215" s="131" t="str">
        <f aca="false">IF('Jamie Lavigne'!$B15="","",'Jamie Lavigne'!$B15)</f>
        <v/>
      </c>
      <c r="C215" s="132" t="str">
        <f aca="false">IF('Jamie Lavigne'!$B15="","",'Jamie Lavigne'!$C15)</f>
        <v/>
      </c>
      <c r="D215" s="132" t="str">
        <f aca="false">IF('Jamie Lavigne'!$B15="","",'Jamie Lavigne'!$D15)</f>
        <v/>
      </c>
      <c r="E215" s="132" t="str">
        <f aca="false">IF('Jamie Lavigne'!$B15="","",'Jamie Lavigne'!$E15)</f>
        <v/>
      </c>
      <c r="F215" s="132" t="str">
        <f aca="false">IF('Jamie Lavigne'!$B15="","",'Jamie Lavigne'!$F15)</f>
        <v/>
      </c>
      <c r="G215" s="132" t="str">
        <f aca="false">IF('Jamie Lavigne'!$B15="","",'Jamie Lavigne'!$G15)</f>
        <v/>
      </c>
      <c r="H215" s="131" t="str">
        <f aca="false">IF('Jamie Lavigne'!$B15="","",'Jamie Lavigne'!$H15)</f>
        <v/>
      </c>
      <c r="I215" s="131" t="str">
        <f aca="false">IF('Jamie Lavigne'!$B15="","",'Jamie Lavigne'!$I15)</f>
        <v/>
      </c>
      <c r="J215" s="133" t="str">
        <f aca="false">IF('Jamie Lavigne'!$B15="","",'Jamie Lavigne'!$J15)</f>
        <v/>
      </c>
      <c r="K215" s="134" t="str">
        <f aca="false">IF('Jamie Lavigne'!$B15="","",'Jamie Lavigne'!$K15)</f>
        <v/>
      </c>
      <c r="L215" s="134" t="str">
        <f aca="false">IF('Jamie Lavigne'!$B15="","",'Jamie Lavigne'!$L15)</f>
        <v/>
      </c>
      <c r="M215" s="132" t="str">
        <f aca="false">IF('Jamie Lavigne'!$B15="","",'Jamie Lavigne'!$M15)</f>
        <v/>
      </c>
      <c r="N215" s="132" t="str">
        <f aca="false">IF('Jamie Lavigne'!$B15="","",'Jamie Lavigne'!$N15)</f>
        <v/>
      </c>
      <c r="O215" s="134" t="str">
        <f aca="false">IF('Jamie Lavigne'!$B15="","",'Jamie Lavigne'!$O15)</f>
        <v/>
      </c>
      <c r="P215" s="132" t="str">
        <f aca="false">IF('Jamie Lavigne'!$B15="","",'Jamie Lavigne'!$P15)</f>
        <v/>
      </c>
      <c r="Q215" s="131" t="str">
        <f aca="false">IF('Jamie Lavigne'!$B15="","","Jamie Lavigne")</f>
        <v/>
      </c>
      <c r="R215" s="131" t="n">
        <f aca="true">IF(OR($B215="",$I215="Complete",$L215=""),0,IF($L215&lt;TODAY(),1,0))</f>
        <v>0</v>
      </c>
      <c r="S215" s="131" t="n">
        <f aca="true">IF(OR($B215="",$I215="Complete",$L215=""),0,IF(AND($L215&gt;=TODAY(),$L215&lt;=TODAY()+7),1,0))</f>
        <v>0</v>
      </c>
      <c r="T215" s="131" t="str">
        <f aca="true">IF(OR($B215="",$L215=""),"",$L215-TODAY())</f>
        <v/>
      </c>
      <c r="U215" s="135" t="str">
        <f aca="false">IF($B215="","",IF($I215="Complete",1,IF($J215="",0,$J215)))</f>
        <v/>
      </c>
      <c r="V215" s="131" t="n">
        <f aca="false">IF($B215="",0,IF($N215="",0,1))</f>
        <v>0</v>
      </c>
      <c r="W215" s="131" t="n">
        <f aca="false">IF($B215="",0,1)</f>
        <v>0</v>
      </c>
    </row>
    <row r="216" customFormat="false" ht="15" hidden="false" customHeight="false" outlineLevel="0" collapsed="false">
      <c r="A216" s="131" t="str">
        <f aca="false">IF('Jamie Lavigne'!$B16="","",'Jamie Lavigne'!$A16)</f>
        <v/>
      </c>
      <c r="B216" s="131" t="str">
        <f aca="false">IF('Jamie Lavigne'!$B16="","",'Jamie Lavigne'!$B16)</f>
        <v/>
      </c>
      <c r="C216" s="132" t="str">
        <f aca="false">IF('Jamie Lavigne'!$B16="","",'Jamie Lavigne'!$C16)</f>
        <v/>
      </c>
      <c r="D216" s="132" t="str">
        <f aca="false">IF('Jamie Lavigne'!$B16="","",'Jamie Lavigne'!$D16)</f>
        <v/>
      </c>
      <c r="E216" s="132" t="str">
        <f aca="false">IF('Jamie Lavigne'!$B16="","",'Jamie Lavigne'!$E16)</f>
        <v/>
      </c>
      <c r="F216" s="132" t="str">
        <f aca="false">IF('Jamie Lavigne'!$B16="","",'Jamie Lavigne'!$F16)</f>
        <v/>
      </c>
      <c r="G216" s="132" t="str">
        <f aca="false">IF('Jamie Lavigne'!$B16="","",'Jamie Lavigne'!$G16)</f>
        <v/>
      </c>
      <c r="H216" s="131" t="str">
        <f aca="false">IF('Jamie Lavigne'!$B16="","",'Jamie Lavigne'!$H16)</f>
        <v/>
      </c>
      <c r="I216" s="131" t="str">
        <f aca="false">IF('Jamie Lavigne'!$B16="","",'Jamie Lavigne'!$I16)</f>
        <v/>
      </c>
      <c r="J216" s="133" t="str">
        <f aca="false">IF('Jamie Lavigne'!$B16="","",'Jamie Lavigne'!$J16)</f>
        <v/>
      </c>
      <c r="K216" s="134" t="str">
        <f aca="false">IF('Jamie Lavigne'!$B16="","",'Jamie Lavigne'!$K16)</f>
        <v/>
      </c>
      <c r="L216" s="134" t="str">
        <f aca="false">IF('Jamie Lavigne'!$B16="","",'Jamie Lavigne'!$L16)</f>
        <v/>
      </c>
      <c r="M216" s="132" t="str">
        <f aca="false">IF('Jamie Lavigne'!$B16="","",'Jamie Lavigne'!$M16)</f>
        <v/>
      </c>
      <c r="N216" s="132" t="str">
        <f aca="false">IF('Jamie Lavigne'!$B16="","",'Jamie Lavigne'!$N16)</f>
        <v/>
      </c>
      <c r="O216" s="134" t="str">
        <f aca="false">IF('Jamie Lavigne'!$B16="","",'Jamie Lavigne'!$O16)</f>
        <v/>
      </c>
      <c r="P216" s="132" t="str">
        <f aca="false">IF('Jamie Lavigne'!$B16="","",'Jamie Lavigne'!$P16)</f>
        <v/>
      </c>
      <c r="Q216" s="131" t="str">
        <f aca="false">IF('Jamie Lavigne'!$B16="","","Jamie Lavigne")</f>
        <v/>
      </c>
      <c r="R216" s="131" t="n">
        <f aca="true">IF(OR($B216="",$I216="Complete",$L216=""),0,IF($L216&lt;TODAY(),1,0))</f>
        <v>0</v>
      </c>
      <c r="S216" s="131" t="n">
        <f aca="true">IF(OR($B216="",$I216="Complete",$L216=""),0,IF(AND($L216&gt;=TODAY(),$L216&lt;=TODAY()+7),1,0))</f>
        <v>0</v>
      </c>
      <c r="T216" s="131" t="str">
        <f aca="true">IF(OR($B216="",$L216=""),"",$L216-TODAY())</f>
        <v/>
      </c>
      <c r="U216" s="135" t="str">
        <f aca="false">IF($B216="","",IF($I216="Complete",1,IF($J216="",0,$J216)))</f>
        <v/>
      </c>
      <c r="V216" s="131" t="n">
        <f aca="false">IF($B216="",0,IF($N216="",0,1))</f>
        <v>0</v>
      </c>
      <c r="W216" s="131" t="n">
        <f aca="false">IF($B216="",0,1)</f>
        <v>0</v>
      </c>
    </row>
    <row r="217" customFormat="false" ht="15" hidden="false" customHeight="false" outlineLevel="0" collapsed="false">
      <c r="A217" s="131" t="str">
        <f aca="false">IF('Jamie Lavigne'!$B17="","",'Jamie Lavigne'!$A17)</f>
        <v/>
      </c>
      <c r="B217" s="131" t="str">
        <f aca="false">IF('Jamie Lavigne'!$B17="","",'Jamie Lavigne'!$B17)</f>
        <v/>
      </c>
      <c r="C217" s="132" t="str">
        <f aca="false">IF('Jamie Lavigne'!$B17="","",'Jamie Lavigne'!$C17)</f>
        <v/>
      </c>
      <c r="D217" s="132" t="str">
        <f aca="false">IF('Jamie Lavigne'!$B17="","",'Jamie Lavigne'!$D17)</f>
        <v/>
      </c>
      <c r="E217" s="132" t="str">
        <f aca="false">IF('Jamie Lavigne'!$B17="","",'Jamie Lavigne'!$E17)</f>
        <v/>
      </c>
      <c r="F217" s="132" t="str">
        <f aca="false">IF('Jamie Lavigne'!$B17="","",'Jamie Lavigne'!$F17)</f>
        <v/>
      </c>
      <c r="G217" s="132" t="str">
        <f aca="false">IF('Jamie Lavigne'!$B17="","",'Jamie Lavigne'!$G17)</f>
        <v/>
      </c>
      <c r="H217" s="131" t="str">
        <f aca="false">IF('Jamie Lavigne'!$B17="","",'Jamie Lavigne'!$H17)</f>
        <v/>
      </c>
      <c r="I217" s="131" t="str">
        <f aca="false">IF('Jamie Lavigne'!$B17="","",'Jamie Lavigne'!$I17)</f>
        <v/>
      </c>
      <c r="J217" s="133" t="str">
        <f aca="false">IF('Jamie Lavigne'!$B17="","",'Jamie Lavigne'!$J17)</f>
        <v/>
      </c>
      <c r="K217" s="134" t="str">
        <f aca="false">IF('Jamie Lavigne'!$B17="","",'Jamie Lavigne'!$K17)</f>
        <v/>
      </c>
      <c r="L217" s="134" t="str">
        <f aca="false">IF('Jamie Lavigne'!$B17="","",'Jamie Lavigne'!$L17)</f>
        <v/>
      </c>
      <c r="M217" s="132" t="str">
        <f aca="false">IF('Jamie Lavigne'!$B17="","",'Jamie Lavigne'!$M17)</f>
        <v/>
      </c>
      <c r="N217" s="132" t="str">
        <f aca="false">IF('Jamie Lavigne'!$B17="","",'Jamie Lavigne'!$N17)</f>
        <v/>
      </c>
      <c r="O217" s="134" t="str">
        <f aca="false">IF('Jamie Lavigne'!$B17="","",'Jamie Lavigne'!$O17)</f>
        <v/>
      </c>
      <c r="P217" s="132" t="str">
        <f aca="false">IF('Jamie Lavigne'!$B17="","",'Jamie Lavigne'!$P17)</f>
        <v/>
      </c>
      <c r="Q217" s="131" t="str">
        <f aca="false">IF('Jamie Lavigne'!$B17="","","Jamie Lavigne")</f>
        <v/>
      </c>
      <c r="R217" s="131" t="n">
        <f aca="true">IF(OR($B217="",$I217="Complete",$L217=""),0,IF($L217&lt;TODAY(),1,0))</f>
        <v>0</v>
      </c>
      <c r="S217" s="131" t="n">
        <f aca="true">IF(OR($B217="",$I217="Complete",$L217=""),0,IF(AND($L217&gt;=TODAY(),$L217&lt;=TODAY()+7),1,0))</f>
        <v>0</v>
      </c>
      <c r="T217" s="131" t="str">
        <f aca="true">IF(OR($B217="",$L217=""),"",$L217-TODAY())</f>
        <v/>
      </c>
      <c r="U217" s="135" t="str">
        <f aca="false">IF($B217="","",IF($I217="Complete",1,IF($J217="",0,$J217)))</f>
        <v/>
      </c>
      <c r="V217" s="131" t="n">
        <f aca="false">IF($B217="",0,IF($N217="",0,1))</f>
        <v>0</v>
      </c>
      <c r="W217" s="131" t="n">
        <f aca="false">IF($B217="",0,1)</f>
        <v>0</v>
      </c>
    </row>
    <row r="218" customFormat="false" ht="15" hidden="false" customHeight="false" outlineLevel="0" collapsed="false">
      <c r="A218" s="131" t="str">
        <f aca="false">IF('Jamie Lavigne'!$B18="","",'Jamie Lavigne'!$A18)</f>
        <v/>
      </c>
      <c r="B218" s="131" t="str">
        <f aca="false">IF('Jamie Lavigne'!$B18="","",'Jamie Lavigne'!$B18)</f>
        <v/>
      </c>
      <c r="C218" s="132" t="str">
        <f aca="false">IF('Jamie Lavigne'!$B18="","",'Jamie Lavigne'!$C18)</f>
        <v/>
      </c>
      <c r="D218" s="132" t="str">
        <f aca="false">IF('Jamie Lavigne'!$B18="","",'Jamie Lavigne'!$D18)</f>
        <v/>
      </c>
      <c r="E218" s="132" t="str">
        <f aca="false">IF('Jamie Lavigne'!$B18="","",'Jamie Lavigne'!$E18)</f>
        <v/>
      </c>
      <c r="F218" s="132" t="str">
        <f aca="false">IF('Jamie Lavigne'!$B18="","",'Jamie Lavigne'!$F18)</f>
        <v/>
      </c>
      <c r="G218" s="132" t="str">
        <f aca="false">IF('Jamie Lavigne'!$B18="","",'Jamie Lavigne'!$G18)</f>
        <v/>
      </c>
      <c r="H218" s="131" t="str">
        <f aca="false">IF('Jamie Lavigne'!$B18="","",'Jamie Lavigne'!$H18)</f>
        <v/>
      </c>
      <c r="I218" s="131" t="str">
        <f aca="false">IF('Jamie Lavigne'!$B18="","",'Jamie Lavigne'!$I18)</f>
        <v/>
      </c>
      <c r="J218" s="133" t="str">
        <f aca="false">IF('Jamie Lavigne'!$B18="","",'Jamie Lavigne'!$J18)</f>
        <v/>
      </c>
      <c r="K218" s="134" t="str">
        <f aca="false">IF('Jamie Lavigne'!$B18="","",'Jamie Lavigne'!$K18)</f>
        <v/>
      </c>
      <c r="L218" s="134" t="str">
        <f aca="false">IF('Jamie Lavigne'!$B18="","",'Jamie Lavigne'!$L18)</f>
        <v/>
      </c>
      <c r="M218" s="132" t="str">
        <f aca="false">IF('Jamie Lavigne'!$B18="","",'Jamie Lavigne'!$M18)</f>
        <v/>
      </c>
      <c r="N218" s="132" t="str">
        <f aca="false">IF('Jamie Lavigne'!$B18="","",'Jamie Lavigne'!$N18)</f>
        <v/>
      </c>
      <c r="O218" s="134" t="str">
        <f aca="false">IF('Jamie Lavigne'!$B18="","",'Jamie Lavigne'!$O18)</f>
        <v/>
      </c>
      <c r="P218" s="132" t="str">
        <f aca="false">IF('Jamie Lavigne'!$B18="","",'Jamie Lavigne'!$P18)</f>
        <v/>
      </c>
      <c r="Q218" s="131" t="str">
        <f aca="false">IF('Jamie Lavigne'!$B18="","","Jamie Lavigne")</f>
        <v/>
      </c>
      <c r="R218" s="131" t="n">
        <f aca="true">IF(OR($B218="",$I218="Complete",$L218=""),0,IF($L218&lt;TODAY(),1,0))</f>
        <v>0</v>
      </c>
      <c r="S218" s="131" t="n">
        <f aca="true">IF(OR($B218="",$I218="Complete",$L218=""),0,IF(AND($L218&gt;=TODAY(),$L218&lt;=TODAY()+7),1,0))</f>
        <v>0</v>
      </c>
      <c r="T218" s="131" t="str">
        <f aca="true">IF(OR($B218="",$L218=""),"",$L218-TODAY())</f>
        <v/>
      </c>
      <c r="U218" s="135" t="str">
        <f aca="false">IF($B218="","",IF($I218="Complete",1,IF($J218="",0,$J218)))</f>
        <v/>
      </c>
      <c r="V218" s="131" t="n">
        <f aca="false">IF($B218="",0,IF($N218="",0,1))</f>
        <v>0</v>
      </c>
      <c r="W218" s="131" t="n">
        <f aca="false">IF($B218="",0,1)</f>
        <v>0</v>
      </c>
    </row>
    <row r="219" customFormat="false" ht="15" hidden="false" customHeight="false" outlineLevel="0" collapsed="false">
      <c r="A219" s="131" t="str">
        <f aca="false">IF('Jamie Lavigne'!$B19="","",'Jamie Lavigne'!$A19)</f>
        <v/>
      </c>
      <c r="B219" s="131" t="str">
        <f aca="false">IF('Jamie Lavigne'!$B19="","",'Jamie Lavigne'!$B19)</f>
        <v/>
      </c>
      <c r="C219" s="132" t="str">
        <f aca="false">IF('Jamie Lavigne'!$B19="","",'Jamie Lavigne'!$C19)</f>
        <v/>
      </c>
      <c r="D219" s="132" t="str">
        <f aca="false">IF('Jamie Lavigne'!$B19="","",'Jamie Lavigne'!$D19)</f>
        <v/>
      </c>
      <c r="E219" s="132" t="str">
        <f aca="false">IF('Jamie Lavigne'!$B19="","",'Jamie Lavigne'!$E19)</f>
        <v/>
      </c>
      <c r="F219" s="132" t="str">
        <f aca="false">IF('Jamie Lavigne'!$B19="","",'Jamie Lavigne'!$F19)</f>
        <v/>
      </c>
      <c r="G219" s="132" t="str">
        <f aca="false">IF('Jamie Lavigne'!$B19="","",'Jamie Lavigne'!$G19)</f>
        <v/>
      </c>
      <c r="H219" s="131" t="str">
        <f aca="false">IF('Jamie Lavigne'!$B19="","",'Jamie Lavigne'!$H19)</f>
        <v/>
      </c>
      <c r="I219" s="131" t="str">
        <f aca="false">IF('Jamie Lavigne'!$B19="","",'Jamie Lavigne'!$I19)</f>
        <v/>
      </c>
      <c r="J219" s="133" t="str">
        <f aca="false">IF('Jamie Lavigne'!$B19="","",'Jamie Lavigne'!$J19)</f>
        <v/>
      </c>
      <c r="K219" s="134" t="str">
        <f aca="false">IF('Jamie Lavigne'!$B19="","",'Jamie Lavigne'!$K19)</f>
        <v/>
      </c>
      <c r="L219" s="134" t="str">
        <f aca="false">IF('Jamie Lavigne'!$B19="","",'Jamie Lavigne'!$L19)</f>
        <v/>
      </c>
      <c r="M219" s="132" t="str">
        <f aca="false">IF('Jamie Lavigne'!$B19="","",'Jamie Lavigne'!$M19)</f>
        <v/>
      </c>
      <c r="N219" s="132" t="str">
        <f aca="false">IF('Jamie Lavigne'!$B19="","",'Jamie Lavigne'!$N19)</f>
        <v/>
      </c>
      <c r="O219" s="134" t="str">
        <f aca="false">IF('Jamie Lavigne'!$B19="","",'Jamie Lavigne'!$O19)</f>
        <v/>
      </c>
      <c r="P219" s="132" t="str">
        <f aca="false">IF('Jamie Lavigne'!$B19="","",'Jamie Lavigne'!$P19)</f>
        <v/>
      </c>
      <c r="Q219" s="131" t="str">
        <f aca="false">IF('Jamie Lavigne'!$B19="","","Jamie Lavigne")</f>
        <v/>
      </c>
      <c r="R219" s="131" t="n">
        <f aca="true">IF(OR($B219="",$I219="Complete",$L219=""),0,IF($L219&lt;TODAY(),1,0))</f>
        <v>0</v>
      </c>
      <c r="S219" s="131" t="n">
        <f aca="true">IF(OR($B219="",$I219="Complete",$L219=""),0,IF(AND($L219&gt;=TODAY(),$L219&lt;=TODAY()+7),1,0))</f>
        <v>0</v>
      </c>
      <c r="T219" s="131" t="str">
        <f aca="true">IF(OR($B219="",$L219=""),"",$L219-TODAY())</f>
        <v/>
      </c>
      <c r="U219" s="135" t="str">
        <f aca="false">IF($B219="","",IF($I219="Complete",1,IF($J219="",0,$J219)))</f>
        <v/>
      </c>
      <c r="V219" s="131" t="n">
        <f aca="false">IF($B219="",0,IF($N219="",0,1))</f>
        <v>0</v>
      </c>
      <c r="W219" s="131" t="n">
        <f aca="false">IF($B219="",0,1)</f>
        <v>0</v>
      </c>
    </row>
    <row r="220" customFormat="false" ht="15" hidden="false" customHeight="false" outlineLevel="0" collapsed="false">
      <c r="A220" s="131" t="str">
        <f aca="false">IF('Jamie Lavigne'!$B20="","",'Jamie Lavigne'!$A20)</f>
        <v/>
      </c>
      <c r="B220" s="131" t="str">
        <f aca="false">IF('Jamie Lavigne'!$B20="","",'Jamie Lavigne'!$B20)</f>
        <v/>
      </c>
      <c r="C220" s="132" t="str">
        <f aca="false">IF('Jamie Lavigne'!$B20="","",'Jamie Lavigne'!$C20)</f>
        <v/>
      </c>
      <c r="D220" s="132" t="str">
        <f aca="false">IF('Jamie Lavigne'!$B20="","",'Jamie Lavigne'!$D20)</f>
        <v/>
      </c>
      <c r="E220" s="132" t="str">
        <f aca="false">IF('Jamie Lavigne'!$B20="","",'Jamie Lavigne'!$E20)</f>
        <v/>
      </c>
      <c r="F220" s="132" t="str">
        <f aca="false">IF('Jamie Lavigne'!$B20="","",'Jamie Lavigne'!$F20)</f>
        <v/>
      </c>
      <c r="G220" s="132" t="str">
        <f aca="false">IF('Jamie Lavigne'!$B20="","",'Jamie Lavigne'!$G20)</f>
        <v/>
      </c>
      <c r="H220" s="131" t="str">
        <f aca="false">IF('Jamie Lavigne'!$B20="","",'Jamie Lavigne'!$H20)</f>
        <v/>
      </c>
      <c r="I220" s="131" t="str">
        <f aca="false">IF('Jamie Lavigne'!$B20="","",'Jamie Lavigne'!$I20)</f>
        <v/>
      </c>
      <c r="J220" s="133" t="str">
        <f aca="false">IF('Jamie Lavigne'!$B20="","",'Jamie Lavigne'!$J20)</f>
        <v/>
      </c>
      <c r="K220" s="134" t="str">
        <f aca="false">IF('Jamie Lavigne'!$B20="","",'Jamie Lavigne'!$K20)</f>
        <v/>
      </c>
      <c r="L220" s="134" t="str">
        <f aca="false">IF('Jamie Lavigne'!$B20="","",'Jamie Lavigne'!$L20)</f>
        <v/>
      </c>
      <c r="M220" s="132" t="str">
        <f aca="false">IF('Jamie Lavigne'!$B20="","",'Jamie Lavigne'!$M20)</f>
        <v/>
      </c>
      <c r="N220" s="132" t="str">
        <f aca="false">IF('Jamie Lavigne'!$B20="","",'Jamie Lavigne'!$N20)</f>
        <v/>
      </c>
      <c r="O220" s="134" t="str">
        <f aca="false">IF('Jamie Lavigne'!$B20="","",'Jamie Lavigne'!$O20)</f>
        <v/>
      </c>
      <c r="P220" s="132" t="str">
        <f aca="false">IF('Jamie Lavigne'!$B20="","",'Jamie Lavigne'!$P20)</f>
        <v/>
      </c>
      <c r="Q220" s="131" t="str">
        <f aca="false">IF('Jamie Lavigne'!$B20="","","Jamie Lavigne")</f>
        <v/>
      </c>
      <c r="R220" s="131" t="n">
        <f aca="true">IF(OR($B220="",$I220="Complete",$L220=""),0,IF($L220&lt;TODAY(),1,0))</f>
        <v>0</v>
      </c>
      <c r="S220" s="131" t="n">
        <f aca="true">IF(OR($B220="",$I220="Complete",$L220=""),0,IF(AND($L220&gt;=TODAY(),$L220&lt;=TODAY()+7),1,0))</f>
        <v>0</v>
      </c>
      <c r="T220" s="131" t="str">
        <f aca="true">IF(OR($B220="",$L220=""),"",$L220-TODAY())</f>
        <v/>
      </c>
      <c r="U220" s="135" t="str">
        <f aca="false">IF($B220="","",IF($I220="Complete",1,IF($J220="",0,$J220)))</f>
        <v/>
      </c>
      <c r="V220" s="131" t="n">
        <f aca="false">IF($B220="",0,IF($N220="",0,1))</f>
        <v>0</v>
      </c>
      <c r="W220" s="131" t="n">
        <f aca="false">IF($B220="",0,1)</f>
        <v>0</v>
      </c>
    </row>
    <row r="221" customFormat="false" ht="15" hidden="false" customHeight="false" outlineLevel="0" collapsed="false">
      <c r="A221" s="131" t="str">
        <f aca="false">IF('Jamie Lavigne'!$B21="","",'Jamie Lavigne'!$A21)</f>
        <v/>
      </c>
      <c r="B221" s="131" t="str">
        <f aca="false">IF('Jamie Lavigne'!$B21="","",'Jamie Lavigne'!$B21)</f>
        <v/>
      </c>
      <c r="C221" s="132" t="str">
        <f aca="false">IF('Jamie Lavigne'!$B21="","",'Jamie Lavigne'!$C21)</f>
        <v/>
      </c>
      <c r="D221" s="132" t="str">
        <f aca="false">IF('Jamie Lavigne'!$B21="","",'Jamie Lavigne'!$D21)</f>
        <v/>
      </c>
      <c r="E221" s="132" t="str">
        <f aca="false">IF('Jamie Lavigne'!$B21="","",'Jamie Lavigne'!$E21)</f>
        <v/>
      </c>
      <c r="F221" s="132" t="str">
        <f aca="false">IF('Jamie Lavigne'!$B21="","",'Jamie Lavigne'!$F21)</f>
        <v/>
      </c>
      <c r="G221" s="132" t="str">
        <f aca="false">IF('Jamie Lavigne'!$B21="","",'Jamie Lavigne'!$G21)</f>
        <v/>
      </c>
      <c r="H221" s="131" t="str">
        <f aca="false">IF('Jamie Lavigne'!$B21="","",'Jamie Lavigne'!$H21)</f>
        <v/>
      </c>
      <c r="I221" s="131" t="str">
        <f aca="false">IF('Jamie Lavigne'!$B21="","",'Jamie Lavigne'!$I21)</f>
        <v/>
      </c>
      <c r="J221" s="133" t="str">
        <f aca="false">IF('Jamie Lavigne'!$B21="","",'Jamie Lavigne'!$J21)</f>
        <v/>
      </c>
      <c r="K221" s="134" t="str">
        <f aca="false">IF('Jamie Lavigne'!$B21="","",'Jamie Lavigne'!$K21)</f>
        <v/>
      </c>
      <c r="L221" s="134" t="str">
        <f aca="false">IF('Jamie Lavigne'!$B21="","",'Jamie Lavigne'!$L21)</f>
        <v/>
      </c>
      <c r="M221" s="132" t="str">
        <f aca="false">IF('Jamie Lavigne'!$B21="","",'Jamie Lavigne'!$M21)</f>
        <v/>
      </c>
      <c r="N221" s="132" t="str">
        <f aca="false">IF('Jamie Lavigne'!$B21="","",'Jamie Lavigne'!$N21)</f>
        <v/>
      </c>
      <c r="O221" s="134" t="str">
        <f aca="false">IF('Jamie Lavigne'!$B21="","",'Jamie Lavigne'!$O21)</f>
        <v/>
      </c>
      <c r="P221" s="132" t="str">
        <f aca="false">IF('Jamie Lavigne'!$B21="","",'Jamie Lavigne'!$P21)</f>
        <v/>
      </c>
      <c r="Q221" s="131" t="str">
        <f aca="false">IF('Jamie Lavigne'!$B21="","","Jamie Lavigne")</f>
        <v/>
      </c>
      <c r="R221" s="131" t="n">
        <f aca="true">IF(OR($B221="",$I221="Complete",$L221=""),0,IF($L221&lt;TODAY(),1,0))</f>
        <v>0</v>
      </c>
      <c r="S221" s="131" t="n">
        <f aca="true">IF(OR($B221="",$I221="Complete",$L221=""),0,IF(AND($L221&gt;=TODAY(),$L221&lt;=TODAY()+7),1,0))</f>
        <v>0</v>
      </c>
      <c r="T221" s="131" t="str">
        <f aca="true">IF(OR($B221="",$L221=""),"",$L221-TODAY())</f>
        <v/>
      </c>
      <c r="U221" s="135" t="str">
        <f aca="false">IF($B221="","",IF($I221="Complete",1,IF($J221="",0,$J221)))</f>
        <v/>
      </c>
      <c r="V221" s="131" t="n">
        <f aca="false">IF($B221="",0,IF($N221="",0,1))</f>
        <v>0</v>
      </c>
      <c r="W221" s="131" t="n">
        <f aca="false">IF($B221="",0,1)</f>
        <v>0</v>
      </c>
    </row>
    <row r="222" customFormat="false" ht="15" hidden="false" customHeight="false" outlineLevel="0" collapsed="false">
      <c r="A222" s="131" t="str">
        <f aca="false">IF('Jamie Lavigne'!$B22="","",'Jamie Lavigne'!$A22)</f>
        <v/>
      </c>
      <c r="B222" s="131" t="str">
        <f aca="false">IF('Jamie Lavigne'!$B22="","",'Jamie Lavigne'!$B22)</f>
        <v/>
      </c>
      <c r="C222" s="132" t="str">
        <f aca="false">IF('Jamie Lavigne'!$B22="","",'Jamie Lavigne'!$C22)</f>
        <v/>
      </c>
      <c r="D222" s="132" t="str">
        <f aca="false">IF('Jamie Lavigne'!$B22="","",'Jamie Lavigne'!$D22)</f>
        <v/>
      </c>
      <c r="E222" s="132" t="str">
        <f aca="false">IF('Jamie Lavigne'!$B22="","",'Jamie Lavigne'!$E22)</f>
        <v/>
      </c>
      <c r="F222" s="132" t="str">
        <f aca="false">IF('Jamie Lavigne'!$B22="","",'Jamie Lavigne'!$F22)</f>
        <v/>
      </c>
      <c r="G222" s="132" t="str">
        <f aca="false">IF('Jamie Lavigne'!$B22="","",'Jamie Lavigne'!$G22)</f>
        <v/>
      </c>
      <c r="H222" s="131" t="str">
        <f aca="false">IF('Jamie Lavigne'!$B22="","",'Jamie Lavigne'!$H22)</f>
        <v/>
      </c>
      <c r="I222" s="131" t="str">
        <f aca="false">IF('Jamie Lavigne'!$B22="","",'Jamie Lavigne'!$I22)</f>
        <v/>
      </c>
      <c r="J222" s="133" t="str">
        <f aca="false">IF('Jamie Lavigne'!$B22="","",'Jamie Lavigne'!$J22)</f>
        <v/>
      </c>
      <c r="K222" s="134" t="str">
        <f aca="false">IF('Jamie Lavigne'!$B22="","",'Jamie Lavigne'!$K22)</f>
        <v/>
      </c>
      <c r="L222" s="134" t="str">
        <f aca="false">IF('Jamie Lavigne'!$B22="","",'Jamie Lavigne'!$L22)</f>
        <v/>
      </c>
      <c r="M222" s="132" t="str">
        <f aca="false">IF('Jamie Lavigne'!$B22="","",'Jamie Lavigne'!$M22)</f>
        <v/>
      </c>
      <c r="N222" s="132" t="str">
        <f aca="false">IF('Jamie Lavigne'!$B22="","",'Jamie Lavigne'!$N22)</f>
        <v/>
      </c>
      <c r="O222" s="134" t="str">
        <f aca="false">IF('Jamie Lavigne'!$B22="","",'Jamie Lavigne'!$O22)</f>
        <v/>
      </c>
      <c r="P222" s="132" t="str">
        <f aca="false">IF('Jamie Lavigne'!$B22="","",'Jamie Lavigne'!$P22)</f>
        <v/>
      </c>
      <c r="Q222" s="131" t="str">
        <f aca="false">IF('Jamie Lavigne'!$B22="","","Jamie Lavigne")</f>
        <v/>
      </c>
      <c r="R222" s="131" t="n">
        <f aca="true">IF(OR($B222="",$I222="Complete",$L222=""),0,IF($L222&lt;TODAY(),1,0))</f>
        <v>0</v>
      </c>
      <c r="S222" s="131" t="n">
        <f aca="true">IF(OR($B222="",$I222="Complete",$L222=""),0,IF(AND($L222&gt;=TODAY(),$L222&lt;=TODAY()+7),1,0))</f>
        <v>0</v>
      </c>
      <c r="T222" s="131" t="str">
        <f aca="true">IF(OR($B222="",$L222=""),"",$L222-TODAY())</f>
        <v/>
      </c>
      <c r="U222" s="135" t="str">
        <f aca="false">IF($B222="","",IF($I222="Complete",1,IF($J222="",0,$J222)))</f>
        <v/>
      </c>
      <c r="V222" s="131" t="n">
        <f aca="false">IF($B222="",0,IF($N222="",0,1))</f>
        <v>0</v>
      </c>
      <c r="W222" s="131" t="n">
        <f aca="false">IF($B222="",0,1)</f>
        <v>0</v>
      </c>
    </row>
    <row r="223" customFormat="false" ht="15" hidden="false" customHeight="false" outlineLevel="0" collapsed="false">
      <c r="A223" s="131" t="str">
        <f aca="false">IF('Jamie Lavigne'!$B23="","",'Jamie Lavigne'!$A23)</f>
        <v/>
      </c>
      <c r="B223" s="131" t="str">
        <f aca="false">IF('Jamie Lavigne'!$B23="","",'Jamie Lavigne'!$B23)</f>
        <v/>
      </c>
      <c r="C223" s="132" t="str">
        <f aca="false">IF('Jamie Lavigne'!$B23="","",'Jamie Lavigne'!$C23)</f>
        <v/>
      </c>
      <c r="D223" s="132" t="str">
        <f aca="false">IF('Jamie Lavigne'!$B23="","",'Jamie Lavigne'!$D23)</f>
        <v/>
      </c>
      <c r="E223" s="132" t="str">
        <f aca="false">IF('Jamie Lavigne'!$B23="","",'Jamie Lavigne'!$E23)</f>
        <v/>
      </c>
      <c r="F223" s="132" t="str">
        <f aca="false">IF('Jamie Lavigne'!$B23="","",'Jamie Lavigne'!$F23)</f>
        <v/>
      </c>
      <c r="G223" s="132" t="str">
        <f aca="false">IF('Jamie Lavigne'!$B23="","",'Jamie Lavigne'!$G23)</f>
        <v/>
      </c>
      <c r="H223" s="131" t="str">
        <f aca="false">IF('Jamie Lavigne'!$B23="","",'Jamie Lavigne'!$H23)</f>
        <v/>
      </c>
      <c r="I223" s="131" t="str">
        <f aca="false">IF('Jamie Lavigne'!$B23="","",'Jamie Lavigne'!$I23)</f>
        <v/>
      </c>
      <c r="J223" s="133" t="str">
        <f aca="false">IF('Jamie Lavigne'!$B23="","",'Jamie Lavigne'!$J23)</f>
        <v/>
      </c>
      <c r="K223" s="134" t="str">
        <f aca="false">IF('Jamie Lavigne'!$B23="","",'Jamie Lavigne'!$K23)</f>
        <v/>
      </c>
      <c r="L223" s="134" t="str">
        <f aca="false">IF('Jamie Lavigne'!$B23="","",'Jamie Lavigne'!$L23)</f>
        <v/>
      </c>
      <c r="M223" s="132" t="str">
        <f aca="false">IF('Jamie Lavigne'!$B23="","",'Jamie Lavigne'!$M23)</f>
        <v/>
      </c>
      <c r="N223" s="132" t="str">
        <f aca="false">IF('Jamie Lavigne'!$B23="","",'Jamie Lavigne'!$N23)</f>
        <v/>
      </c>
      <c r="O223" s="134" t="str">
        <f aca="false">IF('Jamie Lavigne'!$B23="","",'Jamie Lavigne'!$O23)</f>
        <v/>
      </c>
      <c r="P223" s="132" t="str">
        <f aca="false">IF('Jamie Lavigne'!$B23="","",'Jamie Lavigne'!$P23)</f>
        <v/>
      </c>
      <c r="Q223" s="131" t="str">
        <f aca="false">IF('Jamie Lavigne'!$B23="","","Jamie Lavigne")</f>
        <v/>
      </c>
      <c r="R223" s="131" t="n">
        <f aca="true">IF(OR($B223="",$I223="Complete",$L223=""),0,IF($L223&lt;TODAY(),1,0))</f>
        <v>0</v>
      </c>
      <c r="S223" s="131" t="n">
        <f aca="true">IF(OR($B223="",$I223="Complete",$L223=""),0,IF(AND($L223&gt;=TODAY(),$L223&lt;=TODAY()+7),1,0))</f>
        <v>0</v>
      </c>
      <c r="T223" s="131" t="str">
        <f aca="true">IF(OR($B223="",$L223=""),"",$L223-TODAY())</f>
        <v/>
      </c>
      <c r="U223" s="135" t="str">
        <f aca="false">IF($B223="","",IF($I223="Complete",1,IF($J223="",0,$J223)))</f>
        <v/>
      </c>
      <c r="V223" s="131" t="n">
        <f aca="false">IF($B223="",0,IF($N223="",0,1))</f>
        <v>0</v>
      </c>
      <c r="W223" s="131" t="n">
        <f aca="false">IF($B223="",0,1)</f>
        <v>0</v>
      </c>
    </row>
    <row r="224" customFormat="false" ht="15" hidden="false" customHeight="false" outlineLevel="0" collapsed="false">
      <c r="A224" s="131" t="str">
        <f aca="false">IF('Jamie Lavigne'!$B24="","",'Jamie Lavigne'!$A24)</f>
        <v/>
      </c>
      <c r="B224" s="131" t="str">
        <f aca="false">IF('Jamie Lavigne'!$B24="","",'Jamie Lavigne'!$B24)</f>
        <v/>
      </c>
      <c r="C224" s="132" t="str">
        <f aca="false">IF('Jamie Lavigne'!$B24="","",'Jamie Lavigne'!$C24)</f>
        <v/>
      </c>
      <c r="D224" s="132" t="str">
        <f aca="false">IF('Jamie Lavigne'!$B24="","",'Jamie Lavigne'!$D24)</f>
        <v/>
      </c>
      <c r="E224" s="132" t="str">
        <f aca="false">IF('Jamie Lavigne'!$B24="","",'Jamie Lavigne'!$E24)</f>
        <v/>
      </c>
      <c r="F224" s="132" t="str">
        <f aca="false">IF('Jamie Lavigne'!$B24="","",'Jamie Lavigne'!$F24)</f>
        <v/>
      </c>
      <c r="G224" s="132" t="str">
        <f aca="false">IF('Jamie Lavigne'!$B24="","",'Jamie Lavigne'!$G24)</f>
        <v/>
      </c>
      <c r="H224" s="131" t="str">
        <f aca="false">IF('Jamie Lavigne'!$B24="","",'Jamie Lavigne'!$H24)</f>
        <v/>
      </c>
      <c r="I224" s="131" t="str">
        <f aca="false">IF('Jamie Lavigne'!$B24="","",'Jamie Lavigne'!$I24)</f>
        <v/>
      </c>
      <c r="J224" s="133" t="str">
        <f aca="false">IF('Jamie Lavigne'!$B24="","",'Jamie Lavigne'!$J24)</f>
        <v/>
      </c>
      <c r="K224" s="134" t="str">
        <f aca="false">IF('Jamie Lavigne'!$B24="","",'Jamie Lavigne'!$K24)</f>
        <v/>
      </c>
      <c r="L224" s="134" t="str">
        <f aca="false">IF('Jamie Lavigne'!$B24="","",'Jamie Lavigne'!$L24)</f>
        <v/>
      </c>
      <c r="M224" s="132" t="str">
        <f aca="false">IF('Jamie Lavigne'!$B24="","",'Jamie Lavigne'!$M24)</f>
        <v/>
      </c>
      <c r="N224" s="132" t="str">
        <f aca="false">IF('Jamie Lavigne'!$B24="","",'Jamie Lavigne'!$N24)</f>
        <v/>
      </c>
      <c r="O224" s="134" t="str">
        <f aca="false">IF('Jamie Lavigne'!$B24="","",'Jamie Lavigne'!$O24)</f>
        <v/>
      </c>
      <c r="P224" s="132" t="str">
        <f aca="false">IF('Jamie Lavigne'!$B24="","",'Jamie Lavigne'!$P24)</f>
        <v/>
      </c>
      <c r="Q224" s="131" t="str">
        <f aca="false">IF('Jamie Lavigne'!$B24="","","Jamie Lavigne")</f>
        <v/>
      </c>
      <c r="R224" s="131" t="n">
        <f aca="true">IF(OR($B224="",$I224="Complete",$L224=""),0,IF($L224&lt;TODAY(),1,0))</f>
        <v>0</v>
      </c>
      <c r="S224" s="131" t="n">
        <f aca="true">IF(OR($B224="",$I224="Complete",$L224=""),0,IF(AND($L224&gt;=TODAY(),$L224&lt;=TODAY()+7),1,0))</f>
        <v>0</v>
      </c>
      <c r="T224" s="131" t="str">
        <f aca="true">IF(OR($B224="",$L224=""),"",$L224-TODAY())</f>
        <v/>
      </c>
      <c r="U224" s="135" t="str">
        <f aca="false">IF($B224="","",IF($I224="Complete",1,IF($J224="",0,$J224)))</f>
        <v/>
      </c>
      <c r="V224" s="131" t="n">
        <f aca="false">IF($B224="",0,IF($N224="",0,1))</f>
        <v>0</v>
      </c>
      <c r="W224" s="131" t="n">
        <f aca="false">IF($B224="",0,1)</f>
        <v>0</v>
      </c>
    </row>
    <row r="225" customFormat="false" ht="15" hidden="false" customHeight="false" outlineLevel="0" collapsed="false">
      <c r="A225" s="131" t="str">
        <f aca="false">IF('Jamie Lavigne'!$B25="","",'Jamie Lavigne'!$A25)</f>
        <v/>
      </c>
      <c r="B225" s="131" t="str">
        <f aca="false">IF('Jamie Lavigne'!$B25="","",'Jamie Lavigne'!$B25)</f>
        <v/>
      </c>
      <c r="C225" s="132" t="str">
        <f aca="false">IF('Jamie Lavigne'!$B25="","",'Jamie Lavigne'!$C25)</f>
        <v/>
      </c>
      <c r="D225" s="132" t="str">
        <f aca="false">IF('Jamie Lavigne'!$B25="","",'Jamie Lavigne'!$D25)</f>
        <v/>
      </c>
      <c r="E225" s="132" t="str">
        <f aca="false">IF('Jamie Lavigne'!$B25="","",'Jamie Lavigne'!$E25)</f>
        <v/>
      </c>
      <c r="F225" s="132" t="str">
        <f aca="false">IF('Jamie Lavigne'!$B25="","",'Jamie Lavigne'!$F25)</f>
        <v/>
      </c>
      <c r="G225" s="132" t="str">
        <f aca="false">IF('Jamie Lavigne'!$B25="","",'Jamie Lavigne'!$G25)</f>
        <v/>
      </c>
      <c r="H225" s="131" t="str">
        <f aca="false">IF('Jamie Lavigne'!$B25="","",'Jamie Lavigne'!$H25)</f>
        <v/>
      </c>
      <c r="I225" s="131" t="str">
        <f aca="false">IF('Jamie Lavigne'!$B25="","",'Jamie Lavigne'!$I25)</f>
        <v/>
      </c>
      <c r="J225" s="133" t="str">
        <f aca="false">IF('Jamie Lavigne'!$B25="","",'Jamie Lavigne'!$J25)</f>
        <v/>
      </c>
      <c r="K225" s="134" t="str">
        <f aca="false">IF('Jamie Lavigne'!$B25="","",'Jamie Lavigne'!$K25)</f>
        <v/>
      </c>
      <c r="L225" s="134" t="str">
        <f aca="false">IF('Jamie Lavigne'!$B25="","",'Jamie Lavigne'!$L25)</f>
        <v/>
      </c>
      <c r="M225" s="132" t="str">
        <f aca="false">IF('Jamie Lavigne'!$B25="","",'Jamie Lavigne'!$M25)</f>
        <v/>
      </c>
      <c r="N225" s="132" t="str">
        <f aca="false">IF('Jamie Lavigne'!$B25="","",'Jamie Lavigne'!$N25)</f>
        <v/>
      </c>
      <c r="O225" s="134" t="str">
        <f aca="false">IF('Jamie Lavigne'!$B25="","",'Jamie Lavigne'!$O25)</f>
        <v/>
      </c>
      <c r="P225" s="132" t="str">
        <f aca="false">IF('Jamie Lavigne'!$B25="","",'Jamie Lavigne'!$P25)</f>
        <v/>
      </c>
      <c r="Q225" s="131" t="str">
        <f aca="false">IF('Jamie Lavigne'!$B25="","","Jamie Lavigne")</f>
        <v/>
      </c>
      <c r="R225" s="131" t="n">
        <f aca="true">IF(OR($B225="",$I225="Complete",$L225=""),0,IF($L225&lt;TODAY(),1,0))</f>
        <v>0</v>
      </c>
      <c r="S225" s="131" t="n">
        <f aca="true">IF(OR($B225="",$I225="Complete",$L225=""),0,IF(AND($L225&gt;=TODAY(),$L225&lt;=TODAY()+7),1,0))</f>
        <v>0</v>
      </c>
      <c r="T225" s="131" t="str">
        <f aca="true">IF(OR($B225="",$L225=""),"",$L225-TODAY())</f>
        <v/>
      </c>
      <c r="U225" s="135" t="str">
        <f aca="false">IF($B225="","",IF($I225="Complete",1,IF($J225="",0,$J225)))</f>
        <v/>
      </c>
      <c r="V225" s="131" t="n">
        <f aca="false">IF($B225="",0,IF($N225="",0,1))</f>
        <v>0</v>
      </c>
      <c r="W225" s="131" t="n">
        <f aca="false">IF($B225="",0,1)</f>
        <v>0</v>
      </c>
    </row>
    <row r="226" customFormat="false" ht="15" hidden="false" customHeight="false" outlineLevel="0" collapsed="false">
      <c r="A226" s="131" t="str">
        <f aca="false">IF('Jamie Lavigne'!$B26="","",'Jamie Lavigne'!$A26)</f>
        <v/>
      </c>
      <c r="B226" s="131" t="str">
        <f aca="false">IF('Jamie Lavigne'!$B26="","",'Jamie Lavigne'!$B26)</f>
        <v/>
      </c>
      <c r="C226" s="132" t="str">
        <f aca="false">IF('Jamie Lavigne'!$B26="","",'Jamie Lavigne'!$C26)</f>
        <v/>
      </c>
      <c r="D226" s="132" t="str">
        <f aca="false">IF('Jamie Lavigne'!$B26="","",'Jamie Lavigne'!$D26)</f>
        <v/>
      </c>
      <c r="E226" s="132" t="str">
        <f aca="false">IF('Jamie Lavigne'!$B26="","",'Jamie Lavigne'!$E26)</f>
        <v/>
      </c>
      <c r="F226" s="132" t="str">
        <f aca="false">IF('Jamie Lavigne'!$B26="","",'Jamie Lavigne'!$F26)</f>
        <v/>
      </c>
      <c r="G226" s="132" t="str">
        <f aca="false">IF('Jamie Lavigne'!$B26="","",'Jamie Lavigne'!$G26)</f>
        <v/>
      </c>
      <c r="H226" s="131" t="str">
        <f aca="false">IF('Jamie Lavigne'!$B26="","",'Jamie Lavigne'!$H26)</f>
        <v/>
      </c>
      <c r="I226" s="131" t="str">
        <f aca="false">IF('Jamie Lavigne'!$B26="","",'Jamie Lavigne'!$I26)</f>
        <v/>
      </c>
      <c r="J226" s="133" t="str">
        <f aca="false">IF('Jamie Lavigne'!$B26="","",'Jamie Lavigne'!$J26)</f>
        <v/>
      </c>
      <c r="K226" s="134" t="str">
        <f aca="false">IF('Jamie Lavigne'!$B26="","",'Jamie Lavigne'!$K26)</f>
        <v/>
      </c>
      <c r="L226" s="134" t="str">
        <f aca="false">IF('Jamie Lavigne'!$B26="","",'Jamie Lavigne'!$L26)</f>
        <v/>
      </c>
      <c r="M226" s="132" t="str">
        <f aca="false">IF('Jamie Lavigne'!$B26="","",'Jamie Lavigne'!$M26)</f>
        <v/>
      </c>
      <c r="N226" s="132" t="str">
        <f aca="false">IF('Jamie Lavigne'!$B26="","",'Jamie Lavigne'!$N26)</f>
        <v/>
      </c>
      <c r="O226" s="134" t="str">
        <f aca="false">IF('Jamie Lavigne'!$B26="","",'Jamie Lavigne'!$O26)</f>
        <v/>
      </c>
      <c r="P226" s="132" t="str">
        <f aca="false">IF('Jamie Lavigne'!$B26="","",'Jamie Lavigne'!$P26)</f>
        <v/>
      </c>
      <c r="Q226" s="131" t="str">
        <f aca="false">IF('Jamie Lavigne'!$B26="","","Jamie Lavigne")</f>
        <v/>
      </c>
      <c r="R226" s="131" t="n">
        <f aca="true">IF(OR($B226="",$I226="Complete",$L226=""),0,IF($L226&lt;TODAY(),1,0))</f>
        <v>0</v>
      </c>
      <c r="S226" s="131" t="n">
        <f aca="true">IF(OR($B226="",$I226="Complete",$L226=""),0,IF(AND($L226&gt;=TODAY(),$L226&lt;=TODAY()+7),1,0))</f>
        <v>0</v>
      </c>
      <c r="T226" s="131" t="str">
        <f aca="true">IF(OR($B226="",$L226=""),"",$L226-TODAY())</f>
        <v/>
      </c>
      <c r="U226" s="135" t="str">
        <f aca="false">IF($B226="","",IF($I226="Complete",1,IF($J226="",0,$J226)))</f>
        <v/>
      </c>
      <c r="V226" s="131" t="n">
        <f aca="false">IF($B226="",0,IF($N226="",0,1))</f>
        <v>0</v>
      </c>
      <c r="W226" s="131" t="n">
        <f aca="false">IF($B226="",0,1)</f>
        <v>0</v>
      </c>
    </row>
    <row r="227" customFormat="false" ht="15" hidden="false" customHeight="false" outlineLevel="0" collapsed="false">
      <c r="A227" s="131" t="str">
        <f aca="false">IF('Jamie Lavigne'!$B27="","",'Jamie Lavigne'!$A27)</f>
        <v/>
      </c>
      <c r="B227" s="131" t="str">
        <f aca="false">IF('Jamie Lavigne'!$B27="","",'Jamie Lavigne'!$B27)</f>
        <v/>
      </c>
      <c r="C227" s="132" t="str">
        <f aca="false">IF('Jamie Lavigne'!$B27="","",'Jamie Lavigne'!$C27)</f>
        <v/>
      </c>
      <c r="D227" s="132" t="str">
        <f aca="false">IF('Jamie Lavigne'!$B27="","",'Jamie Lavigne'!$D27)</f>
        <v/>
      </c>
      <c r="E227" s="132" t="str">
        <f aca="false">IF('Jamie Lavigne'!$B27="","",'Jamie Lavigne'!$E27)</f>
        <v/>
      </c>
      <c r="F227" s="132" t="str">
        <f aca="false">IF('Jamie Lavigne'!$B27="","",'Jamie Lavigne'!$F27)</f>
        <v/>
      </c>
      <c r="G227" s="132" t="str">
        <f aca="false">IF('Jamie Lavigne'!$B27="","",'Jamie Lavigne'!$G27)</f>
        <v/>
      </c>
      <c r="H227" s="131" t="str">
        <f aca="false">IF('Jamie Lavigne'!$B27="","",'Jamie Lavigne'!$H27)</f>
        <v/>
      </c>
      <c r="I227" s="131" t="str">
        <f aca="false">IF('Jamie Lavigne'!$B27="","",'Jamie Lavigne'!$I27)</f>
        <v/>
      </c>
      <c r="J227" s="133" t="str">
        <f aca="false">IF('Jamie Lavigne'!$B27="","",'Jamie Lavigne'!$J27)</f>
        <v/>
      </c>
      <c r="K227" s="134" t="str">
        <f aca="false">IF('Jamie Lavigne'!$B27="","",'Jamie Lavigne'!$K27)</f>
        <v/>
      </c>
      <c r="L227" s="134" t="str">
        <f aca="false">IF('Jamie Lavigne'!$B27="","",'Jamie Lavigne'!$L27)</f>
        <v/>
      </c>
      <c r="M227" s="132" t="str">
        <f aca="false">IF('Jamie Lavigne'!$B27="","",'Jamie Lavigne'!$M27)</f>
        <v/>
      </c>
      <c r="N227" s="132" t="str">
        <f aca="false">IF('Jamie Lavigne'!$B27="","",'Jamie Lavigne'!$N27)</f>
        <v/>
      </c>
      <c r="O227" s="134" t="str">
        <f aca="false">IF('Jamie Lavigne'!$B27="","",'Jamie Lavigne'!$O27)</f>
        <v/>
      </c>
      <c r="P227" s="132" t="str">
        <f aca="false">IF('Jamie Lavigne'!$B27="","",'Jamie Lavigne'!$P27)</f>
        <v/>
      </c>
      <c r="Q227" s="131" t="str">
        <f aca="false">IF('Jamie Lavigne'!$B27="","","Jamie Lavigne")</f>
        <v/>
      </c>
      <c r="R227" s="131" t="n">
        <f aca="true">IF(OR($B227="",$I227="Complete",$L227=""),0,IF($L227&lt;TODAY(),1,0))</f>
        <v>0</v>
      </c>
      <c r="S227" s="131" t="n">
        <f aca="true">IF(OR($B227="",$I227="Complete",$L227=""),0,IF(AND($L227&gt;=TODAY(),$L227&lt;=TODAY()+7),1,0))</f>
        <v>0</v>
      </c>
      <c r="T227" s="131" t="str">
        <f aca="true">IF(OR($B227="",$L227=""),"",$L227-TODAY())</f>
        <v/>
      </c>
      <c r="U227" s="135" t="str">
        <f aca="false">IF($B227="","",IF($I227="Complete",1,IF($J227="",0,$J227)))</f>
        <v/>
      </c>
      <c r="V227" s="131" t="n">
        <f aca="false">IF($B227="",0,IF($N227="",0,1))</f>
        <v>0</v>
      </c>
      <c r="W227" s="131" t="n">
        <f aca="false">IF($B227="",0,1)</f>
        <v>0</v>
      </c>
    </row>
    <row r="228" customFormat="false" ht="15" hidden="false" customHeight="false" outlineLevel="0" collapsed="false">
      <c r="A228" s="131" t="str">
        <f aca="false">IF('Jamie Lavigne'!$B28="","",'Jamie Lavigne'!$A28)</f>
        <v/>
      </c>
      <c r="B228" s="131" t="str">
        <f aca="false">IF('Jamie Lavigne'!$B28="","",'Jamie Lavigne'!$B28)</f>
        <v/>
      </c>
      <c r="C228" s="132" t="str">
        <f aca="false">IF('Jamie Lavigne'!$B28="","",'Jamie Lavigne'!$C28)</f>
        <v/>
      </c>
      <c r="D228" s="132" t="str">
        <f aca="false">IF('Jamie Lavigne'!$B28="","",'Jamie Lavigne'!$D28)</f>
        <v/>
      </c>
      <c r="E228" s="132" t="str">
        <f aca="false">IF('Jamie Lavigne'!$B28="","",'Jamie Lavigne'!$E28)</f>
        <v/>
      </c>
      <c r="F228" s="132" t="str">
        <f aca="false">IF('Jamie Lavigne'!$B28="","",'Jamie Lavigne'!$F28)</f>
        <v/>
      </c>
      <c r="G228" s="132" t="str">
        <f aca="false">IF('Jamie Lavigne'!$B28="","",'Jamie Lavigne'!$G28)</f>
        <v/>
      </c>
      <c r="H228" s="131" t="str">
        <f aca="false">IF('Jamie Lavigne'!$B28="","",'Jamie Lavigne'!$H28)</f>
        <v/>
      </c>
      <c r="I228" s="131" t="str">
        <f aca="false">IF('Jamie Lavigne'!$B28="","",'Jamie Lavigne'!$I28)</f>
        <v/>
      </c>
      <c r="J228" s="133" t="str">
        <f aca="false">IF('Jamie Lavigne'!$B28="","",'Jamie Lavigne'!$J28)</f>
        <v/>
      </c>
      <c r="K228" s="134" t="str">
        <f aca="false">IF('Jamie Lavigne'!$B28="","",'Jamie Lavigne'!$K28)</f>
        <v/>
      </c>
      <c r="L228" s="134" t="str">
        <f aca="false">IF('Jamie Lavigne'!$B28="","",'Jamie Lavigne'!$L28)</f>
        <v/>
      </c>
      <c r="M228" s="132" t="str">
        <f aca="false">IF('Jamie Lavigne'!$B28="","",'Jamie Lavigne'!$M28)</f>
        <v/>
      </c>
      <c r="N228" s="132" t="str">
        <f aca="false">IF('Jamie Lavigne'!$B28="","",'Jamie Lavigne'!$N28)</f>
        <v/>
      </c>
      <c r="O228" s="134" t="str">
        <f aca="false">IF('Jamie Lavigne'!$B28="","",'Jamie Lavigne'!$O28)</f>
        <v/>
      </c>
      <c r="P228" s="132" t="str">
        <f aca="false">IF('Jamie Lavigne'!$B28="","",'Jamie Lavigne'!$P28)</f>
        <v/>
      </c>
      <c r="Q228" s="131" t="str">
        <f aca="false">IF('Jamie Lavigne'!$B28="","","Jamie Lavigne")</f>
        <v/>
      </c>
      <c r="R228" s="131" t="n">
        <f aca="true">IF(OR($B228="",$I228="Complete",$L228=""),0,IF($L228&lt;TODAY(),1,0))</f>
        <v>0</v>
      </c>
      <c r="S228" s="131" t="n">
        <f aca="true">IF(OR($B228="",$I228="Complete",$L228=""),0,IF(AND($L228&gt;=TODAY(),$L228&lt;=TODAY()+7),1,0))</f>
        <v>0</v>
      </c>
      <c r="T228" s="131" t="str">
        <f aca="true">IF(OR($B228="",$L228=""),"",$L228-TODAY())</f>
        <v/>
      </c>
      <c r="U228" s="135" t="str">
        <f aca="false">IF($B228="","",IF($I228="Complete",1,IF($J228="",0,$J228)))</f>
        <v/>
      </c>
      <c r="V228" s="131" t="n">
        <f aca="false">IF($B228="",0,IF($N228="",0,1))</f>
        <v>0</v>
      </c>
      <c r="W228" s="131" t="n">
        <f aca="false">IF($B228="",0,1)</f>
        <v>0</v>
      </c>
    </row>
    <row r="229" customFormat="false" ht="15" hidden="false" customHeight="false" outlineLevel="0" collapsed="false">
      <c r="A229" s="131" t="str">
        <f aca="false">IF('Jamie Lavigne'!$B29="","",'Jamie Lavigne'!$A29)</f>
        <v/>
      </c>
      <c r="B229" s="131" t="str">
        <f aca="false">IF('Jamie Lavigne'!$B29="","",'Jamie Lavigne'!$B29)</f>
        <v/>
      </c>
      <c r="C229" s="132" t="str">
        <f aca="false">IF('Jamie Lavigne'!$B29="","",'Jamie Lavigne'!$C29)</f>
        <v/>
      </c>
      <c r="D229" s="132" t="str">
        <f aca="false">IF('Jamie Lavigne'!$B29="","",'Jamie Lavigne'!$D29)</f>
        <v/>
      </c>
      <c r="E229" s="132" t="str">
        <f aca="false">IF('Jamie Lavigne'!$B29="","",'Jamie Lavigne'!$E29)</f>
        <v/>
      </c>
      <c r="F229" s="132" t="str">
        <f aca="false">IF('Jamie Lavigne'!$B29="","",'Jamie Lavigne'!$F29)</f>
        <v/>
      </c>
      <c r="G229" s="132" t="str">
        <f aca="false">IF('Jamie Lavigne'!$B29="","",'Jamie Lavigne'!$G29)</f>
        <v/>
      </c>
      <c r="H229" s="131" t="str">
        <f aca="false">IF('Jamie Lavigne'!$B29="","",'Jamie Lavigne'!$H29)</f>
        <v/>
      </c>
      <c r="I229" s="131" t="str">
        <f aca="false">IF('Jamie Lavigne'!$B29="","",'Jamie Lavigne'!$I29)</f>
        <v/>
      </c>
      <c r="J229" s="133" t="str">
        <f aca="false">IF('Jamie Lavigne'!$B29="","",'Jamie Lavigne'!$J29)</f>
        <v/>
      </c>
      <c r="K229" s="134" t="str">
        <f aca="false">IF('Jamie Lavigne'!$B29="","",'Jamie Lavigne'!$K29)</f>
        <v/>
      </c>
      <c r="L229" s="134" t="str">
        <f aca="false">IF('Jamie Lavigne'!$B29="","",'Jamie Lavigne'!$L29)</f>
        <v/>
      </c>
      <c r="M229" s="132" t="str">
        <f aca="false">IF('Jamie Lavigne'!$B29="","",'Jamie Lavigne'!$M29)</f>
        <v/>
      </c>
      <c r="N229" s="132" t="str">
        <f aca="false">IF('Jamie Lavigne'!$B29="","",'Jamie Lavigne'!$N29)</f>
        <v/>
      </c>
      <c r="O229" s="134" t="str">
        <f aca="false">IF('Jamie Lavigne'!$B29="","",'Jamie Lavigne'!$O29)</f>
        <v/>
      </c>
      <c r="P229" s="132" t="str">
        <f aca="false">IF('Jamie Lavigne'!$B29="","",'Jamie Lavigne'!$P29)</f>
        <v/>
      </c>
      <c r="Q229" s="131" t="str">
        <f aca="false">IF('Jamie Lavigne'!$B29="","","Jamie Lavigne")</f>
        <v/>
      </c>
      <c r="R229" s="131" t="n">
        <f aca="true">IF(OR($B229="",$I229="Complete",$L229=""),0,IF($L229&lt;TODAY(),1,0))</f>
        <v>0</v>
      </c>
      <c r="S229" s="131" t="n">
        <f aca="true">IF(OR($B229="",$I229="Complete",$L229=""),0,IF(AND($L229&gt;=TODAY(),$L229&lt;=TODAY()+7),1,0))</f>
        <v>0</v>
      </c>
      <c r="T229" s="131" t="str">
        <f aca="true">IF(OR($B229="",$L229=""),"",$L229-TODAY())</f>
        <v/>
      </c>
      <c r="U229" s="135" t="str">
        <f aca="false">IF($B229="","",IF($I229="Complete",1,IF($J229="",0,$J229)))</f>
        <v/>
      </c>
      <c r="V229" s="131" t="n">
        <f aca="false">IF($B229="",0,IF($N229="",0,1))</f>
        <v>0</v>
      </c>
      <c r="W229" s="131" t="n">
        <f aca="false">IF($B229="",0,1)</f>
        <v>0</v>
      </c>
    </row>
    <row r="230" customFormat="false" ht="15" hidden="false" customHeight="false" outlineLevel="0" collapsed="false">
      <c r="A230" s="131" t="str">
        <f aca="false">IF('Jamie Lavigne'!$B30="","",'Jamie Lavigne'!$A30)</f>
        <v/>
      </c>
      <c r="B230" s="131" t="str">
        <f aca="false">IF('Jamie Lavigne'!$B30="","",'Jamie Lavigne'!$B30)</f>
        <v/>
      </c>
      <c r="C230" s="132" t="str">
        <f aca="false">IF('Jamie Lavigne'!$B30="","",'Jamie Lavigne'!$C30)</f>
        <v/>
      </c>
      <c r="D230" s="132" t="str">
        <f aca="false">IF('Jamie Lavigne'!$B30="","",'Jamie Lavigne'!$D30)</f>
        <v/>
      </c>
      <c r="E230" s="132" t="str">
        <f aca="false">IF('Jamie Lavigne'!$B30="","",'Jamie Lavigne'!$E30)</f>
        <v/>
      </c>
      <c r="F230" s="132" t="str">
        <f aca="false">IF('Jamie Lavigne'!$B30="","",'Jamie Lavigne'!$F30)</f>
        <v/>
      </c>
      <c r="G230" s="132" t="str">
        <f aca="false">IF('Jamie Lavigne'!$B30="","",'Jamie Lavigne'!$G30)</f>
        <v/>
      </c>
      <c r="H230" s="131" t="str">
        <f aca="false">IF('Jamie Lavigne'!$B30="","",'Jamie Lavigne'!$H30)</f>
        <v/>
      </c>
      <c r="I230" s="131" t="str">
        <f aca="false">IF('Jamie Lavigne'!$B30="","",'Jamie Lavigne'!$I30)</f>
        <v/>
      </c>
      <c r="J230" s="133" t="str">
        <f aca="false">IF('Jamie Lavigne'!$B30="","",'Jamie Lavigne'!$J30)</f>
        <v/>
      </c>
      <c r="K230" s="134" t="str">
        <f aca="false">IF('Jamie Lavigne'!$B30="","",'Jamie Lavigne'!$K30)</f>
        <v/>
      </c>
      <c r="L230" s="134" t="str">
        <f aca="false">IF('Jamie Lavigne'!$B30="","",'Jamie Lavigne'!$L30)</f>
        <v/>
      </c>
      <c r="M230" s="132" t="str">
        <f aca="false">IF('Jamie Lavigne'!$B30="","",'Jamie Lavigne'!$M30)</f>
        <v/>
      </c>
      <c r="N230" s="132" t="str">
        <f aca="false">IF('Jamie Lavigne'!$B30="","",'Jamie Lavigne'!$N30)</f>
        <v/>
      </c>
      <c r="O230" s="134" t="str">
        <f aca="false">IF('Jamie Lavigne'!$B30="","",'Jamie Lavigne'!$O30)</f>
        <v/>
      </c>
      <c r="P230" s="132" t="str">
        <f aca="false">IF('Jamie Lavigne'!$B30="","",'Jamie Lavigne'!$P30)</f>
        <v/>
      </c>
      <c r="Q230" s="131" t="str">
        <f aca="false">IF('Jamie Lavigne'!$B30="","","Jamie Lavigne")</f>
        <v/>
      </c>
      <c r="R230" s="131" t="n">
        <f aca="true">IF(OR($B230="",$I230="Complete",$L230=""),0,IF($L230&lt;TODAY(),1,0))</f>
        <v>0</v>
      </c>
      <c r="S230" s="131" t="n">
        <f aca="true">IF(OR($B230="",$I230="Complete",$L230=""),0,IF(AND($L230&gt;=TODAY(),$L230&lt;=TODAY()+7),1,0))</f>
        <v>0</v>
      </c>
      <c r="T230" s="131" t="str">
        <f aca="true">IF(OR($B230="",$L230=""),"",$L230-TODAY())</f>
        <v/>
      </c>
      <c r="U230" s="135" t="str">
        <f aca="false">IF($B230="","",IF($I230="Complete",1,IF($J230="",0,$J230)))</f>
        <v/>
      </c>
      <c r="V230" s="131" t="n">
        <f aca="false">IF($B230="",0,IF($N230="",0,1))</f>
        <v>0</v>
      </c>
      <c r="W230" s="131" t="n">
        <f aca="false">IF($B230="",0,1)</f>
        <v>0</v>
      </c>
    </row>
    <row r="231" customFormat="false" ht="15" hidden="false" customHeight="false" outlineLevel="0" collapsed="false">
      <c r="A231" s="131" t="str">
        <f aca="false">IF('Jamie Lavigne'!$B31="","",'Jamie Lavigne'!$A31)</f>
        <v/>
      </c>
      <c r="B231" s="131" t="str">
        <f aca="false">IF('Jamie Lavigne'!$B31="","",'Jamie Lavigne'!$B31)</f>
        <v/>
      </c>
      <c r="C231" s="132" t="str">
        <f aca="false">IF('Jamie Lavigne'!$B31="","",'Jamie Lavigne'!$C31)</f>
        <v/>
      </c>
      <c r="D231" s="132" t="str">
        <f aca="false">IF('Jamie Lavigne'!$B31="","",'Jamie Lavigne'!$D31)</f>
        <v/>
      </c>
      <c r="E231" s="132" t="str">
        <f aca="false">IF('Jamie Lavigne'!$B31="","",'Jamie Lavigne'!$E31)</f>
        <v/>
      </c>
      <c r="F231" s="132" t="str">
        <f aca="false">IF('Jamie Lavigne'!$B31="","",'Jamie Lavigne'!$F31)</f>
        <v/>
      </c>
      <c r="G231" s="132" t="str">
        <f aca="false">IF('Jamie Lavigne'!$B31="","",'Jamie Lavigne'!$G31)</f>
        <v/>
      </c>
      <c r="H231" s="131" t="str">
        <f aca="false">IF('Jamie Lavigne'!$B31="","",'Jamie Lavigne'!$H31)</f>
        <v/>
      </c>
      <c r="I231" s="131" t="str">
        <f aca="false">IF('Jamie Lavigne'!$B31="","",'Jamie Lavigne'!$I31)</f>
        <v/>
      </c>
      <c r="J231" s="133" t="str">
        <f aca="false">IF('Jamie Lavigne'!$B31="","",'Jamie Lavigne'!$J31)</f>
        <v/>
      </c>
      <c r="K231" s="134" t="str">
        <f aca="false">IF('Jamie Lavigne'!$B31="","",'Jamie Lavigne'!$K31)</f>
        <v/>
      </c>
      <c r="L231" s="134" t="str">
        <f aca="false">IF('Jamie Lavigne'!$B31="","",'Jamie Lavigne'!$L31)</f>
        <v/>
      </c>
      <c r="M231" s="132" t="str">
        <f aca="false">IF('Jamie Lavigne'!$B31="","",'Jamie Lavigne'!$M31)</f>
        <v/>
      </c>
      <c r="N231" s="132" t="str">
        <f aca="false">IF('Jamie Lavigne'!$B31="","",'Jamie Lavigne'!$N31)</f>
        <v/>
      </c>
      <c r="O231" s="134" t="str">
        <f aca="false">IF('Jamie Lavigne'!$B31="","",'Jamie Lavigne'!$O31)</f>
        <v/>
      </c>
      <c r="P231" s="132" t="str">
        <f aca="false">IF('Jamie Lavigne'!$B31="","",'Jamie Lavigne'!$P31)</f>
        <v/>
      </c>
      <c r="Q231" s="131" t="str">
        <f aca="false">IF('Jamie Lavigne'!$B31="","","Jamie Lavigne")</f>
        <v/>
      </c>
      <c r="R231" s="131" t="n">
        <f aca="true">IF(OR($B231="",$I231="Complete",$L231=""),0,IF($L231&lt;TODAY(),1,0))</f>
        <v>0</v>
      </c>
      <c r="S231" s="131" t="n">
        <f aca="true">IF(OR($B231="",$I231="Complete",$L231=""),0,IF(AND($L231&gt;=TODAY(),$L231&lt;=TODAY()+7),1,0))</f>
        <v>0</v>
      </c>
      <c r="T231" s="131" t="str">
        <f aca="true">IF(OR($B231="",$L231=""),"",$L231-TODAY())</f>
        <v/>
      </c>
      <c r="U231" s="135" t="str">
        <f aca="false">IF($B231="","",IF($I231="Complete",1,IF($J231="",0,$J231)))</f>
        <v/>
      </c>
      <c r="V231" s="131" t="n">
        <f aca="false">IF($B231="",0,IF($N231="",0,1))</f>
        <v>0</v>
      </c>
      <c r="W231" s="131" t="n">
        <f aca="false">IF($B231="",0,1)</f>
        <v>0</v>
      </c>
    </row>
    <row r="232" customFormat="false" ht="15" hidden="false" customHeight="false" outlineLevel="0" collapsed="false">
      <c r="A232" s="131" t="str">
        <f aca="false">IF('Jamie Lavigne'!$B32="","",'Jamie Lavigne'!$A32)</f>
        <v/>
      </c>
      <c r="B232" s="131" t="str">
        <f aca="false">IF('Jamie Lavigne'!$B32="","",'Jamie Lavigne'!$B32)</f>
        <v/>
      </c>
      <c r="C232" s="132" t="str">
        <f aca="false">IF('Jamie Lavigne'!$B32="","",'Jamie Lavigne'!$C32)</f>
        <v/>
      </c>
      <c r="D232" s="132" t="str">
        <f aca="false">IF('Jamie Lavigne'!$B32="","",'Jamie Lavigne'!$D32)</f>
        <v/>
      </c>
      <c r="E232" s="132" t="str">
        <f aca="false">IF('Jamie Lavigne'!$B32="","",'Jamie Lavigne'!$E32)</f>
        <v/>
      </c>
      <c r="F232" s="132" t="str">
        <f aca="false">IF('Jamie Lavigne'!$B32="","",'Jamie Lavigne'!$F32)</f>
        <v/>
      </c>
      <c r="G232" s="132" t="str">
        <f aca="false">IF('Jamie Lavigne'!$B32="","",'Jamie Lavigne'!$G32)</f>
        <v/>
      </c>
      <c r="H232" s="131" t="str">
        <f aca="false">IF('Jamie Lavigne'!$B32="","",'Jamie Lavigne'!$H32)</f>
        <v/>
      </c>
      <c r="I232" s="131" t="str">
        <f aca="false">IF('Jamie Lavigne'!$B32="","",'Jamie Lavigne'!$I32)</f>
        <v/>
      </c>
      <c r="J232" s="133" t="str">
        <f aca="false">IF('Jamie Lavigne'!$B32="","",'Jamie Lavigne'!$J32)</f>
        <v/>
      </c>
      <c r="K232" s="134" t="str">
        <f aca="false">IF('Jamie Lavigne'!$B32="","",'Jamie Lavigne'!$K32)</f>
        <v/>
      </c>
      <c r="L232" s="134" t="str">
        <f aca="false">IF('Jamie Lavigne'!$B32="","",'Jamie Lavigne'!$L32)</f>
        <v/>
      </c>
      <c r="M232" s="132" t="str">
        <f aca="false">IF('Jamie Lavigne'!$B32="","",'Jamie Lavigne'!$M32)</f>
        <v/>
      </c>
      <c r="N232" s="132" t="str">
        <f aca="false">IF('Jamie Lavigne'!$B32="","",'Jamie Lavigne'!$N32)</f>
        <v/>
      </c>
      <c r="O232" s="134" t="str">
        <f aca="false">IF('Jamie Lavigne'!$B32="","",'Jamie Lavigne'!$O32)</f>
        <v/>
      </c>
      <c r="P232" s="132" t="str">
        <f aca="false">IF('Jamie Lavigne'!$B32="","",'Jamie Lavigne'!$P32)</f>
        <v/>
      </c>
      <c r="Q232" s="131" t="str">
        <f aca="false">IF('Jamie Lavigne'!$B32="","","Jamie Lavigne")</f>
        <v/>
      </c>
      <c r="R232" s="131" t="n">
        <f aca="true">IF(OR($B232="",$I232="Complete",$L232=""),0,IF($L232&lt;TODAY(),1,0))</f>
        <v>0</v>
      </c>
      <c r="S232" s="131" t="n">
        <f aca="true">IF(OR($B232="",$I232="Complete",$L232=""),0,IF(AND($L232&gt;=TODAY(),$L232&lt;=TODAY()+7),1,0))</f>
        <v>0</v>
      </c>
      <c r="T232" s="131" t="str">
        <f aca="true">IF(OR($B232="",$L232=""),"",$L232-TODAY())</f>
        <v/>
      </c>
      <c r="U232" s="135" t="str">
        <f aca="false">IF($B232="","",IF($I232="Complete",1,IF($J232="",0,$J232)))</f>
        <v/>
      </c>
      <c r="V232" s="131" t="n">
        <f aca="false">IF($B232="",0,IF($N232="",0,1))</f>
        <v>0</v>
      </c>
      <c r="W232" s="131" t="n">
        <f aca="false">IF($B232="",0,1)</f>
        <v>0</v>
      </c>
    </row>
    <row r="233" customFormat="false" ht="15" hidden="false" customHeight="false" outlineLevel="0" collapsed="false">
      <c r="A233" s="131" t="str">
        <f aca="false">IF('Jamie Lavigne'!$B33="","",'Jamie Lavigne'!$A33)</f>
        <v/>
      </c>
      <c r="B233" s="131" t="str">
        <f aca="false">IF('Jamie Lavigne'!$B33="","",'Jamie Lavigne'!$B33)</f>
        <v/>
      </c>
      <c r="C233" s="132" t="str">
        <f aca="false">IF('Jamie Lavigne'!$B33="","",'Jamie Lavigne'!$C33)</f>
        <v/>
      </c>
      <c r="D233" s="132" t="str">
        <f aca="false">IF('Jamie Lavigne'!$B33="","",'Jamie Lavigne'!$D33)</f>
        <v/>
      </c>
      <c r="E233" s="132" t="str">
        <f aca="false">IF('Jamie Lavigne'!$B33="","",'Jamie Lavigne'!$E33)</f>
        <v/>
      </c>
      <c r="F233" s="132" t="str">
        <f aca="false">IF('Jamie Lavigne'!$B33="","",'Jamie Lavigne'!$F33)</f>
        <v/>
      </c>
      <c r="G233" s="132" t="str">
        <f aca="false">IF('Jamie Lavigne'!$B33="","",'Jamie Lavigne'!$G33)</f>
        <v/>
      </c>
      <c r="H233" s="131" t="str">
        <f aca="false">IF('Jamie Lavigne'!$B33="","",'Jamie Lavigne'!$H33)</f>
        <v/>
      </c>
      <c r="I233" s="131" t="str">
        <f aca="false">IF('Jamie Lavigne'!$B33="","",'Jamie Lavigne'!$I33)</f>
        <v/>
      </c>
      <c r="J233" s="133" t="str">
        <f aca="false">IF('Jamie Lavigne'!$B33="","",'Jamie Lavigne'!$J33)</f>
        <v/>
      </c>
      <c r="K233" s="134" t="str">
        <f aca="false">IF('Jamie Lavigne'!$B33="","",'Jamie Lavigne'!$K33)</f>
        <v/>
      </c>
      <c r="L233" s="134" t="str">
        <f aca="false">IF('Jamie Lavigne'!$B33="","",'Jamie Lavigne'!$L33)</f>
        <v/>
      </c>
      <c r="M233" s="132" t="str">
        <f aca="false">IF('Jamie Lavigne'!$B33="","",'Jamie Lavigne'!$M33)</f>
        <v/>
      </c>
      <c r="N233" s="132" t="str">
        <f aca="false">IF('Jamie Lavigne'!$B33="","",'Jamie Lavigne'!$N33)</f>
        <v/>
      </c>
      <c r="O233" s="134" t="str">
        <f aca="false">IF('Jamie Lavigne'!$B33="","",'Jamie Lavigne'!$O33)</f>
        <v/>
      </c>
      <c r="P233" s="132" t="str">
        <f aca="false">IF('Jamie Lavigne'!$B33="","",'Jamie Lavigne'!$P33)</f>
        <v/>
      </c>
      <c r="Q233" s="131" t="str">
        <f aca="false">IF('Jamie Lavigne'!$B33="","","Jamie Lavigne")</f>
        <v/>
      </c>
      <c r="R233" s="131" t="n">
        <f aca="true">IF(OR($B233="",$I233="Complete",$L233=""),0,IF($L233&lt;TODAY(),1,0))</f>
        <v>0</v>
      </c>
      <c r="S233" s="131" t="n">
        <f aca="true">IF(OR($B233="",$I233="Complete",$L233=""),0,IF(AND($L233&gt;=TODAY(),$L233&lt;=TODAY()+7),1,0))</f>
        <v>0</v>
      </c>
      <c r="T233" s="131" t="str">
        <f aca="true">IF(OR($B233="",$L233=""),"",$L233-TODAY())</f>
        <v/>
      </c>
      <c r="U233" s="135" t="str">
        <f aca="false">IF($B233="","",IF($I233="Complete",1,IF($J233="",0,$J233)))</f>
        <v/>
      </c>
      <c r="V233" s="131" t="n">
        <f aca="false">IF($B233="",0,IF($N233="",0,1))</f>
        <v>0</v>
      </c>
      <c r="W233" s="131" t="n">
        <f aca="false">IF($B233="",0,1)</f>
        <v>0</v>
      </c>
    </row>
    <row r="234" customFormat="false" ht="15" hidden="false" customHeight="false" outlineLevel="0" collapsed="false">
      <c r="A234" s="131" t="str">
        <f aca="false">IF('Jamie Lavigne'!$B34="","",'Jamie Lavigne'!$A34)</f>
        <v/>
      </c>
      <c r="B234" s="131" t="str">
        <f aca="false">IF('Jamie Lavigne'!$B34="","",'Jamie Lavigne'!$B34)</f>
        <v/>
      </c>
      <c r="C234" s="132" t="str">
        <f aca="false">IF('Jamie Lavigne'!$B34="","",'Jamie Lavigne'!$C34)</f>
        <v/>
      </c>
      <c r="D234" s="132" t="str">
        <f aca="false">IF('Jamie Lavigne'!$B34="","",'Jamie Lavigne'!$D34)</f>
        <v/>
      </c>
      <c r="E234" s="132" t="str">
        <f aca="false">IF('Jamie Lavigne'!$B34="","",'Jamie Lavigne'!$E34)</f>
        <v/>
      </c>
      <c r="F234" s="132" t="str">
        <f aca="false">IF('Jamie Lavigne'!$B34="","",'Jamie Lavigne'!$F34)</f>
        <v/>
      </c>
      <c r="G234" s="132" t="str">
        <f aca="false">IF('Jamie Lavigne'!$B34="","",'Jamie Lavigne'!$G34)</f>
        <v/>
      </c>
      <c r="H234" s="131" t="str">
        <f aca="false">IF('Jamie Lavigne'!$B34="","",'Jamie Lavigne'!$H34)</f>
        <v/>
      </c>
      <c r="I234" s="131" t="str">
        <f aca="false">IF('Jamie Lavigne'!$B34="","",'Jamie Lavigne'!$I34)</f>
        <v/>
      </c>
      <c r="J234" s="133" t="str">
        <f aca="false">IF('Jamie Lavigne'!$B34="","",'Jamie Lavigne'!$J34)</f>
        <v/>
      </c>
      <c r="K234" s="134" t="str">
        <f aca="false">IF('Jamie Lavigne'!$B34="","",'Jamie Lavigne'!$K34)</f>
        <v/>
      </c>
      <c r="L234" s="134" t="str">
        <f aca="false">IF('Jamie Lavigne'!$B34="","",'Jamie Lavigne'!$L34)</f>
        <v/>
      </c>
      <c r="M234" s="132" t="str">
        <f aca="false">IF('Jamie Lavigne'!$B34="","",'Jamie Lavigne'!$M34)</f>
        <v/>
      </c>
      <c r="N234" s="132" t="str">
        <f aca="false">IF('Jamie Lavigne'!$B34="","",'Jamie Lavigne'!$N34)</f>
        <v/>
      </c>
      <c r="O234" s="134" t="str">
        <f aca="false">IF('Jamie Lavigne'!$B34="","",'Jamie Lavigne'!$O34)</f>
        <v/>
      </c>
      <c r="P234" s="132" t="str">
        <f aca="false">IF('Jamie Lavigne'!$B34="","",'Jamie Lavigne'!$P34)</f>
        <v/>
      </c>
      <c r="Q234" s="131" t="str">
        <f aca="false">IF('Jamie Lavigne'!$B34="","","Jamie Lavigne")</f>
        <v/>
      </c>
      <c r="R234" s="131" t="n">
        <f aca="true">IF(OR($B234="",$I234="Complete",$L234=""),0,IF($L234&lt;TODAY(),1,0))</f>
        <v>0</v>
      </c>
      <c r="S234" s="131" t="n">
        <f aca="true">IF(OR($B234="",$I234="Complete",$L234=""),0,IF(AND($L234&gt;=TODAY(),$L234&lt;=TODAY()+7),1,0))</f>
        <v>0</v>
      </c>
      <c r="T234" s="131" t="str">
        <f aca="true">IF(OR($B234="",$L234=""),"",$L234-TODAY())</f>
        <v/>
      </c>
      <c r="U234" s="135" t="str">
        <f aca="false">IF($B234="","",IF($I234="Complete",1,IF($J234="",0,$J234)))</f>
        <v/>
      </c>
      <c r="V234" s="131" t="n">
        <f aca="false">IF($B234="",0,IF($N234="",0,1))</f>
        <v>0</v>
      </c>
      <c r="W234" s="131" t="n">
        <f aca="false">IF($B234="",0,1)</f>
        <v>0</v>
      </c>
    </row>
    <row r="235" customFormat="false" ht="15" hidden="false" customHeight="false" outlineLevel="0" collapsed="false">
      <c r="A235" s="131" t="str">
        <f aca="false">IF('Jamie Lavigne'!$B35="","",'Jamie Lavigne'!$A35)</f>
        <v/>
      </c>
      <c r="B235" s="131" t="str">
        <f aca="false">IF('Jamie Lavigne'!$B35="","",'Jamie Lavigne'!$B35)</f>
        <v/>
      </c>
      <c r="C235" s="132" t="str">
        <f aca="false">IF('Jamie Lavigne'!$B35="","",'Jamie Lavigne'!$C35)</f>
        <v/>
      </c>
      <c r="D235" s="132" t="str">
        <f aca="false">IF('Jamie Lavigne'!$B35="","",'Jamie Lavigne'!$D35)</f>
        <v/>
      </c>
      <c r="E235" s="132" t="str">
        <f aca="false">IF('Jamie Lavigne'!$B35="","",'Jamie Lavigne'!$E35)</f>
        <v/>
      </c>
      <c r="F235" s="132" t="str">
        <f aca="false">IF('Jamie Lavigne'!$B35="","",'Jamie Lavigne'!$F35)</f>
        <v/>
      </c>
      <c r="G235" s="132" t="str">
        <f aca="false">IF('Jamie Lavigne'!$B35="","",'Jamie Lavigne'!$G35)</f>
        <v/>
      </c>
      <c r="H235" s="131" t="str">
        <f aca="false">IF('Jamie Lavigne'!$B35="","",'Jamie Lavigne'!$H35)</f>
        <v/>
      </c>
      <c r="I235" s="131" t="str">
        <f aca="false">IF('Jamie Lavigne'!$B35="","",'Jamie Lavigne'!$I35)</f>
        <v/>
      </c>
      <c r="J235" s="133" t="str">
        <f aca="false">IF('Jamie Lavigne'!$B35="","",'Jamie Lavigne'!$J35)</f>
        <v/>
      </c>
      <c r="K235" s="134" t="str">
        <f aca="false">IF('Jamie Lavigne'!$B35="","",'Jamie Lavigne'!$K35)</f>
        <v/>
      </c>
      <c r="L235" s="134" t="str">
        <f aca="false">IF('Jamie Lavigne'!$B35="","",'Jamie Lavigne'!$L35)</f>
        <v/>
      </c>
      <c r="M235" s="132" t="str">
        <f aca="false">IF('Jamie Lavigne'!$B35="","",'Jamie Lavigne'!$M35)</f>
        <v/>
      </c>
      <c r="N235" s="132" t="str">
        <f aca="false">IF('Jamie Lavigne'!$B35="","",'Jamie Lavigne'!$N35)</f>
        <v/>
      </c>
      <c r="O235" s="134" t="str">
        <f aca="false">IF('Jamie Lavigne'!$B35="","",'Jamie Lavigne'!$O35)</f>
        <v/>
      </c>
      <c r="P235" s="132" t="str">
        <f aca="false">IF('Jamie Lavigne'!$B35="","",'Jamie Lavigne'!$P35)</f>
        <v/>
      </c>
      <c r="Q235" s="131" t="str">
        <f aca="false">IF('Jamie Lavigne'!$B35="","","Jamie Lavigne")</f>
        <v/>
      </c>
      <c r="R235" s="131" t="n">
        <f aca="true">IF(OR($B235="",$I235="Complete",$L235=""),0,IF($L235&lt;TODAY(),1,0))</f>
        <v>0</v>
      </c>
      <c r="S235" s="131" t="n">
        <f aca="true">IF(OR($B235="",$I235="Complete",$L235=""),0,IF(AND($L235&gt;=TODAY(),$L235&lt;=TODAY()+7),1,0))</f>
        <v>0</v>
      </c>
      <c r="T235" s="131" t="str">
        <f aca="true">IF(OR($B235="",$L235=""),"",$L235-TODAY())</f>
        <v/>
      </c>
      <c r="U235" s="135" t="str">
        <f aca="false">IF($B235="","",IF($I235="Complete",1,IF($J235="",0,$J235)))</f>
        <v/>
      </c>
      <c r="V235" s="131" t="n">
        <f aca="false">IF($B235="",0,IF($N235="",0,1))</f>
        <v>0</v>
      </c>
      <c r="W235" s="131" t="n">
        <f aca="false">IF($B235="",0,1)</f>
        <v>0</v>
      </c>
    </row>
    <row r="236" customFormat="false" ht="15" hidden="false" customHeight="false" outlineLevel="0" collapsed="false">
      <c r="A236" s="131" t="str">
        <f aca="false">IF('Jamie Lavigne'!$B36="","",'Jamie Lavigne'!$A36)</f>
        <v/>
      </c>
      <c r="B236" s="131" t="str">
        <f aca="false">IF('Jamie Lavigne'!$B36="","",'Jamie Lavigne'!$B36)</f>
        <v/>
      </c>
      <c r="C236" s="132" t="str">
        <f aca="false">IF('Jamie Lavigne'!$B36="","",'Jamie Lavigne'!$C36)</f>
        <v/>
      </c>
      <c r="D236" s="132" t="str">
        <f aca="false">IF('Jamie Lavigne'!$B36="","",'Jamie Lavigne'!$D36)</f>
        <v/>
      </c>
      <c r="E236" s="132" t="str">
        <f aca="false">IF('Jamie Lavigne'!$B36="","",'Jamie Lavigne'!$E36)</f>
        <v/>
      </c>
      <c r="F236" s="132" t="str">
        <f aca="false">IF('Jamie Lavigne'!$B36="","",'Jamie Lavigne'!$F36)</f>
        <v/>
      </c>
      <c r="G236" s="132" t="str">
        <f aca="false">IF('Jamie Lavigne'!$B36="","",'Jamie Lavigne'!$G36)</f>
        <v/>
      </c>
      <c r="H236" s="131" t="str">
        <f aca="false">IF('Jamie Lavigne'!$B36="","",'Jamie Lavigne'!$H36)</f>
        <v/>
      </c>
      <c r="I236" s="131" t="str">
        <f aca="false">IF('Jamie Lavigne'!$B36="","",'Jamie Lavigne'!$I36)</f>
        <v/>
      </c>
      <c r="J236" s="133" t="str">
        <f aca="false">IF('Jamie Lavigne'!$B36="","",'Jamie Lavigne'!$J36)</f>
        <v/>
      </c>
      <c r="K236" s="134" t="str">
        <f aca="false">IF('Jamie Lavigne'!$B36="","",'Jamie Lavigne'!$K36)</f>
        <v/>
      </c>
      <c r="L236" s="134" t="str">
        <f aca="false">IF('Jamie Lavigne'!$B36="","",'Jamie Lavigne'!$L36)</f>
        <v/>
      </c>
      <c r="M236" s="132" t="str">
        <f aca="false">IF('Jamie Lavigne'!$B36="","",'Jamie Lavigne'!$M36)</f>
        <v/>
      </c>
      <c r="N236" s="132" t="str">
        <f aca="false">IF('Jamie Lavigne'!$B36="","",'Jamie Lavigne'!$N36)</f>
        <v/>
      </c>
      <c r="O236" s="134" t="str">
        <f aca="false">IF('Jamie Lavigne'!$B36="","",'Jamie Lavigne'!$O36)</f>
        <v/>
      </c>
      <c r="P236" s="132" t="str">
        <f aca="false">IF('Jamie Lavigne'!$B36="","",'Jamie Lavigne'!$P36)</f>
        <v/>
      </c>
      <c r="Q236" s="131" t="str">
        <f aca="false">IF('Jamie Lavigne'!$B36="","","Jamie Lavigne")</f>
        <v/>
      </c>
      <c r="R236" s="131" t="n">
        <f aca="true">IF(OR($B236="",$I236="Complete",$L236=""),0,IF($L236&lt;TODAY(),1,0))</f>
        <v>0</v>
      </c>
      <c r="S236" s="131" t="n">
        <f aca="true">IF(OR($B236="",$I236="Complete",$L236=""),0,IF(AND($L236&gt;=TODAY(),$L236&lt;=TODAY()+7),1,0))</f>
        <v>0</v>
      </c>
      <c r="T236" s="131" t="str">
        <f aca="true">IF(OR($B236="",$L236=""),"",$L236-TODAY())</f>
        <v/>
      </c>
      <c r="U236" s="135" t="str">
        <f aca="false">IF($B236="","",IF($I236="Complete",1,IF($J236="",0,$J236)))</f>
        <v/>
      </c>
      <c r="V236" s="131" t="n">
        <f aca="false">IF($B236="",0,IF($N236="",0,1))</f>
        <v>0</v>
      </c>
      <c r="W236" s="131" t="n">
        <f aca="false">IF($B236="",0,1)</f>
        <v>0</v>
      </c>
    </row>
    <row r="237" customFormat="false" ht="15" hidden="false" customHeight="false" outlineLevel="0" collapsed="false">
      <c r="A237" s="131" t="str">
        <f aca="false">IF('Jamie Lavigne'!$B37="","",'Jamie Lavigne'!$A37)</f>
        <v/>
      </c>
      <c r="B237" s="131" t="str">
        <f aca="false">IF('Jamie Lavigne'!$B37="","",'Jamie Lavigne'!$B37)</f>
        <v/>
      </c>
      <c r="C237" s="132" t="str">
        <f aca="false">IF('Jamie Lavigne'!$B37="","",'Jamie Lavigne'!$C37)</f>
        <v/>
      </c>
      <c r="D237" s="132" t="str">
        <f aca="false">IF('Jamie Lavigne'!$B37="","",'Jamie Lavigne'!$D37)</f>
        <v/>
      </c>
      <c r="E237" s="132" t="str">
        <f aca="false">IF('Jamie Lavigne'!$B37="","",'Jamie Lavigne'!$E37)</f>
        <v/>
      </c>
      <c r="F237" s="132" t="str">
        <f aca="false">IF('Jamie Lavigne'!$B37="","",'Jamie Lavigne'!$F37)</f>
        <v/>
      </c>
      <c r="G237" s="132" t="str">
        <f aca="false">IF('Jamie Lavigne'!$B37="","",'Jamie Lavigne'!$G37)</f>
        <v/>
      </c>
      <c r="H237" s="131" t="str">
        <f aca="false">IF('Jamie Lavigne'!$B37="","",'Jamie Lavigne'!$H37)</f>
        <v/>
      </c>
      <c r="I237" s="131" t="str">
        <f aca="false">IF('Jamie Lavigne'!$B37="","",'Jamie Lavigne'!$I37)</f>
        <v/>
      </c>
      <c r="J237" s="133" t="str">
        <f aca="false">IF('Jamie Lavigne'!$B37="","",'Jamie Lavigne'!$J37)</f>
        <v/>
      </c>
      <c r="K237" s="134" t="str">
        <f aca="false">IF('Jamie Lavigne'!$B37="","",'Jamie Lavigne'!$K37)</f>
        <v/>
      </c>
      <c r="L237" s="134" t="str">
        <f aca="false">IF('Jamie Lavigne'!$B37="","",'Jamie Lavigne'!$L37)</f>
        <v/>
      </c>
      <c r="M237" s="132" t="str">
        <f aca="false">IF('Jamie Lavigne'!$B37="","",'Jamie Lavigne'!$M37)</f>
        <v/>
      </c>
      <c r="N237" s="132" t="str">
        <f aca="false">IF('Jamie Lavigne'!$B37="","",'Jamie Lavigne'!$N37)</f>
        <v/>
      </c>
      <c r="O237" s="134" t="str">
        <f aca="false">IF('Jamie Lavigne'!$B37="","",'Jamie Lavigne'!$O37)</f>
        <v/>
      </c>
      <c r="P237" s="132" t="str">
        <f aca="false">IF('Jamie Lavigne'!$B37="","",'Jamie Lavigne'!$P37)</f>
        <v/>
      </c>
      <c r="Q237" s="131" t="str">
        <f aca="false">IF('Jamie Lavigne'!$B37="","","Jamie Lavigne")</f>
        <v/>
      </c>
      <c r="R237" s="131" t="n">
        <f aca="true">IF(OR($B237="",$I237="Complete",$L237=""),0,IF($L237&lt;TODAY(),1,0))</f>
        <v>0</v>
      </c>
      <c r="S237" s="131" t="n">
        <f aca="true">IF(OR($B237="",$I237="Complete",$L237=""),0,IF(AND($L237&gt;=TODAY(),$L237&lt;=TODAY()+7),1,0))</f>
        <v>0</v>
      </c>
      <c r="T237" s="131" t="str">
        <f aca="true">IF(OR($B237="",$L237=""),"",$L237-TODAY())</f>
        <v/>
      </c>
      <c r="U237" s="135" t="str">
        <f aca="false">IF($B237="","",IF($I237="Complete",1,IF($J237="",0,$J237)))</f>
        <v/>
      </c>
      <c r="V237" s="131" t="n">
        <f aca="false">IF($B237="",0,IF($N237="",0,1))</f>
        <v>0</v>
      </c>
      <c r="W237" s="131" t="n">
        <f aca="false">IF($B237="",0,1)</f>
        <v>0</v>
      </c>
    </row>
    <row r="238" customFormat="false" ht="15" hidden="false" customHeight="false" outlineLevel="0" collapsed="false">
      <c r="A238" s="131" t="str">
        <f aca="false">IF('Jamie Lavigne'!$B38="","",'Jamie Lavigne'!$A38)</f>
        <v/>
      </c>
      <c r="B238" s="131" t="str">
        <f aca="false">IF('Jamie Lavigne'!$B38="","",'Jamie Lavigne'!$B38)</f>
        <v/>
      </c>
      <c r="C238" s="132" t="str">
        <f aca="false">IF('Jamie Lavigne'!$B38="","",'Jamie Lavigne'!$C38)</f>
        <v/>
      </c>
      <c r="D238" s="132" t="str">
        <f aca="false">IF('Jamie Lavigne'!$B38="","",'Jamie Lavigne'!$D38)</f>
        <v/>
      </c>
      <c r="E238" s="132" t="str">
        <f aca="false">IF('Jamie Lavigne'!$B38="","",'Jamie Lavigne'!$E38)</f>
        <v/>
      </c>
      <c r="F238" s="132" t="str">
        <f aca="false">IF('Jamie Lavigne'!$B38="","",'Jamie Lavigne'!$F38)</f>
        <v/>
      </c>
      <c r="G238" s="132" t="str">
        <f aca="false">IF('Jamie Lavigne'!$B38="","",'Jamie Lavigne'!$G38)</f>
        <v/>
      </c>
      <c r="H238" s="131" t="str">
        <f aca="false">IF('Jamie Lavigne'!$B38="","",'Jamie Lavigne'!$H38)</f>
        <v/>
      </c>
      <c r="I238" s="131" t="str">
        <f aca="false">IF('Jamie Lavigne'!$B38="","",'Jamie Lavigne'!$I38)</f>
        <v/>
      </c>
      <c r="J238" s="133" t="str">
        <f aca="false">IF('Jamie Lavigne'!$B38="","",'Jamie Lavigne'!$J38)</f>
        <v/>
      </c>
      <c r="K238" s="134" t="str">
        <f aca="false">IF('Jamie Lavigne'!$B38="","",'Jamie Lavigne'!$K38)</f>
        <v/>
      </c>
      <c r="L238" s="134" t="str">
        <f aca="false">IF('Jamie Lavigne'!$B38="","",'Jamie Lavigne'!$L38)</f>
        <v/>
      </c>
      <c r="M238" s="132" t="str">
        <f aca="false">IF('Jamie Lavigne'!$B38="","",'Jamie Lavigne'!$M38)</f>
        <v/>
      </c>
      <c r="N238" s="132" t="str">
        <f aca="false">IF('Jamie Lavigne'!$B38="","",'Jamie Lavigne'!$N38)</f>
        <v/>
      </c>
      <c r="O238" s="134" t="str">
        <f aca="false">IF('Jamie Lavigne'!$B38="","",'Jamie Lavigne'!$O38)</f>
        <v/>
      </c>
      <c r="P238" s="132" t="str">
        <f aca="false">IF('Jamie Lavigne'!$B38="","",'Jamie Lavigne'!$P38)</f>
        <v/>
      </c>
      <c r="Q238" s="131" t="str">
        <f aca="false">IF('Jamie Lavigne'!$B38="","","Jamie Lavigne")</f>
        <v/>
      </c>
      <c r="R238" s="131" t="n">
        <f aca="true">IF(OR($B238="",$I238="Complete",$L238=""),0,IF($L238&lt;TODAY(),1,0))</f>
        <v>0</v>
      </c>
      <c r="S238" s="131" t="n">
        <f aca="true">IF(OR($B238="",$I238="Complete",$L238=""),0,IF(AND($L238&gt;=TODAY(),$L238&lt;=TODAY()+7),1,0))</f>
        <v>0</v>
      </c>
      <c r="T238" s="131" t="str">
        <f aca="true">IF(OR($B238="",$L238=""),"",$L238-TODAY())</f>
        <v/>
      </c>
      <c r="U238" s="135" t="str">
        <f aca="false">IF($B238="","",IF($I238="Complete",1,IF($J238="",0,$J238)))</f>
        <v/>
      </c>
      <c r="V238" s="131" t="n">
        <f aca="false">IF($B238="",0,IF($N238="",0,1))</f>
        <v>0</v>
      </c>
      <c r="W238" s="131" t="n">
        <f aca="false">IF($B238="",0,1)</f>
        <v>0</v>
      </c>
    </row>
    <row r="239" customFormat="false" ht="15" hidden="false" customHeight="false" outlineLevel="0" collapsed="false">
      <c r="A239" s="131" t="str">
        <f aca="false">IF('Jamie Lavigne'!$B39="","",'Jamie Lavigne'!$A39)</f>
        <v/>
      </c>
      <c r="B239" s="131" t="str">
        <f aca="false">IF('Jamie Lavigne'!$B39="","",'Jamie Lavigne'!$B39)</f>
        <v/>
      </c>
      <c r="C239" s="132" t="str">
        <f aca="false">IF('Jamie Lavigne'!$B39="","",'Jamie Lavigne'!$C39)</f>
        <v/>
      </c>
      <c r="D239" s="132" t="str">
        <f aca="false">IF('Jamie Lavigne'!$B39="","",'Jamie Lavigne'!$D39)</f>
        <v/>
      </c>
      <c r="E239" s="132" t="str">
        <f aca="false">IF('Jamie Lavigne'!$B39="","",'Jamie Lavigne'!$E39)</f>
        <v/>
      </c>
      <c r="F239" s="132" t="str">
        <f aca="false">IF('Jamie Lavigne'!$B39="","",'Jamie Lavigne'!$F39)</f>
        <v/>
      </c>
      <c r="G239" s="132" t="str">
        <f aca="false">IF('Jamie Lavigne'!$B39="","",'Jamie Lavigne'!$G39)</f>
        <v/>
      </c>
      <c r="H239" s="131" t="str">
        <f aca="false">IF('Jamie Lavigne'!$B39="","",'Jamie Lavigne'!$H39)</f>
        <v/>
      </c>
      <c r="I239" s="131" t="str">
        <f aca="false">IF('Jamie Lavigne'!$B39="","",'Jamie Lavigne'!$I39)</f>
        <v/>
      </c>
      <c r="J239" s="133" t="str">
        <f aca="false">IF('Jamie Lavigne'!$B39="","",'Jamie Lavigne'!$J39)</f>
        <v/>
      </c>
      <c r="K239" s="134" t="str">
        <f aca="false">IF('Jamie Lavigne'!$B39="","",'Jamie Lavigne'!$K39)</f>
        <v/>
      </c>
      <c r="L239" s="134" t="str">
        <f aca="false">IF('Jamie Lavigne'!$B39="","",'Jamie Lavigne'!$L39)</f>
        <v/>
      </c>
      <c r="M239" s="132" t="str">
        <f aca="false">IF('Jamie Lavigne'!$B39="","",'Jamie Lavigne'!$M39)</f>
        <v/>
      </c>
      <c r="N239" s="132" t="str">
        <f aca="false">IF('Jamie Lavigne'!$B39="","",'Jamie Lavigne'!$N39)</f>
        <v/>
      </c>
      <c r="O239" s="134" t="str">
        <f aca="false">IF('Jamie Lavigne'!$B39="","",'Jamie Lavigne'!$O39)</f>
        <v/>
      </c>
      <c r="P239" s="132" t="str">
        <f aca="false">IF('Jamie Lavigne'!$B39="","",'Jamie Lavigne'!$P39)</f>
        <v/>
      </c>
      <c r="Q239" s="131" t="str">
        <f aca="false">IF('Jamie Lavigne'!$B39="","","Jamie Lavigne")</f>
        <v/>
      </c>
      <c r="R239" s="131" t="n">
        <f aca="true">IF(OR($B239="",$I239="Complete",$L239=""),0,IF($L239&lt;TODAY(),1,0))</f>
        <v>0</v>
      </c>
      <c r="S239" s="131" t="n">
        <f aca="true">IF(OR($B239="",$I239="Complete",$L239=""),0,IF(AND($L239&gt;=TODAY(),$L239&lt;=TODAY()+7),1,0))</f>
        <v>0</v>
      </c>
      <c r="T239" s="131" t="str">
        <f aca="true">IF(OR($B239="",$L239=""),"",$L239-TODAY())</f>
        <v/>
      </c>
      <c r="U239" s="135" t="str">
        <f aca="false">IF($B239="","",IF($I239="Complete",1,IF($J239="",0,$J239)))</f>
        <v/>
      </c>
      <c r="V239" s="131" t="n">
        <f aca="false">IF($B239="",0,IF($N239="",0,1))</f>
        <v>0</v>
      </c>
      <c r="W239" s="131" t="n">
        <f aca="false">IF($B239="",0,1)</f>
        <v>0</v>
      </c>
    </row>
    <row r="240" customFormat="false" ht="15" hidden="false" customHeight="false" outlineLevel="0" collapsed="false">
      <c r="A240" s="131" t="str">
        <f aca="false">IF('Jamie Lavigne'!$B40="","",'Jamie Lavigne'!$A40)</f>
        <v/>
      </c>
      <c r="B240" s="131" t="str">
        <f aca="false">IF('Jamie Lavigne'!$B40="","",'Jamie Lavigne'!$B40)</f>
        <v/>
      </c>
      <c r="C240" s="132" t="str">
        <f aca="false">IF('Jamie Lavigne'!$B40="","",'Jamie Lavigne'!$C40)</f>
        <v/>
      </c>
      <c r="D240" s="132" t="str">
        <f aca="false">IF('Jamie Lavigne'!$B40="","",'Jamie Lavigne'!$D40)</f>
        <v/>
      </c>
      <c r="E240" s="132" t="str">
        <f aca="false">IF('Jamie Lavigne'!$B40="","",'Jamie Lavigne'!$E40)</f>
        <v/>
      </c>
      <c r="F240" s="132" t="str">
        <f aca="false">IF('Jamie Lavigne'!$B40="","",'Jamie Lavigne'!$F40)</f>
        <v/>
      </c>
      <c r="G240" s="132" t="str">
        <f aca="false">IF('Jamie Lavigne'!$B40="","",'Jamie Lavigne'!$G40)</f>
        <v/>
      </c>
      <c r="H240" s="131" t="str">
        <f aca="false">IF('Jamie Lavigne'!$B40="","",'Jamie Lavigne'!$H40)</f>
        <v/>
      </c>
      <c r="I240" s="131" t="str">
        <f aca="false">IF('Jamie Lavigne'!$B40="","",'Jamie Lavigne'!$I40)</f>
        <v/>
      </c>
      <c r="J240" s="133" t="str">
        <f aca="false">IF('Jamie Lavigne'!$B40="","",'Jamie Lavigne'!$J40)</f>
        <v/>
      </c>
      <c r="K240" s="134" t="str">
        <f aca="false">IF('Jamie Lavigne'!$B40="","",'Jamie Lavigne'!$K40)</f>
        <v/>
      </c>
      <c r="L240" s="134" t="str">
        <f aca="false">IF('Jamie Lavigne'!$B40="","",'Jamie Lavigne'!$L40)</f>
        <v/>
      </c>
      <c r="M240" s="132" t="str">
        <f aca="false">IF('Jamie Lavigne'!$B40="","",'Jamie Lavigne'!$M40)</f>
        <v/>
      </c>
      <c r="N240" s="132" t="str">
        <f aca="false">IF('Jamie Lavigne'!$B40="","",'Jamie Lavigne'!$N40)</f>
        <v/>
      </c>
      <c r="O240" s="134" t="str">
        <f aca="false">IF('Jamie Lavigne'!$B40="","",'Jamie Lavigne'!$O40)</f>
        <v/>
      </c>
      <c r="P240" s="132" t="str">
        <f aca="false">IF('Jamie Lavigne'!$B40="","",'Jamie Lavigne'!$P40)</f>
        <v/>
      </c>
      <c r="Q240" s="131" t="str">
        <f aca="false">IF('Jamie Lavigne'!$B40="","","Jamie Lavigne")</f>
        <v/>
      </c>
      <c r="R240" s="131" t="n">
        <f aca="true">IF(OR($B240="",$I240="Complete",$L240=""),0,IF($L240&lt;TODAY(),1,0))</f>
        <v>0</v>
      </c>
      <c r="S240" s="131" t="n">
        <f aca="true">IF(OR($B240="",$I240="Complete",$L240=""),0,IF(AND($L240&gt;=TODAY(),$L240&lt;=TODAY()+7),1,0))</f>
        <v>0</v>
      </c>
      <c r="T240" s="131" t="str">
        <f aca="true">IF(OR($B240="",$L240=""),"",$L240-TODAY())</f>
        <v/>
      </c>
      <c r="U240" s="135" t="str">
        <f aca="false">IF($B240="","",IF($I240="Complete",1,IF($J240="",0,$J240)))</f>
        <v/>
      </c>
      <c r="V240" s="131" t="n">
        <f aca="false">IF($B240="",0,IF($N240="",0,1))</f>
        <v>0</v>
      </c>
      <c r="W240" s="131" t="n">
        <f aca="false">IF($B240="",0,1)</f>
        <v>0</v>
      </c>
    </row>
    <row r="241" customFormat="false" ht="15" hidden="false" customHeight="false" outlineLevel="0" collapsed="false">
      <c r="A241" s="131" t="str">
        <f aca="false">IF('Jamie Lavigne'!$B41="","",'Jamie Lavigne'!$A41)</f>
        <v/>
      </c>
      <c r="B241" s="131" t="str">
        <f aca="false">IF('Jamie Lavigne'!$B41="","",'Jamie Lavigne'!$B41)</f>
        <v/>
      </c>
      <c r="C241" s="132" t="str">
        <f aca="false">IF('Jamie Lavigne'!$B41="","",'Jamie Lavigne'!$C41)</f>
        <v/>
      </c>
      <c r="D241" s="132" t="str">
        <f aca="false">IF('Jamie Lavigne'!$B41="","",'Jamie Lavigne'!$D41)</f>
        <v/>
      </c>
      <c r="E241" s="132" t="str">
        <f aca="false">IF('Jamie Lavigne'!$B41="","",'Jamie Lavigne'!$E41)</f>
        <v/>
      </c>
      <c r="F241" s="132" t="str">
        <f aca="false">IF('Jamie Lavigne'!$B41="","",'Jamie Lavigne'!$F41)</f>
        <v/>
      </c>
      <c r="G241" s="132" t="str">
        <f aca="false">IF('Jamie Lavigne'!$B41="","",'Jamie Lavigne'!$G41)</f>
        <v/>
      </c>
      <c r="H241" s="131" t="str">
        <f aca="false">IF('Jamie Lavigne'!$B41="","",'Jamie Lavigne'!$H41)</f>
        <v/>
      </c>
      <c r="I241" s="131" t="str">
        <f aca="false">IF('Jamie Lavigne'!$B41="","",'Jamie Lavigne'!$I41)</f>
        <v/>
      </c>
      <c r="J241" s="133" t="str">
        <f aca="false">IF('Jamie Lavigne'!$B41="","",'Jamie Lavigne'!$J41)</f>
        <v/>
      </c>
      <c r="K241" s="134" t="str">
        <f aca="false">IF('Jamie Lavigne'!$B41="","",'Jamie Lavigne'!$K41)</f>
        <v/>
      </c>
      <c r="L241" s="134" t="str">
        <f aca="false">IF('Jamie Lavigne'!$B41="","",'Jamie Lavigne'!$L41)</f>
        <v/>
      </c>
      <c r="M241" s="132" t="str">
        <f aca="false">IF('Jamie Lavigne'!$B41="","",'Jamie Lavigne'!$M41)</f>
        <v/>
      </c>
      <c r="N241" s="132" t="str">
        <f aca="false">IF('Jamie Lavigne'!$B41="","",'Jamie Lavigne'!$N41)</f>
        <v/>
      </c>
      <c r="O241" s="134" t="str">
        <f aca="false">IF('Jamie Lavigne'!$B41="","",'Jamie Lavigne'!$O41)</f>
        <v/>
      </c>
      <c r="P241" s="132" t="str">
        <f aca="false">IF('Jamie Lavigne'!$B41="","",'Jamie Lavigne'!$P41)</f>
        <v/>
      </c>
      <c r="Q241" s="131" t="str">
        <f aca="false">IF('Jamie Lavigne'!$B41="","","Jamie Lavigne")</f>
        <v/>
      </c>
      <c r="R241" s="131" t="n">
        <f aca="true">IF(OR($B241="",$I241="Complete",$L241=""),0,IF($L241&lt;TODAY(),1,0))</f>
        <v>0</v>
      </c>
      <c r="S241" s="131" t="n">
        <f aca="true">IF(OR($B241="",$I241="Complete",$L241=""),0,IF(AND($L241&gt;=TODAY(),$L241&lt;=TODAY()+7),1,0))</f>
        <v>0</v>
      </c>
      <c r="T241" s="131" t="str">
        <f aca="true">IF(OR($B241="",$L241=""),"",$L241-TODAY())</f>
        <v/>
      </c>
      <c r="U241" s="135" t="str">
        <f aca="false">IF($B241="","",IF($I241="Complete",1,IF($J241="",0,$J241)))</f>
        <v/>
      </c>
      <c r="V241" s="131" t="n">
        <f aca="false">IF($B241="",0,IF($N241="",0,1))</f>
        <v>0</v>
      </c>
      <c r="W241" s="131" t="n">
        <f aca="false">IF($B241="",0,1)</f>
        <v>0</v>
      </c>
    </row>
    <row r="242" customFormat="false" ht="15" hidden="false" customHeight="false" outlineLevel="0" collapsed="false">
      <c r="A242" s="131" t="str">
        <f aca="false">IF('Jamie Lavigne'!$B42="","",'Jamie Lavigne'!$A42)</f>
        <v/>
      </c>
      <c r="B242" s="131" t="str">
        <f aca="false">IF('Jamie Lavigne'!$B42="","",'Jamie Lavigne'!$B42)</f>
        <v/>
      </c>
      <c r="C242" s="132" t="str">
        <f aca="false">IF('Jamie Lavigne'!$B42="","",'Jamie Lavigne'!$C42)</f>
        <v/>
      </c>
      <c r="D242" s="132" t="str">
        <f aca="false">IF('Jamie Lavigne'!$B42="","",'Jamie Lavigne'!$D42)</f>
        <v/>
      </c>
      <c r="E242" s="132" t="str">
        <f aca="false">IF('Jamie Lavigne'!$B42="","",'Jamie Lavigne'!$E42)</f>
        <v/>
      </c>
      <c r="F242" s="132" t="str">
        <f aca="false">IF('Jamie Lavigne'!$B42="","",'Jamie Lavigne'!$F42)</f>
        <v/>
      </c>
      <c r="G242" s="132" t="str">
        <f aca="false">IF('Jamie Lavigne'!$B42="","",'Jamie Lavigne'!$G42)</f>
        <v/>
      </c>
      <c r="H242" s="131" t="str">
        <f aca="false">IF('Jamie Lavigne'!$B42="","",'Jamie Lavigne'!$H42)</f>
        <v/>
      </c>
      <c r="I242" s="131" t="str">
        <f aca="false">IF('Jamie Lavigne'!$B42="","",'Jamie Lavigne'!$I42)</f>
        <v/>
      </c>
      <c r="J242" s="133" t="str">
        <f aca="false">IF('Jamie Lavigne'!$B42="","",'Jamie Lavigne'!$J42)</f>
        <v/>
      </c>
      <c r="K242" s="134" t="str">
        <f aca="false">IF('Jamie Lavigne'!$B42="","",'Jamie Lavigne'!$K42)</f>
        <v/>
      </c>
      <c r="L242" s="134" t="str">
        <f aca="false">IF('Jamie Lavigne'!$B42="","",'Jamie Lavigne'!$L42)</f>
        <v/>
      </c>
      <c r="M242" s="132" t="str">
        <f aca="false">IF('Jamie Lavigne'!$B42="","",'Jamie Lavigne'!$M42)</f>
        <v/>
      </c>
      <c r="N242" s="132" t="str">
        <f aca="false">IF('Jamie Lavigne'!$B42="","",'Jamie Lavigne'!$N42)</f>
        <v/>
      </c>
      <c r="O242" s="134" t="str">
        <f aca="false">IF('Jamie Lavigne'!$B42="","",'Jamie Lavigne'!$O42)</f>
        <v/>
      </c>
      <c r="P242" s="132" t="str">
        <f aca="false">IF('Jamie Lavigne'!$B42="","",'Jamie Lavigne'!$P42)</f>
        <v/>
      </c>
      <c r="Q242" s="131" t="str">
        <f aca="false">IF('Jamie Lavigne'!$B42="","","Jamie Lavigne")</f>
        <v/>
      </c>
      <c r="R242" s="131" t="n">
        <f aca="true">IF(OR($B242="",$I242="Complete",$L242=""),0,IF($L242&lt;TODAY(),1,0))</f>
        <v>0</v>
      </c>
      <c r="S242" s="131" t="n">
        <f aca="true">IF(OR($B242="",$I242="Complete",$L242=""),0,IF(AND($L242&gt;=TODAY(),$L242&lt;=TODAY()+7),1,0))</f>
        <v>0</v>
      </c>
      <c r="T242" s="131" t="str">
        <f aca="true">IF(OR($B242="",$L242=""),"",$L242-TODAY())</f>
        <v/>
      </c>
      <c r="U242" s="135" t="str">
        <f aca="false">IF($B242="","",IF($I242="Complete",1,IF($J242="",0,$J242)))</f>
        <v/>
      </c>
      <c r="V242" s="131" t="n">
        <f aca="false">IF($B242="",0,IF($N242="",0,1))</f>
        <v>0</v>
      </c>
      <c r="W242" s="131" t="n">
        <f aca="false">IF($B242="",0,1)</f>
        <v>0</v>
      </c>
    </row>
    <row r="243" customFormat="false" ht="15" hidden="false" customHeight="false" outlineLevel="0" collapsed="false">
      <c r="A243" s="131" t="str">
        <f aca="false">IF('Jamie Lavigne'!$B43="","",'Jamie Lavigne'!$A43)</f>
        <v/>
      </c>
      <c r="B243" s="131" t="str">
        <f aca="false">IF('Jamie Lavigne'!$B43="","",'Jamie Lavigne'!$B43)</f>
        <v/>
      </c>
      <c r="C243" s="132" t="str">
        <f aca="false">IF('Jamie Lavigne'!$B43="","",'Jamie Lavigne'!$C43)</f>
        <v/>
      </c>
      <c r="D243" s="132" t="str">
        <f aca="false">IF('Jamie Lavigne'!$B43="","",'Jamie Lavigne'!$D43)</f>
        <v/>
      </c>
      <c r="E243" s="132" t="str">
        <f aca="false">IF('Jamie Lavigne'!$B43="","",'Jamie Lavigne'!$E43)</f>
        <v/>
      </c>
      <c r="F243" s="132" t="str">
        <f aca="false">IF('Jamie Lavigne'!$B43="","",'Jamie Lavigne'!$F43)</f>
        <v/>
      </c>
      <c r="G243" s="132" t="str">
        <f aca="false">IF('Jamie Lavigne'!$B43="","",'Jamie Lavigne'!$G43)</f>
        <v/>
      </c>
      <c r="H243" s="131" t="str">
        <f aca="false">IF('Jamie Lavigne'!$B43="","",'Jamie Lavigne'!$H43)</f>
        <v/>
      </c>
      <c r="I243" s="131" t="str">
        <f aca="false">IF('Jamie Lavigne'!$B43="","",'Jamie Lavigne'!$I43)</f>
        <v/>
      </c>
      <c r="J243" s="133" t="str">
        <f aca="false">IF('Jamie Lavigne'!$B43="","",'Jamie Lavigne'!$J43)</f>
        <v/>
      </c>
      <c r="K243" s="134" t="str">
        <f aca="false">IF('Jamie Lavigne'!$B43="","",'Jamie Lavigne'!$K43)</f>
        <v/>
      </c>
      <c r="L243" s="134" t="str">
        <f aca="false">IF('Jamie Lavigne'!$B43="","",'Jamie Lavigne'!$L43)</f>
        <v/>
      </c>
      <c r="M243" s="132" t="str">
        <f aca="false">IF('Jamie Lavigne'!$B43="","",'Jamie Lavigne'!$M43)</f>
        <v/>
      </c>
      <c r="N243" s="132" t="str">
        <f aca="false">IF('Jamie Lavigne'!$B43="","",'Jamie Lavigne'!$N43)</f>
        <v/>
      </c>
      <c r="O243" s="134" t="str">
        <f aca="false">IF('Jamie Lavigne'!$B43="","",'Jamie Lavigne'!$O43)</f>
        <v/>
      </c>
      <c r="P243" s="132" t="str">
        <f aca="false">IF('Jamie Lavigne'!$B43="","",'Jamie Lavigne'!$P43)</f>
        <v/>
      </c>
      <c r="Q243" s="131" t="str">
        <f aca="false">IF('Jamie Lavigne'!$B43="","","Jamie Lavigne")</f>
        <v/>
      </c>
      <c r="R243" s="131" t="n">
        <f aca="true">IF(OR($B243="",$I243="Complete",$L243=""),0,IF($L243&lt;TODAY(),1,0))</f>
        <v>0</v>
      </c>
      <c r="S243" s="131" t="n">
        <f aca="true">IF(OR($B243="",$I243="Complete",$L243=""),0,IF(AND($L243&gt;=TODAY(),$L243&lt;=TODAY()+7),1,0))</f>
        <v>0</v>
      </c>
      <c r="T243" s="131" t="str">
        <f aca="true">IF(OR($B243="",$L243=""),"",$L243-TODAY())</f>
        <v/>
      </c>
      <c r="U243" s="135" t="str">
        <f aca="false">IF($B243="","",IF($I243="Complete",1,IF($J243="",0,$J243)))</f>
        <v/>
      </c>
      <c r="V243" s="131" t="n">
        <f aca="false">IF($B243="",0,IF($N243="",0,1))</f>
        <v>0</v>
      </c>
      <c r="W243" s="131" t="n">
        <f aca="false">IF($B243="",0,1)</f>
        <v>0</v>
      </c>
    </row>
    <row r="244" customFormat="false" ht="15" hidden="false" customHeight="false" outlineLevel="0" collapsed="false">
      <c r="A244" s="131" t="str">
        <f aca="false">IF('Jamie Lavigne'!$B44="","",'Jamie Lavigne'!$A44)</f>
        <v/>
      </c>
      <c r="B244" s="131" t="str">
        <f aca="false">IF('Jamie Lavigne'!$B44="","",'Jamie Lavigne'!$B44)</f>
        <v/>
      </c>
      <c r="C244" s="132" t="str">
        <f aca="false">IF('Jamie Lavigne'!$B44="","",'Jamie Lavigne'!$C44)</f>
        <v/>
      </c>
      <c r="D244" s="132" t="str">
        <f aca="false">IF('Jamie Lavigne'!$B44="","",'Jamie Lavigne'!$D44)</f>
        <v/>
      </c>
      <c r="E244" s="132" t="str">
        <f aca="false">IF('Jamie Lavigne'!$B44="","",'Jamie Lavigne'!$E44)</f>
        <v/>
      </c>
      <c r="F244" s="132" t="str">
        <f aca="false">IF('Jamie Lavigne'!$B44="","",'Jamie Lavigne'!$F44)</f>
        <v/>
      </c>
      <c r="G244" s="132" t="str">
        <f aca="false">IF('Jamie Lavigne'!$B44="","",'Jamie Lavigne'!$G44)</f>
        <v/>
      </c>
      <c r="H244" s="131" t="str">
        <f aca="false">IF('Jamie Lavigne'!$B44="","",'Jamie Lavigne'!$H44)</f>
        <v/>
      </c>
      <c r="I244" s="131" t="str">
        <f aca="false">IF('Jamie Lavigne'!$B44="","",'Jamie Lavigne'!$I44)</f>
        <v/>
      </c>
      <c r="J244" s="133" t="str">
        <f aca="false">IF('Jamie Lavigne'!$B44="","",'Jamie Lavigne'!$J44)</f>
        <v/>
      </c>
      <c r="K244" s="134" t="str">
        <f aca="false">IF('Jamie Lavigne'!$B44="","",'Jamie Lavigne'!$K44)</f>
        <v/>
      </c>
      <c r="L244" s="134" t="str">
        <f aca="false">IF('Jamie Lavigne'!$B44="","",'Jamie Lavigne'!$L44)</f>
        <v/>
      </c>
      <c r="M244" s="132" t="str">
        <f aca="false">IF('Jamie Lavigne'!$B44="","",'Jamie Lavigne'!$M44)</f>
        <v/>
      </c>
      <c r="N244" s="132" t="str">
        <f aca="false">IF('Jamie Lavigne'!$B44="","",'Jamie Lavigne'!$N44)</f>
        <v/>
      </c>
      <c r="O244" s="134" t="str">
        <f aca="false">IF('Jamie Lavigne'!$B44="","",'Jamie Lavigne'!$O44)</f>
        <v/>
      </c>
      <c r="P244" s="132" t="str">
        <f aca="false">IF('Jamie Lavigne'!$B44="","",'Jamie Lavigne'!$P44)</f>
        <v/>
      </c>
      <c r="Q244" s="131" t="str">
        <f aca="false">IF('Jamie Lavigne'!$B44="","","Jamie Lavigne")</f>
        <v/>
      </c>
      <c r="R244" s="131" t="n">
        <f aca="true">IF(OR($B244="",$I244="Complete",$L244=""),0,IF($L244&lt;TODAY(),1,0))</f>
        <v>0</v>
      </c>
      <c r="S244" s="131" t="n">
        <f aca="true">IF(OR($B244="",$I244="Complete",$L244=""),0,IF(AND($L244&gt;=TODAY(),$L244&lt;=TODAY()+7),1,0))</f>
        <v>0</v>
      </c>
      <c r="T244" s="131" t="str">
        <f aca="true">IF(OR($B244="",$L244=""),"",$L244-TODAY())</f>
        <v/>
      </c>
      <c r="U244" s="135" t="str">
        <f aca="false">IF($B244="","",IF($I244="Complete",1,IF($J244="",0,$J244)))</f>
        <v/>
      </c>
      <c r="V244" s="131" t="n">
        <f aca="false">IF($B244="",0,IF($N244="",0,1))</f>
        <v>0</v>
      </c>
      <c r="W244" s="131" t="n">
        <f aca="false">IF($B244="",0,1)</f>
        <v>0</v>
      </c>
    </row>
    <row r="245" customFormat="false" ht="19.4" hidden="false" customHeight="false" outlineLevel="0" collapsed="false">
      <c r="A245" s="131" t="str">
        <f aca="false">IF('Steve Griffith'!$B5="","",'Steve Griffith'!$A5)</f>
        <v>SG-001</v>
      </c>
      <c r="B245" s="131" t="str">
        <f aca="false">IF('Steve Griffith'!$B5="","",'Steve Griffith'!$B5)</f>
        <v>P1-1</v>
      </c>
      <c r="C245" s="132" t="str">
        <f aca="false">IF('Steve Griffith'!$B5="","",'Steve Griffith'!$C5)</f>
        <v>1 – Unified Development System</v>
      </c>
      <c r="D245" s="132" t="str">
        <f aca="false">IF('Steve Griffith'!$B5="","",'Steve Griffith'!$D5)</f>
        <v>Implement standardized Mutual Evaluation Process (MEP) across all brands</v>
      </c>
      <c r="E245" s="132" t="str">
        <f aca="false">IF('Steve Griffith'!$B5="","",'Steve Griffith'!$E5)</f>
        <v>Steve Griffith</v>
      </c>
      <c r="F245" s="132" t="str">
        <f aca="false">IF('Steve Griffith'!$B5="","",'Steve Griffith'!$F5)</f>
        <v>Contributor</v>
      </c>
      <c r="G245" s="132" t="str">
        <f aca="false">IF('Steve Griffith'!$B5="","",'Steve Griffith'!$G5)</f>
        <v>Training Section 1-3 in Fran Dev 101</v>
      </c>
      <c r="H245" s="131" t="str">
        <f aca="false">IF('Steve Griffith'!$B5="","",'Steve Griffith'!$H5)</f>
        <v>Medium</v>
      </c>
      <c r="I245" s="131" t="str">
        <f aca="false">IF('Steve Griffith'!$B5="","",'Steve Griffith'!$I5)</f>
        <v>In Progress</v>
      </c>
      <c r="J245" s="133" t="n">
        <f aca="false">IF('Steve Griffith'!$B5="","",'Steve Griffith'!$J5)</f>
        <v>0.5</v>
      </c>
      <c r="K245" s="134" t="n">
        <f aca="false">IF('Steve Griffith'!$B5="","",'Steve Griffith'!$K5)</f>
        <v>46162</v>
      </c>
      <c r="L245" s="134" t="n">
        <f aca="false">IF('Steve Griffith'!$B5="","",'Steve Griffith'!$L5)</f>
        <v>46186</v>
      </c>
      <c r="M245" s="132" t="n">
        <f aca="false">IF('Steve Griffith'!$B5="","",'Steve Griffith'!$M5)</f>
        <v>0</v>
      </c>
      <c r="N245" s="132" t="n">
        <f aca="false">IF('Steve Griffith'!$B5="","",'Steve Griffith'!$N5)</f>
        <v>0</v>
      </c>
      <c r="O245" s="134" t="str">
        <f aca="false">IF('Steve Griffith'!$B5="","",'Steve Griffith'!$O5)</f>
        <v>Assigned 5/20</v>
      </c>
      <c r="P245" s="132" t="str">
        <f aca="false">IF('Steve Griffith'!$B5="","",'Steve Griffith'!$P5)</f>
        <v>Complete sections 2-3</v>
      </c>
      <c r="Q245" s="131" t="str">
        <f aca="false">IF('Steve Griffith'!$B5="","","Steve Griffith")</f>
        <v>Steve Griffith</v>
      </c>
      <c r="R245" s="131" t="n">
        <f aca="true">IF(OR($B245="",$I245="Complete",$L245=""),0,IF($L245&lt;TODAY(),1,0))</f>
        <v>0</v>
      </c>
      <c r="S245" s="131" t="n">
        <f aca="true">IF(OR($B245="",$I245="Complete",$L245=""),0,IF(AND($L245&gt;=TODAY(),$L245&lt;=TODAY()+7),1,0))</f>
        <v>0</v>
      </c>
      <c r="T245" s="131" t="n">
        <f aca="true">IF(OR($B245="",$L245=""),"",$L245-TODAY())</f>
        <v>16</v>
      </c>
      <c r="U245" s="135" t="n">
        <f aca="false">IF($B245="","",IF($I245="Complete",1,IF($J245="",0,$J245)))</f>
        <v>0.5</v>
      </c>
      <c r="V245" s="131" t="n">
        <f aca="false">IF($B245="",0,IF($N245="",0,1))</f>
        <v>0</v>
      </c>
      <c r="W245" s="131" t="n">
        <f aca="false">IF($B245="",0,1)</f>
        <v>1</v>
      </c>
    </row>
    <row r="246" customFormat="false" ht="19.4" hidden="false" customHeight="false" outlineLevel="0" collapsed="false">
      <c r="A246" s="131" t="str">
        <f aca="false">IF('Steve Griffith'!$B6="","",'Steve Griffith'!$A6)</f>
        <v>SG-002</v>
      </c>
      <c r="B246" s="131" t="str">
        <f aca="false">IF('Steve Griffith'!$B6="","",'Steve Griffith'!$B6)</f>
        <v>P4-7</v>
      </c>
      <c r="C246" s="132" t="str">
        <f aca="false">IF('Steve Griffith'!$B6="","",'Steve Griffith'!$C6)</f>
        <v>4 – Portfolio Brand Strategy</v>
      </c>
      <c r="D246" s="132" t="str">
        <f aca="false">IF('Steve Griffith'!$B6="","",'Steve Griffith'!$D6)</f>
        <v>Rebuild validation and franchisee confidence within MilliCare</v>
      </c>
      <c r="E246" s="132" t="str">
        <f aca="false">IF('Steve Griffith'!$B6="","",'Steve Griffith'!$E6)</f>
        <v>Steve Griffith</v>
      </c>
      <c r="F246" s="132" t="str">
        <f aca="false">IF('Steve Griffith'!$B6="","",'Steve Griffith'!$F6)</f>
        <v>Owner</v>
      </c>
      <c r="G246" s="132" t="str">
        <f aca="false">IF('Steve Griffith'!$B6="","",'Steve Griffith'!$G6)</f>
        <v>Rebuild validation &amp; franchisee confidence within MilliCare</v>
      </c>
      <c r="H246" s="131" t="str">
        <f aca="false">IF('Steve Griffith'!$B6="","",'Steve Griffith'!$H6)</f>
        <v>High</v>
      </c>
      <c r="I246" s="131" t="str">
        <f aca="false">IF('Steve Griffith'!$B6="","",'Steve Griffith'!$I6)</f>
        <v>In Progress</v>
      </c>
      <c r="J246" s="133" t="n">
        <f aca="false">IF('Steve Griffith'!$B6="","",'Steve Griffith'!$J6)</f>
        <v>0.2</v>
      </c>
      <c r="K246" s="134" t="n">
        <f aca="false">IF('Steve Griffith'!$B6="","",'Steve Griffith'!$K6)</f>
        <v>46152</v>
      </c>
      <c r="L246" s="134" t="n">
        <f aca="false">IF('Steve Griffith'!$B6="","",'Steve Griffith'!$L6)</f>
        <v>46295</v>
      </c>
      <c r="M246" s="132" t="n">
        <f aca="false">IF('Steve Griffith'!$B6="","",'Steve Griffith'!$M6)</f>
        <v>0</v>
      </c>
      <c r="N246" s="132" t="str">
        <f aca="false">IF('Steve Griffith'!$B6="","",'Steve Griffith'!$N6)</f>
        <v>Franchisee sentiment low; validation inconsistent</v>
      </c>
      <c r="O246" s="134" t="str">
        <f aca="false">IF('Steve Griffith'!$B6="","",'Steve Griffith'!$O6)</f>
        <v>Mapping current validators</v>
      </c>
      <c r="P246" s="132" t="str">
        <f aca="false">IF('Steve Griffith'!$B6="","",'Steve Griffith'!$P6)</f>
        <v>Build validator readiness plan</v>
      </c>
      <c r="Q246" s="131" t="str">
        <f aca="false">IF('Steve Griffith'!$B6="","","Steve Griffith")</f>
        <v>Steve Griffith</v>
      </c>
      <c r="R246" s="131" t="n">
        <f aca="true">IF(OR($B246="",$I246="Complete",$L246=""),0,IF($L246&lt;TODAY(),1,0))</f>
        <v>0</v>
      </c>
      <c r="S246" s="131" t="n">
        <f aca="true">IF(OR($B246="",$I246="Complete",$L246=""),0,IF(AND($L246&gt;=TODAY(),$L246&lt;=TODAY()+7),1,0))</f>
        <v>0</v>
      </c>
      <c r="T246" s="131" t="n">
        <f aca="true">IF(OR($B246="",$L246=""),"",$L246-TODAY())</f>
        <v>125</v>
      </c>
      <c r="U246" s="135" t="n">
        <f aca="false">IF($B246="","",IF($I246="Complete",1,IF($J246="",0,$J246)))</f>
        <v>0.2</v>
      </c>
      <c r="V246" s="131" t="n">
        <f aca="false">IF($B246="",0,IF($N246="",0,1))</f>
        <v>1</v>
      </c>
      <c r="W246" s="131" t="n">
        <f aca="false">IF($B246="",0,1)</f>
        <v>1</v>
      </c>
    </row>
    <row r="247" customFormat="false" ht="15" hidden="false" customHeight="false" outlineLevel="0" collapsed="false">
      <c r="A247" s="131" t="str">
        <f aca="false">IF('Steve Griffith'!$B7="","",'Steve Griffith'!$A7)</f>
        <v/>
      </c>
      <c r="B247" s="131" t="str">
        <f aca="false">IF('Steve Griffith'!$B7="","",'Steve Griffith'!$B7)</f>
        <v/>
      </c>
      <c r="C247" s="132" t="str">
        <f aca="false">IF('Steve Griffith'!$B7="","",'Steve Griffith'!$C7)</f>
        <v/>
      </c>
      <c r="D247" s="132" t="str">
        <f aca="false">IF('Steve Griffith'!$B7="","",'Steve Griffith'!$D7)</f>
        <v/>
      </c>
      <c r="E247" s="132" t="str">
        <f aca="false">IF('Steve Griffith'!$B7="","",'Steve Griffith'!$E7)</f>
        <v/>
      </c>
      <c r="F247" s="132" t="str">
        <f aca="false">IF('Steve Griffith'!$B7="","",'Steve Griffith'!$F7)</f>
        <v/>
      </c>
      <c r="G247" s="132" t="str">
        <f aca="false">IF('Steve Griffith'!$B7="","",'Steve Griffith'!$G7)</f>
        <v/>
      </c>
      <c r="H247" s="131" t="str">
        <f aca="false">IF('Steve Griffith'!$B7="","",'Steve Griffith'!$H7)</f>
        <v/>
      </c>
      <c r="I247" s="131" t="str">
        <f aca="false">IF('Steve Griffith'!$B7="","",'Steve Griffith'!$I7)</f>
        <v/>
      </c>
      <c r="J247" s="133" t="str">
        <f aca="false">IF('Steve Griffith'!$B7="","",'Steve Griffith'!$J7)</f>
        <v/>
      </c>
      <c r="K247" s="134" t="str">
        <f aca="false">IF('Steve Griffith'!$B7="","",'Steve Griffith'!$K7)</f>
        <v/>
      </c>
      <c r="L247" s="134" t="str">
        <f aca="false">IF('Steve Griffith'!$B7="","",'Steve Griffith'!$L7)</f>
        <v/>
      </c>
      <c r="M247" s="132" t="str">
        <f aca="false">IF('Steve Griffith'!$B7="","",'Steve Griffith'!$M7)</f>
        <v/>
      </c>
      <c r="N247" s="132" t="str">
        <f aca="false">IF('Steve Griffith'!$B7="","",'Steve Griffith'!$N7)</f>
        <v/>
      </c>
      <c r="O247" s="134" t="str">
        <f aca="false">IF('Steve Griffith'!$B7="","",'Steve Griffith'!$O7)</f>
        <v/>
      </c>
      <c r="P247" s="132" t="str">
        <f aca="false">IF('Steve Griffith'!$B7="","",'Steve Griffith'!$P7)</f>
        <v/>
      </c>
      <c r="Q247" s="131" t="str">
        <f aca="false">IF('Steve Griffith'!$B7="","","Steve Griffith")</f>
        <v/>
      </c>
      <c r="R247" s="131" t="n">
        <f aca="true">IF(OR($B247="",$I247="Complete",$L247=""),0,IF($L247&lt;TODAY(),1,0))</f>
        <v>0</v>
      </c>
      <c r="S247" s="131" t="n">
        <f aca="true">IF(OR($B247="",$I247="Complete",$L247=""),0,IF(AND($L247&gt;=TODAY(),$L247&lt;=TODAY()+7),1,0))</f>
        <v>0</v>
      </c>
      <c r="T247" s="131" t="str">
        <f aca="true">IF(OR($B247="",$L247=""),"",$L247-TODAY())</f>
        <v/>
      </c>
      <c r="U247" s="135" t="str">
        <f aca="false">IF($B247="","",IF($I247="Complete",1,IF($J247="",0,$J247)))</f>
        <v/>
      </c>
      <c r="V247" s="131" t="n">
        <f aca="false">IF($B247="",0,IF($N247="",0,1))</f>
        <v>0</v>
      </c>
      <c r="W247" s="131" t="n">
        <f aca="false">IF($B247="",0,1)</f>
        <v>0</v>
      </c>
    </row>
    <row r="248" customFormat="false" ht="15" hidden="false" customHeight="false" outlineLevel="0" collapsed="false">
      <c r="A248" s="131" t="str">
        <f aca="false">IF('Steve Griffith'!$B8="","",'Steve Griffith'!$A8)</f>
        <v/>
      </c>
      <c r="B248" s="131" t="str">
        <f aca="false">IF('Steve Griffith'!$B8="","",'Steve Griffith'!$B8)</f>
        <v/>
      </c>
      <c r="C248" s="132" t="str">
        <f aca="false">IF('Steve Griffith'!$B8="","",'Steve Griffith'!$C8)</f>
        <v/>
      </c>
      <c r="D248" s="132" t="str">
        <f aca="false">IF('Steve Griffith'!$B8="","",'Steve Griffith'!$D8)</f>
        <v/>
      </c>
      <c r="E248" s="132" t="str">
        <f aca="false">IF('Steve Griffith'!$B8="","",'Steve Griffith'!$E8)</f>
        <v/>
      </c>
      <c r="F248" s="132" t="str">
        <f aca="false">IF('Steve Griffith'!$B8="","",'Steve Griffith'!$F8)</f>
        <v/>
      </c>
      <c r="G248" s="132" t="str">
        <f aca="false">IF('Steve Griffith'!$B8="","",'Steve Griffith'!$G8)</f>
        <v/>
      </c>
      <c r="H248" s="131" t="str">
        <f aca="false">IF('Steve Griffith'!$B8="","",'Steve Griffith'!$H8)</f>
        <v/>
      </c>
      <c r="I248" s="131" t="str">
        <f aca="false">IF('Steve Griffith'!$B8="","",'Steve Griffith'!$I8)</f>
        <v/>
      </c>
      <c r="J248" s="133" t="str">
        <f aca="false">IF('Steve Griffith'!$B8="","",'Steve Griffith'!$J8)</f>
        <v/>
      </c>
      <c r="K248" s="134" t="str">
        <f aca="false">IF('Steve Griffith'!$B8="","",'Steve Griffith'!$K8)</f>
        <v/>
      </c>
      <c r="L248" s="134" t="str">
        <f aca="false">IF('Steve Griffith'!$B8="","",'Steve Griffith'!$L8)</f>
        <v/>
      </c>
      <c r="M248" s="132" t="str">
        <f aca="false">IF('Steve Griffith'!$B8="","",'Steve Griffith'!$M8)</f>
        <v/>
      </c>
      <c r="N248" s="132" t="str">
        <f aca="false">IF('Steve Griffith'!$B8="","",'Steve Griffith'!$N8)</f>
        <v/>
      </c>
      <c r="O248" s="134" t="str">
        <f aca="false">IF('Steve Griffith'!$B8="","",'Steve Griffith'!$O8)</f>
        <v/>
      </c>
      <c r="P248" s="132" t="str">
        <f aca="false">IF('Steve Griffith'!$B8="","",'Steve Griffith'!$P8)</f>
        <v/>
      </c>
      <c r="Q248" s="131" t="str">
        <f aca="false">IF('Steve Griffith'!$B8="","","Steve Griffith")</f>
        <v/>
      </c>
      <c r="R248" s="131" t="n">
        <f aca="true">IF(OR($B248="",$I248="Complete",$L248=""),0,IF($L248&lt;TODAY(),1,0))</f>
        <v>0</v>
      </c>
      <c r="S248" s="131" t="n">
        <f aca="true">IF(OR($B248="",$I248="Complete",$L248=""),0,IF(AND($L248&gt;=TODAY(),$L248&lt;=TODAY()+7),1,0))</f>
        <v>0</v>
      </c>
      <c r="T248" s="131" t="str">
        <f aca="true">IF(OR($B248="",$L248=""),"",$L248-TODAY())</f>
        <v/>
      </c>
      <c r="U248" s="135" t="str">
        <f aca="false">IF($B248="","",IF($I248="Complete",1,IF($J248="",0,$J248)))</f>
        <v/>
      </c>
      <c r="V248" s="131" t="n">
        <f aca="false">IF($B248="",0,IF($N248="",0,1))</f>
        <v>0</v>
      </c>
      <c r="W248" s="131" t="n">
        <f aca="false">IF($B248="",0,1)</f>
        <v>0</v>
      </c>
    </row>
    <row r="249" customFormat="false" ht="15" hidden="false" customHeight="false" outlineLevel="0" collapsed="false">
      <c r="A249" s="131" t="str">
        <f aca="false">IF('Steve Griffith'!$B9="","",'Steve Griffith'!$A9)</f>
        <v/>
      </c>
      <c r="B249" s="131" t="str">
        <f aca="false">IF('Steve Griffith'!$B9="","",'Steve Griffith'!$B9)</f>
        <v/>
      </c>
      <c r="C249" s="132" t="str">
        <f aca="false">IF('Steve Griffith'!$B9="","",'Steve Griffith'!$C9)</f>
        <v/>
      </c>
      <c r="D249" s="132" t="str">
        <f aca="false">IF('Steve Griffith'!$B9="","",'Steve Griffith'!$D9)</f>
        <v/>
      </c>
      <c r="E249" s="132" t="str">
        <f aca="false">IF('Steve Griffith'!$B9="","",'Steve Griffith'!$E9)</f>
        <v/>
      </c>
      <c r="F249" s="132" t="str">
        <f aca="false">IF('Steve Griffith'!$B9="","",'Steve Griffith'!$F9)</f>
        <v/>
      </c>
      <c r="G249" s="132" t="str">
        <f aca="false">IF('Steve Griffith'!$B9="","",'Steve Griffith'!$G9)</f>
        <v/>
      </c>
      <c r="H249" s="131" t="str">
        <f aca="false">IF('Steve Griffith'!$B9="","",'Steve Griffith'!$H9)</f>
        <v/>
      </c>
      <c r="I249" s="131" t="str">
        <f aca="false">IF('Steve Griffith'!$B9="","",'Steve Griffith'!$I9)</f>
        <v/>
      </c>
      <c r="J249" s="133" t="str">
        <f aca="false">IF('Steve Griffith'!$B9="","",'Steve Griffith'!$J9)</f>
        <v/>
      </c>
      <c r="K249" s="134" t="str">
        <f aca="false">IF('Steve Griffith'!$B9="","",'Steve Griffith'!$K9)</f>
        <v/>
      </c>
      <c r="L249" s="134" t="str">
        <f aca="false">IF('Steve Griffith'!$B9="","",'Steve Griffith'!$L9)</f>
        <v/>
      </c>
      <c r="M249" s="132" t="str">
        <f aca="false">IF('Steve Griffith'!$B9="","",'Steve Griffith'!$M9)</f>
        <v/>
      </c>
      <c r="N249" s="132" t="str">
        <f aca="false">IF('Steve Griffith'!$B9="","",'Steve Griffith'!$N9)</f>
        <v/>
      </c>
      <c r="O249" s="134" t="str">
        <f aca="false">IF('Steve Griffith'!$B9="","",'Steve Griffith'!$O9)</f>
        <v/>
      </c>
      <c r="P249" s="132" t="str">
        <f aca="false">IF('Steve Griffith'!$B9="","",'Steve Griffith'!$P9)</f>
        <v/>
      </c>
      <c r="Q249" s="131" t="str">
        <f aca="false">IF('Steve Griffith'!$B9="","","Steve Griffith")</f>
        <v/>
      </c>
      <c r="R249" s="131" t="n">
        <f aca="true">IF(OR($B249="",$I249="Complete",$L249=""),0,IF($L249&lt;TODAY(),1,0))</f>
        <v>0</v>
      </c>
      <c r="S249" s="131" t="n">
        <f aca="true">IF(OR($B249="",$I249="Complete",$L249=""),0,IF(AND($L249&gt;=TODAY(),$L249&lt;=TODAY()+7),1,0))</f>
        <v>0</v>
      </c>
      <c r="T249" s="131" t="str">
        <f aca="true">IF(OR($B249="",$L249=""),"",$L249-TODAY())</f>
        <v/>
      </c>
      <c r="U249" s="135" t="str">
        <f aca="false">IF($B249="","",IF($I249="Complete",1,IF($J249="",0,$J249)))</f>
        <v/>
      </c>
      <c r="V249" s="131" t="n">
        <f aca="false">IF($B249="",0,IF($N249="",0,1))</f>
        <v>0</v>
      </c>
      <c r="W249" s="131" t="n">
        <f aca="false">IF($B249="",0,1)</f>
        <v>0</v>
      </c>
    </row>
    <row r="250" customFormat="false" ht="15" hidden="false" customHeight="false" outlineLevel="0" collapsed="false">
      <c r="A250" s="131" t="str">
        <f aca="false">IF('Steve Griffith'!$B10="","",'Steve Griffith'!$A10)</f>
        <v/>
      </c>
      <c r="B250" s="131" t="str">
        <f aca="false">IF('Steve Griffith'!$B10="","",'Steve Griffith'!$B10)</f>
        <v/>
      </c>
      <c r="C250" s="132" t="str">
        <f aca="false">IF('Steve Griffith'!$B10="","",'Steve Griffith'!$C10)</f>
        <v/>
      </c>
      <c r="D250" s="132" t="str">
        <f aca="false">IF('Steve Griffith'!$B10="","",'Steve Griffith'!$D10)</f>
        <v/>
      </c>
      <c r="E250" s="132" t="str">
        <f aca="false">IF('Steve Griffith'!$B10="","",'Steve Griffith'!$E10)</f>
        <v/>
      </c>
      <c r="F250" s="132" t="str">
        <f aca="false">IF('Steve Griffith'!$B10="","",'Steve Griffith'!$F10)</f>
        <v/>
      </c>
      <c r="G250" s="132" t="str">
        <f aca="false">IF('Steve Griffith'!$B10="","",'Steve Griffith'!$G10)</f>
        <v/>
      </c>
      <c r="H250" s="131" t="str">
        <f aca="false">IF('Steve Griffith'!$B10="","",'Steve Griffith'!$H10)</f>
        <v/>
      </c>
      <c r="I250" s="131" t="str">
        <f aca="false">IF('Steve Griffith'!$B10="","",'Steve Griffith'!$I10)</f>
        <v/>
      </c>
      <c r="J250" s="133" t="str">
        <f aca="false">IF('Steve Griffith'!$B10="","",'Steve Griffith'!$J10)</f>
        <v/>
      </c>
      <c r="K250" s="134" t="str">
        <f aca="false">IF('Steve Griffith'!$B10="","",'Steve Griffith'!$K10)</f>
        <v/>
      </c>
      <c r="L250" s="134" t="str">
        <f aca="false">IF('Steve Griffith'!$B10="","",'Steve Griffith'!$L10)</f>
        <v/>
      </c>
      <c r="M250" s="132" t="str">
        <f aca="false">IF('Steve Griffith'!$B10="","",'Steve Griffith'!$M10)</f>
        <v/>
      </c>
      <c r="N250" s="132" t="str">
        <f aca="false">IF('Steve Griffith'!$B10="","",'Steve Griffith'!$N10)</f>
        <v/>
      </c>
      <c r="O250" s="134" t="str">
        <f aca="false">IF('Steve Griffith'!$B10="","",'Steve Griffith'!$O10)</f>
        <v/>
      </c>
      <c r="P250" s="132" t="str">
        <f aca="false">IF('Steve Griffith'!$B10="","",'Steve Griffith'!$P10)</f>
        <v/>
      </c>
      <c r="Q250" s="131" t="str">
        <f aca="false">IF('Steve Griffith'!$B10="","","Steve Griffith")</f>
        <v/>
      </c>
      <c r="R250" s="131" t="n">
        <f aca="true">IF(OR($B250="",$I250="Complete",$L250=""),0,IF($L250&lt;TODAY(),1,0))</f>
        <v>0</v>
      </c>
      <c r="S250" s="131" t="n">
        <f aca="true">IF(OR($B250="",$I250="Complete",$L250=""),0,IF(AND($L250&gt;=TODAY(),$L250&lt;=TODAY()+7),1,0))</f>
        <v>0</v>
      </c>
      <c r="T250" s="131" t="str">
        <f aca="true">IF(OR($B250="",$L250=""),"",$L250-TODAY())</f>
        <v/>
      </c>
      <c r="U250" s="135" t="str">
        <f aca="false">IF($B250="","",IF($I250="Complete",1,IF($J250="",0,$J250)))</f>
        <v/>
      </c>
      <c r="V250" s="131" t="n">
        <f aca="false">IF($B250="",0,IF($N250="",0,1))</f>
        <v>0</v>
      </c>
      <c r="W250" s="131" t="n">
        <f aca="false">IF($B250="",0,1)</f>
        <v>0</v>
      </c>
    </row>
    <row r="251" customFormat="false" ht="15" hidden="false" customHeight="false" outlineLevel="0" collapsed="false">
      <c r="A251" s="131" t="str">
        <f aca="false">IF('Steve Griffith'!$B11="","",'Steve Griffith'!$A11)</f>
        <v/>
      </c>
      <c r="B251" s="131" t="str">
        <f aca="false">IF('Steve Griffith'!$B11="","",'Steve Griffith'!$B11)</f>
        <v/>
      </c>
      <c r="C251" s="132" t="str">
        <f aca="false">IF('Steve Griffith'!$B11="","",'Steve Griffith'!$C11)</f>
        <v/>
      </c>
      <c r="D251" s="132" t="str">
        <f aca="false">IF('Steve Griffith'!$B11="","",'Steve Griffith'!$D11)</f>
        <v/>
      </c>
      <c r="E251" s="132" t="str">
        <f aca="false">IF('Steve Griffith'!$B11="","",'Steve Griffith'!$E11)</f>
        <v/>
      </c>
      <c r="F251" s="132" t="str">
        <f aca="false">IF('Steve Griffith'!$B11="","",'Steve Griffith'!$F11)</f>
        <v/>
      </c>
      <c r="G251" s="132" t="str">
        <f aca="false">IF('Steve Griffith'!$B11="","",'Steve Griffith'!$G11)</f>
        <v/>
      </c>
      <c r="H251" s="131" t="str">
        <f aca="false">IF('Steve Griffith'!$B11="","",'Steve Griffith'!$H11)</f>
        <v/>
      </c>
      <c r="I251" s="131" t="str">
        <f aca="false">IF('Steve Griffith'!$B11="","",'Steve Griffith'!$I11)</f>
        <v/>
      </c>
      <c r="J251" s="133" t="str">
        <f aca="false">IF('Steve Griffith'!$B11="","",'Steve Griffith'!$J11)</f>
        <v/>
      </c>
      <c r="K251" s="134" t="str">
        <f aca="false">IF('Steve Griffith'!$B11="","",'Steve Griffith'!$K11)</f>
        <v/>
      </c>
      <c r="L251" s="134" t="str">
        <f aca="false">IF('Steve Griffith'!$B11="","",'Steve Griffith'!$L11)</f>
        <v/>
      </c>
      <c r="M251" s="132" t="str">
        <f aca="false">IF('Steve Griffith'!$B11="","",'Steve Griffith'!$M11)</f>
        <v/>
      </c>
      <c r="N251" s="132" t="str">
        <f aca="false">IF('Steve Griffith'!$B11="","",'Steve Griffith'!$N11)</f>
        <v/>
      </c>
      <c r="O251" s="134" t="str">
        <f aca="false">IF('Steve Griffith'!$B11="","",'Steve Griffith'!$O11)</f>
        <v/>
      </c>
      <c r="P251" s="132" t="str">
        <f aca="false">IF('Steve Griffith'!$B11="","",'Steve Griffith'!$P11)</f>
        <v/>
      </c>
      <c r="Q251" s="131" t="str">
        <f aca="false">IF('Steve Griffith'!$B11="","","Steve Griffith")</f>
        <v/>
      </c>
      <c r="R251" s="131" t="n">
        <f aca="true">IF(OR($B251="",$I251="Complete",$L251=""),0,IF($L251&lt;TODAY(),1,0))</f>
        <v>0</v>
      </c>
      <c r="S251" s="131" t="n">
        <f aca="true">IF(OR($B251="",$I251="Complete",$L251=""),0,IF(AND($L251&gt;=TODAY(),$L251&lt;=TODAY()+7),1,0))</f>
        <v>0</v>
      </c>
      <c r="T251" s="131" t="str">
        <f aca="true">IF(OR($B251="",$L251=""),"",$L251-TODAY())</f>
        <v/>
      </c>
      <c r="U251" s="135" t="str">
        <f aca="false">IF($B251="","",IF($I251="Complete",1,IF($J251="",0,$J251)))</f>
        <v/>
      </c>
      <c r="V251" s="131" t="n">
        <f aca="false">IF($B251="",0,IF($N251="",0,1))</f>
        <v>0</v>
      </c>
      <c r="W251" s="131" t="n">
        <f aca="false">IF($B251="",0,1)</f>
        <v>0</v>
      </c>
    </row>
    <row r="252" customFormat="false" ht="15" hidden="false" customHeight="false" outlineLevel="0" collapsed="false">
      <c r="A252" s="131" t="str">
        <f aca="false">IF('Steve Griffith'!$B12="","",'Steve Griffith'!$A12)</f>
        <v/>
      </c>
      <c r="B252" s="131" t="str">
        <f aca="false">IF('Steve Griffith'!$B12="","",'Steve Griffith'!$B12)</f>
        <v/>
      </c>
      <c r="C252" s="132" t="str">
        <f aca="false">IF('Steve Griffith'!$B12="","",'Steve Griffith'!$C12)</f>
        <v/>
      </c>
      <c r="D252" s="132" t="str">
        <f aca="false">IF('Steve Griffith'!$B12="","",'Steve Griffith'!$D12)</f>
        <v/>
      </c>
      <c r="E252" s="132" t="str">
        <f aca="false">IF('Steve Griffith'!$B12="","",'Steve Griffith'!$E12)</f>
        <v/>
      </c>
      <c r="F252" s="132" t="str">
        <f aca="false">IF('Steve Griffith'!$B12="","",'Steve Griffith'!$F12)</f>
        <v/>
      </c>
      <c r="G252" s="132" t="str">
        <f aca="false">IF('Steve Griffith'!$B12="","",'Steve Griffith'!$G12)</f>
        <v/>
      </c>
      <c r="H252" s="131" t="str">
        <f aca="false">IF('Steve Griffith'!$B12="","",'Steve Griffith'!$H12)</f>
        <v/>
      </c>
      <c r="I252" s="131" t="str">
        <f aca="false">IF('Steve Griffith'!$B12="","",'Steve Griffith'!$I12)</f>
        <v/>
      </c>
      <c r="J252" s="133" t="str">
        <f aca="false">IF('Steve Griffith'!$B12="","",'Steve Griffith'!$J12)</f>
        <v/>
      </c>
      <c r="K252" s="134" t="str">
        <f aca="false">IF('Steve Griffith'!$B12="","",'Steve Griffith'!$K12)</f>
        <v/>
      </c>
      <c r="L252" s="134" t="str">
        <f aca="false">IF('Steve Griffith'!$B12="","",'Steve Griffith'!$L12)</f>
        <v/>
      </c>
      <c r="M252" s="132" t="str">
        <f aca="false">IF('Steve Griffith'!$B12="","",'Steve Griffith'!$M12)</f>
        <v/>
      </c>
      <c r="N252" s="132" t="str">
        <f aca="false">IF('Steve Griffith'!$B12="","",'Steve Griffith'!$N12)</f>
        <v/>
      </c>
      <c r="O252" s="134" t="str">
        <f aca="false">IF('Steve Griffith'!$B12="","",'Steve Griffith'!$O12)</f>
        <v/>
      </c>
      <c r="P252" s="132" t="str">
        <f aca="false">IF('Steve Griffith'!$B12="","",'Steve Griffith'!$P12)</f>
        <v/>
      </c>
      <c r="Q252" s="131" t="str">
        <f aca="false">IF('Steve Griffith'!$B12="","","Steve Griffith")</f>
        <v/>
      </c>
      <c r="R252" s="131" t="n">
        <f aca="true">IF(OR($B252="",$I252="Complete",$L252=""),0,IF($L252&lt;TODAY(),1,0))</f>
        <v>0</v>
      </c>
      <c r="S252" s="131" t="n">
        <f aca="true">IF(OR($B252="",$I252="Complete",$L252=""),0,IF(AND($L252&gt;=TODAY(),$L252&lt;=TODAY()+7),1,0))</f>
        <v>0</v>
      </c>
      <c r="T252" s="131" t="str">
        <f aca="true">IF(OR($B252="",$L252=""),"",$L252-TODAY())</f>
        <v/>
      </c>
      <c r="U252" s="135" t="str">
        <f aca="false">IF($B252="","",IF($I252="Complete",1,IF($J252="",0,$J252)))</f>
        <v/>
      </c>
      <c r="V252" s="131" t="n">
        <f aca="false">IF($B252="",0,IF($N252="",0,1))</f>
        <v>0</v>
      </c>
      <c r="W252" s="131" t="n">
        <f aca="false">IF($B252="",0,1)</f>
        <v>0</v>
      </c>
    </row>
    <row r="253" customFormat="false" ht="15" hidden="false" customHeight="false" outlineLevel="0" collapsed="false">
      <c r="A253" s="131" t="str">
        <f aca="false">IF('Steve Griffith'!$B13="","",'Steve Griffith'!$A13)</f>
        <v/>
      </c>
      <c r="B253" s="131" t="str">
        <f aca="false">IF('Steve Griffith'!$B13="","",'Steve Griffith'!$B13)</f>
        <v/>
      </c>
      <c r="C253" s="132" t="str">
        <f aca="false">IF('Steve Griffith'!$B13="","",'Steve Griffith'!$C13)</f>
        <v/>
      </c>
      <c r="D253" s="132" t="str">
        <f aca="false">IF('Steve Griffith'!$B13="","",'Steve Griffith'!$D13)</f>
        <v/>
      </c>
      <c r="E253" s="132" t="str">
        <f aca="false">IF('Steve Griffith'!$B13="","",'Steve Griffith'!$E13)</f>
        <v/>
      </c>
      <c r="F253" s="132" t="str">
        <f aca="false">IF('Steve Griffith'!$B13="","",'Steve Griffith'!$F13)</f>
        <v/>
      </c>
      <c r="G253" s="132" t="str">
        <f aca="false">IF('Steve Griffith'!$B13="","",'Steve Griffith'!$G13)</f>
        <v/>
      </c>
      <c r="H253" s="131" t="str">
        <f aca="false">IF('Steve Griffith'!$B13="","",'Steve Griffith'!$H13)</f>
        <v/>
      </c>
      <c r="I253" s="131" t="str">
        <f aca="false">IF('Steve Griffith'!$B13="","",'Steve Griffith'!$I13)</f>
        <v/>
      </c>
      <c r="J253" s="133" t="str">
        <f aca="false">IF('Steve Griffith'!$B13="","",'Steve Griffith'!$J13)</f>
        <v/>
      </c>
      <c r="K253" s="134" t="str">
        <f aca="false">IF('Steve Griffith'!$B13="","",'Steve Griffith'!$K13)</f>
        <v/>
      </c>
      <c r="L253" s="134" t="str">
        <f aca="false">IF('Steve Griffith'!$B13="","",'Steve Griffith'!$L13)</f>
        <v/>
      </c>
      <c r="M253" s="132" t="str">
        <f aca="false">IF('Steve Griffith'!$B13="","",'Steve Griffith'!$M13)</f>
        <v/>
      </c>
      <c r="N253" s="132" t="str">
        <f aca="false">IF('Steve Griffith'!$B13="","",'Steve Griffith'!$N13)</f>
        <v/>
      </c>
      <c r="O253" s="134" t="str">
        <f aca="false">IF('Steve Griffith'!$B13="","",'Steve Griffith'!$O13)</f>
        <v/>
      </c>
      <c r="P253" s="132" t="str">
        <f aca="false">IF('Steve Griffith'!$B13="","",'Steve Griffith'!$P13)</f>
        <v/>
      </c>
      <c r="Q253" s="131" t="str">
        <f aca="false">IF('Steve Griffith'!$B13="","","Steve Griffith")</f>
        <v/>
      </c>
      <c r="R253" s="131" t="n">
        <f aca="true">IF(OR($B253="",$I253="Complete",$L253=""),0,IF($L253&lt;TODAY(),1,0))</f>
        <v>0</v>
      </c>
      <c r="S253" s="131" t="n">
        <f aca="true">IF(OR($B253="",$I253="Complete",$L253=""),0,IF(AND($L253&gt;=TODAY(),$L253&lt;=TODAY()+7),1,0))</f>
        <v>0</v>
      </c>
      <c r="T253" s="131" t="str">
        <f aca="true">IF(OR($B253="",$L253=""),"",$L253-TODAY())</f>
        <v/>
      </c>
      <c r="U253" s="135" t="str">
        <f aca="false">IF($B253="","",IF($I253="Complete",1,IF($J253="",0,$J253)))</f>
        <v/>
      </c>
      <c r="V253" s="131" t="n">
        <f aca="false">IF($B253="",0,IF($N253="",0,1))</f>
        <v>0</v>
      </c>
      <c r="W253" s="131" t="n">
        <f aca="false">IF($B253="",0,1)</f>
        <v>0</v>
      </c>
    </row>
    <row r="254" customFormat="false" ht="15" hidden="false" customHeight="false" outlineLevel="0" collapsed="false">
      <c r="A254" s="131" t="str">
        <f aca="false">IF('Steve Griffith'!$B14="","",'Steve Griffith'!$A14)</f>
        <v/>
      </c>
      <c r="B254" s="131" t="str">
        <f aca="false">IF('Steve Griffith'!$B14="","",'Steve Griffith'!$B14)</f>
        <v/>
      </c>
      <c r="C254" s="132" t="str">
        <f aca="false">IF('Steve Griffith'!$B14="","",'Steve Griffith'!$C14)</f>
        <v/>
      </c>
      <c r="D254" s="132" t="str">
        <f aca="false">IF('Steve Griffith'!$B14="","",'Steve Griffith'!$D14)</f>
        <v/>
      </c>
      <c r="E254" s="132" t="str">
        <f aca="false">IF('Steve Griffith'!$B14="","",'Steve Griffith'!$E14)</f>
        <v/>
      </c>
      <c r="F254" s="132" t="str">
        <f aca="false">IF('Steve Griffith'!$B14="","",'Steve Griffith'!$F14)</f>
        <v/>
      </c>
      <c r="G254" s="132" t="str">
        <f aca="false">IF('Steve Griffith'!$B14="","",'Steve Griffith'!$G14)</f>
        <v/>
      </c>
      <c r="H254" s="131" t="str">
        <f aca="false">IF('Steve Griffith'!$B14="","",'Steve Griffith'!$H14)</f>
        <v/>
      </c>
      <c r="I254" s="131" t="str">
        <f aca="false">IF('Steve Griffith'!$B14="","",'Steve Griffith'!$I14)</f>
        <v/>
      </c>
      <c r="J254" s="133" t="str">
        <f aca="false">IF('Steve Griffith'!$B14="","",'Steve Griffith'!$J14)</f>
        <v/>
      </c>
      <c r="K254" s="134" t="str">
        <f aca="false">IF('Steve Griffith'!$B14="","",'Steve Griffith'!$K14)</f>
        <v/>
      </c>
      <c r="L254" s="134" t="str">
        <f aca="false">IF('Steve Griffith'!$B14="","",'Steve Griffith'!$L14)</f>
        <v/>
      </c>
      <c r="M254" s="132" t="str">
        <f aca="false">IF('Steve Griffith'!$B14="","",'Steve Griffith'!$M14)</f>
        <v/>
      </c>
      <c r="N254" s="132" t="str">
        <f aca="false">IF('Steve Griffith'!$B14="","",'Steve Griffith'!$N14)</f>
        <v/>
      </c>
      <c r="O254" s="134" t="str">
        <f aca="false">IF('Steve Griffith'!$B14="","",'Steve Griffith'!$O14)</f>
        <v/>
      </c>
      <c r="P254" s="132" t="str">
        <f aca="false">IF('Steve Griffith'!$B14="","",'Steve Griffith'!$P14)</f>
        <v/>
      </c>
      <c r="Q254" s="131" t="str">
        <f aca="false">IF('Steve Griffith'!$B14="","","Steve Griffith")</f>
        <v/>
      </c>
      <c r="R254" s="131" t="n">
        <f aca="true">IF(OR($B254="",$I254="Complete",$L254=""),0,IF($L254&lt;TODAY(),1,0))</f>
        <v>0</v>
      </c>
      <c r="S254" s="131" t="n">
        <f aca="true">IF(OR($B254="",$I254="Complete",$L254=""),0,IF(AND($L254&gt;=TODAY(),$L254&lt;=TODAY()+7),1,0))</f>
        <v>0</v>
      </c>
      <c r="T254" s="131" t="str">
        <f aca="true">IF(OR($B254="",$L254=""),"",$L254-TODAY())</f>
        <v/>
      </c>
      <c r="U254" s="135" t="str">
        <f aca="false">IF($B254="","",IF($I254="Complete",1,IF($J254="",0,$J254)))</f>
        <v/>
      </c>
      <c r="V254" s="131" t="n">
        <f aca="false">IF($B254="",0,IF($N254="",0,1))</f>
        <v>0</v>
      </c>
      <c r="W254" s="131" t="n">
        <f aca="false">IF($B254="",0,1)</f>
        <v>0</v>
      </c>
    </row>
    <row r="255" customFormat="false" ht="15" hidden="false" customHeight="false" outlineLevel="0" collapsed="false">
      <c r="A255" s="131" t="str">
        <f aca="false">IF('Steve Griffith'!$B15="","",'Steve Griffith'!$A15)</f>
        <v/>
      </c>
      <c r="B255" s="131" t="str">
        <f aca="false">IF('Steve Griffith'!$B15="","",'Steve Griffith'!$B15)</f>
        <v/>
      </c>
      <c r="C255" s="132" t="str">
        <f aca="false">IF('Steve Griffith'!$B15="","",'Steve Griffith'!$C15)</f>
        <v/>
      </c>
      <c r="D255" s="132" t="str">
        <f aca="false">IF('Steve Griffith'!$B15="","",'Steve Griffith'!$D15)</f>
        <v/>
      </c>
      <c r="E255" s="132" t="str">
        <f aca="false">IF('Steve Griffith'!$B15="","",'Steve Griffith'!$E15)</f>
        <v/>
      </c>
      <c r="F255" s="132" t="str">
        <f aca="false">IF('Steve Griffith'!$B15="","",'Steve Griffith'!$F15)</f>
        <v/>
      </c>
      <c r="G255" s="132" t="str">
        <f aca="false">IF('Steve Griffith'!$B15="","",'Steve Griffith'!$G15)</f>
        <v/>
      </c>
      <c r="H255" s="131" t="str">
        <f aca="false">IF('Steve Griffith'!$B15="","",'Steve Griffith'!$H15)</f>
        <v/>
      </c>
      <c r="I255" s="131" t="str">
        <f aca="false">IF('Steve Griffith'!$B15="","",'Steve Griffith'!$I15)</f>
        <v/>
      </c>
      <c r="J255" s="133" t="str">
        <f aca="false">IF('Steve Griffith'!$B15="","",'Steve Griffith'!$J15)</f>
        <v/>
      </c>
      <c r="K255" s="134" t="str">
        <f aca="false">IF('Steve Griffith'!$B15="","",'Steve Griffith'!$K15)</f>
        <v/>
      </c>
      <c r="L255" s="134" t="str">
        <f aca="false">IF('Steve Griffith'!$B15="","",'Steve Griffith'!$L15)</f>
        <v/>
      </c>
      <c r="M255" s="132" t="str">
        <f aca="false">IF('Steve Griffith'!$B15="","",'Steve Griffith'!$M15)</f>
        <v/>
      </c>
      <c r="N255" s="132" t="str">
        <f aca="false">IF('Steve Griffith'!$B15="","",'Steve Griffith'!$N15)</f>
        <v/>
      </c>
      <c r="O255" s="134" t="str">
        <f aca="false">IF('Steve Griffith'!$B15="","",'Steve Griffith'!$O15)</f>
        <v/>
      </c>
      <c r="P255" s="132" t="str">
        <f aca="false">IF('Steve Griffith'!$B15="","",'Steve Griffith'!$P15)</f>
        <v/>
      </c>
      <c r="Q255" s="131" t="str">
        <f aca="false">IF('Steve Griffith'!$B15="","","Steve Griffith")</f>
        <v/>
      </c>
      <c r="R255" s="131" t="n">
        <f aca="true">IF(OR($B255="",$I255="Complete",$L255=""),0,IF($L255&lt;TODAY(),1,0))</f>
        <v>0</v>
      </c>
      <c r="S255" s="131" t="n">
        <f aca="true">IF(OR($B255="",$I255="Complete",$L255=""),0,IF(AND($L255&gt;=TODAY(),$L255&lt;=TODAY()+7),1,0))</f>
        <v>0</v>
      </c>
      <c r="T255" s="131" t="str">
        <f aca="true">IF(OR($B255="",$L255=""),"",$L255-TODAY())</f>
        <v/>
      </c>
      <c r="U255" s="135" t="str">
        <f aca="false">IF($B255="","",IF($I255="Complete",1,IF($J255="",0,$J255)))</f>
        <v/>
      </c>
      <c r="V255" s="131" t="n">
        <f aca="false">IF($B255="",0,IF($N255="",0,1))</f>
        <v>0</v>
      </c>
      <c r="W255" s="131" t="n">
        <f aca="false">IF($B255="",0,1)</f>
        <v>0</v>
      </c>
    </row>
    <row r="256" customFormat="false" ht="15" hidden="false" customHeight="false" outlineLevel="0" collapsed="false">
      <c r="A256" s="131" t="str">
        <f aca="false">IF('Steve Griffith'!$B16="","",'Steve Griffith'!$A16)</f>
        <v/>
      </c>
      <c r="B256" s="131" t="str">
        <f aca="false">IF('Steve Griffith'!$B16="","",'Steve Griffith'!$B16)</f>
        <v/>
      </c>
      <c r="C256" s="132" t="str">
        <f aca="false">IF('Steve Griffith'!$B16="","",'Steve Griffith'!$C16)</f>
        <v/>
      </c>
      <c r="D256" s="132" t="str">
        <f aca="false">IF('Steve Griffith'!$B16="","",'Steve Griffith'!$D16)</f>
        <v/>
      </c>
      <c r="E256" s="132" t="str">
        <f aca="false">IF('Steve Griffith'!$B16="","",'Steve Griffith'!$E16)</f>
        <v/>
      </c>
      <c r="F256" s="132" t="str">
        <f aca="false">IF('Steve Griffith'!$B16="","",'Steve Griffith'!$F16)</f>
        <v/>
      </c>
      <c r="G256" s="132" t="str">
        <f aca="false">IF('Steve Griffith'!$B16="","",'Steve Griffith'!$G16)</f>
        <v/>
      </c>
      <c r="H256" s="131" t="str">
        <f aca="false">IF('Steve Griffith'!$B16="","",'Steve Griffith'!$H16)</f>
        <v/>
      </c>
      <c r="I256" s="131" t="str">
        <f aca="false">IF('Steve Griffith'!$B16="","",'Steve Griffith'!$I16)</f>
        <v/>
      </c>
      <c r="J256" s="133" t="str">
        <f aca="false">IF('Steve Griffith'!$B16="","",'Steve Griffith'!$J16)</f>
        <v/>
      </c>
      <c r="K256" s="134" t="str">
        <f aca="false">IF('Steve Griffith'!$B16="","",'Steve Griffith'!$K16)</f>
        <v/>
      </c>
      <c r="L256" s="134" t="str">
        <f aca="false">IF('Steve Griffith'!$B16="","",'Steve Griffith'!$L16)</f>
        <v/>
      </c>
      <c r="M256" s="132" t="str">
        <f aca="false">IF('Steve Griffith'!$B16="","",'Steve Griffith'!$M16)</f>
        <v/>
      </c>
      <c r="N256" s="132" t="str">
        <f aca="false">IF('Steve Griffith'!$B16="","",'Steve Griffith'!$N16)</f>
        <v/>
      </c>
      <c r="O256" s="134" t="str">
        <f aca="false">IF('Steve Griffith'!$B16="","",'Steve Griffith'!$O16)</f>
        <v/>
      </c>
      <c r="P256" s="132" t="str">
        <f aca="false">IF('Steve Griffith'!$B16="","",'Steve Griffith'!$P16)</f>
        <v/>
      </c>
      <c r="Q256" s="131" t="str">
        <f aca="false">IF('Steve Griffith'!$B16="","","Steve Griffith")</f>
        <v/>
      </c>
      <c r="R256" s="131" t="n">
        <f aca="true">IF(OR($B256="",$I256="Complete",$L256=""),0,IF($L256&lt;TODAY(),1,0))</f>
        <v>0</v>
      </c>
      <c r="S256" s="131" t="n">
        <f aca="true">IF(OR($B256="",$I256="Complete",$L256=""),0,IF(AND($L256&gt;=TODAY(),$L256&lt;=TODAY()+7),1,0))</f>
        <v>0</v>
      </c>
      <c r="T256" s="131" t="str">
        <f aca="true">IF(OR($B256="",$L256=""),"",$L256-TODAY())</f>
        <v/>
      </c>
      <c r="U256" s="135" t="str">
        <f aca="false">IF($B256="","",IF($I256="Complete",1,IF($J256="",0,$J256)))</f>
        <v/>
      </c>
      <c r="V256" s="131" t="n">
        <f aca="false">IF($B256="",0,IF($N256="",0,1))</f>
        <v>0</v>
      </c>
      <c r="W256" s="131" t="n">
        <f aca="false">IF($B256="",0,1)</f>
        <v>0</v>
      </c>
    </row>
    <row r="257" customFormat="false" ht="15" hidden="false" customHeight="false" outlineLevel="0" collapsed="false">
      <c r="A257" s="131" t="str">
        <f aca="false">IF('Steve Griffith'!$B17="","",'Steve Griffith'!$A17)</f>
        <v/>
      </c>
      <c r="B257" s="131" t="str">
        <f aca="false">IF('Steve Griffith'!$B17="","",'Steve Griffith'!$B17)</f>
        <v/>
      </c>
      <c r="C257" s="132" t="str">
        <f aca="false">IF('Steve Griffith'!$B17="","",'Steve Griffith'!$C17)</f>
        <v/>
      </c>
      <c r="D257" s="132" t="str">
        <f aca="false">IF('Steve Griffith'!$B17="","",'Steve Griffith'!$D17)</f>
        <v/>
      </c>
      <c r="E257" s="132" t="str">
        <f aca="false">IF('Steve Griffith'!$B17="","",'Steve Griffith'!$E17)</f>
        <v/>
      </c>
      <c r="F257" s="132" t="str">
        <f aca="false">IF('Steve Griffith'!$B17="","",'Steve Griffith'!$F17)</f>
        <v/>
      </c>
      <c r="G257" s="132" t="str">
        <f aca="false">IF('Steve Griffith'!$B17="","",'Steve Griffith'!$G17)</f>
        <v/>
      </c>
      <c r="H257" s="131" t="str">
        <f aca="false">IF('Steve Griffith'!$B17="","",'Steve Griffith'!$H17)</f>
        <v/>
      </c>
      <c r="I257" s="131" t="str">
        <f aca="false">IF('Steve Griffith'!$B17="","",'Steve Griffith'!$I17)</f>
        <v/>
      </c>
      <c r="J257" s="133" t="str">
        <f aca="false">IF('Steve Griffith'!$B17="","",'Steve Griffith'!$J17)</f>
        <v/>
      </c>
      <c r="K257" s="134" t="str">
        <f aca="false">IF('Steve Griffith'!$B17="","",'Steve Griffith'!$K17)</f>
        <v/>
      </c>
      <c r="L257" s="134" t="str">
        <f aca="false">IF('Steve Griffith'!$B17="","",'Steve Griffith'!$L17)</f>
        <v/>
      </c>
      <c r="M257" s="132" t="str">
        <f aca="false">IF('Steve Griffith'!$B17="","",'Steve Griffith'!$M17)</f>
        <v/>
      </c>
      <c r="N257" s="132" t="str">
        <f aca="false">IF('Steve Griffith'!$B17="","",'Steve Griffith'!$N17)</f>
        <v/>
      </c>
      <c r="O257" s="134" t="str">
        <f aca="false">IF('Steve Griffith'!$B17="","",'Steve Griffith'!$O17)</f>
        <v/>
      </c>
      <c r="P257" s="132" t="str">
        <f aca="false">IF('Steve Griffith'!$B17="","",'Steve Griffith'!$P17)</f>
        <v/>
      </c>
      <c r="Q257" s="131" t="str">
        <f aca="false">IF('Steve Griffith'!$B17="","","Steve Griffith")</f>
        <v/>
      </c>
      <c r="R257" s="131" t="n">
        <f aca="true">IF(OR($B257="",$I257="Complete",$L257=""),0,IF($L257&lt;TODAY(),1,0))</f>
        <v>0</v>
      </c>
      <c r="S257" s="131" t="n">
        <f aca="true">IF(OR($B257="",$I257="Complete",$L257=""),0,IF(AND($L257&gt;=TODAY(),$L257&lt;=TODAY()+7),1,0))</f>
        <v>0</v>
      </c>
      <c r="T257" s="131" t="str">
        <f aca="true">IF(OR($B257="",$L257=""),"",$L257-TODAY())</f>
        <v/>
      </c>
      <c r="U257" s="135" t="str">
        <f aca="false">IF($B257="","",IF($I257="Complete",1,IF($J257="",0,$J257)))</f>
        <v/>
      </c>
      <c r="V257" s="131" t="n">
        <f aca="false">IF($B257="",0,IF($N257="",0,1))</f>
        <v>0</v>
      </c>
      <c r="W257" s="131" t="n">
        <f aca="false">IF($B257="",0,1)</f>
        <v>0</v>
      </c>
    </row>
    <row r="258" customFormat="false" ht="15" hidden="false" customHeight="false" outlineLevel="0" collapsed="false">
      <c r="A258" s="131" t="str">
        <f aca="false">IF('Steve Griffith'!$B18="","",'Steve Griffith'!$A18)</f>
        <v/>
      </c>
      <c r="B258" s="131" t="str">
        <f aca="false">IF('Steve Griffith'!$B18="","",'Steve Griffith'!$B18)</f>
        <v/>
      </c>
      <c r="C258" s="132" t="str">
        <f aca="false">IF('Steve Griffith'!$B18="","",'Steve Griffith'!$C18)</f>
        <v/>
      </c>
      <c r="D258" s="132" t="str">
        <f aca="false">IF('Steve Griffith'!$B18="","",'Steve Griffith'!$D18)</f>
        <v/>
      </c>
      <c r="E258" s="132" t="str">
        <f aca="false">IF('Steve Griffith'!$B18="","",'Steve Griffith'!$E18)</f>
        <v/>
      </c>
      <c r="F258" s="132" t="str">
        <f aca="false">IF('Steve Griffith'!$B18="","",'Steve Griffith'!$F18)</f>
        <v/>
      </c>
      <c r="G258" s="132" t="str">
        <f aca="false">IF('Steve Griffith'!$B18="","",'Steve Griffith'!$G18)</f>
        <v/>
      </c>
      <c r="H258" s="131" t="str">
        <f aca="false">IF('Steve Griffith'!$B18="","",'Steve Griffith'!$H18)</f>
        <v/>
      </c>
      <c r="I258" s="131" t="str">
        <f aca="false">IF('Steve Griffith'!$B18="","",'Steve Griffith'!$I18)</f>
        <v/>
      </c>
      <c r="J258" s="133" t="str">
        <f aca="false">IF('Steve Griffith'!$B18="","",'Steve Griffith'!$J18)</f>
        <v/>
      </c>
      <c r="K258" s="134" t="str">
        <f aca="false">IF('Steve Griffith'!$B18="","",'Steve Griffith'!$K18)</f>
        <v/>
      </c>
      <c r="L258" s="134" t="str">
        <f aca="false">IF('Steve Griffith'!$B18="","",'Steve Griffith'!$L18)</f>
        <v/>
      </c>
      <c r="M258" s="132" t="str">
        <f aca="false">IF('Steve Griffith'!$B18="","",'Steve Griffith'!$M18)</f>
        <v/>
      </c>
      <c r="N258" s="132" t="str">
        <f aca="false">IF('Steve Griffith'!$B18="","",'Steve Griffith'!$N18)</f>
        <v/>
      </c>
      <c r="O258" s="134" t="str">
        <f aca="false">IF('Steve Griffith'!$B18="","",'Steve Griffith'!$O18)</f>
        <v/>
      </c>
      <c r="P258" s="132" t="str">
        <f aca="false">IF('Steve Griffith'!$B18="","",'Steve Griffith'!$P18)</f>
        <v/>
      </c>
      <c r="Q258" s="131" t="str">
        <f aca="false">IF('Steve Griffith'!$B18="","","Steve Griffith")</f>
        <v/>
      </c>
      <c r="R258" s="131" t="n">
        <f aca="true">IF(OR($B258="",$I258="Complete",$L258=""),0,IF($L258&lt;TODAY(),1,0))</f>
        <v>0</v>
      </c>
      <c r="S258" s="131" t="n">
        <f aca="true">IF(OR($B258="",$I258="Complete",$L258=""),0,IF(AND($L258&gt;=TODAY(),$L258&lt;=TODAY()+7),1,0))</f>
        <v>0</v>
      </c>
      <c r="T258" s="131" t="str">
        <f aca="true">IF(OR($B258="",$L258=""),"",$L258-TODAY())</f>
        <v/>
      </c>
      <c r="U258" s="135" t="str">
        <f aca="false">IF($B258="","",IF($I258="Complete",1,IF($J258="",0,$J258)))</f>
        <v/>
      </c>
      <c r="V258" s="131" t="n">
        <f aca="false">IF($B258="",0,IF($N258="",0,1))</f>
        <v>0</v>
      </c>
      <c r="W258" s="131" t="n">
        <f aca="false">IF($B258="",0,1)</f>
        <v>0</v>
      </c>
    </row>
    <row r="259" customFormat="false" ht="15" hidden="false" customHeight="false" outlineLevel="0" collapsed="false">
      <c r="A259" s="131" t="str">
        <f aca="false">IF('Steve Griffith'!$B19="","",'Steve Griffith'!$A19)</f>
        <v/>
      </c>
      <c r="B259" s="131" t="str">
        <f aca="false">IF('Steve Griffith'!$B19="","",'Steve Griffith'!$B19)</f>
        <v/>
      </c>
      <c r="C259" s="132" t="str">
        <f aca="false">IF('Steve Griffith'!$B19="","",'Steve Griffith'!$C19)</f>
        <v/>
      </c>
      <c r="D259" s="132" t="str">
        <f aca="false">IF('Steve Griffith'!$B19="","",'Steve Griffith'!$D19)</f>
        <v/>
      </c>
      <c r="E259" s="132" t="str">
        <f aca="false">IF('Steve Griffith'!$B19="","",'Steve Griffith'!$E19)</f>
        <v/>
      </c>
      <c r="F259" s="132" t="str">
        <f aca="false">IF('Steve Griffith'!$B19="","",'Steve Griffith'!$F19)</f>
        <v/>
      </c>
      <c r="G259" s="132" t="str">
        <f aca="false">IF('Steve Griffith'!$B19="","",'Steve Griffith'!$G19)</f>
        <v/>
      </c>
      <c r="H259" s="131" t="str">
        <f aca="false">IF('Steve Griffith'!$B19="","",'Steve Griffith'!$H19)</f>
        <v/>
      </c>
      <c r="I259" s="131" t="str">
        <f aca="false">IF('Steve Griffith'!$B19="","",'Steve Griffith'!$I19)</f>
        <v/>
      </c>
      <c r="J259" s="133" t="str">
        <f aca="false">IF('Steve Griffith'!$B19="","",'Steve Griffith'!$J19)</f>
        <v/>
      </c>
      <c r="K259" s="134" t="str">
        <f aca="false">IF('Steve Griffith'!$B19="","",'Steve Griffith'!$K19)</f>
        <v/>
      </c>
      <c r="L259" s="134" t="str">
        <f aca="false">IF('Steve Griffith'!$B19="","",'Steve Griffith'!$L19)</f>
        <v/>
      </c>
      <c r="M259" s="132" t="str">
        <f aca="false">IF('Steve Griffith'!$B19="","",'Steve Griffith'!$M19)</f>
        <v/>
      </c>
      <c r="N259" s="132" t="str">
        <f aca="false">IF('Steve Griffith'!$B19="","",'Steve Griffith'!$N19)</f>
        <v/>
      </c>
      <c r="O259" s="134" t="str">
        <f aca="false">IF('Steve Griffith'!$B19="","",'Steve Griffith'!$O19)</f>
        <v/>
      </c>
      <c r="P259" s="132" t="str">
        <f aca="false">IF('Steve Griffith'!$B19="","",'Steve Griffith'!$P19)</f>
        <v/>
      </c>
      <c r="Q259" s="131" t="str">
        <f aca="false">IF('Steve Griffith'!$B19="","","Steve Griffith")</f>
        <v/>
      </c>
      <c r="R259" s="131" t="n">
        <f aca="true">IF(OR($B259="",$I259="Complete",$L259=""),0,IF($L259&lt;TODAY(),1,0))</f>
        <v>0</v>
      </c>
      <c r="S259" s="131" t="n">
        <f aca="true">IF(OR($B259="",$I259="Complete",$L259=""),0,IF(AND($L259&gt;=TODAY(),$L259&lt;=TODAY()+7),1,0))</f>
        <v>0</v>
      </c>
      <c r="T259" s="131" t="str">
        <f aca="true">IF(OR($B259="",$L259=""),"",$L259-TODAY())</f>
        <v/>
      </c>
      <c r="U259" s="135" t="str">
        <f aca="false">IF($B259="","",IF($I259="Complete",1,IF($J259="",0,$J259)))</f>
        <v/>
      </c>
      <c r="V259" s="131" t="n">
        <f aca="false">IF($B259="",0,IF($N259="",0,1))</f>
        <v>0</v>
      </c>
      <c r="W259" s="131" t="n">
        <f aca="false">IF($B259="",0,1)</f>
        <v>0</v>
      </c>
    </row>
    <row r="260" customFormat="false" ht="15" hidden="false" customHeight="false" outlineLevel="0" collapsed="false">
      <c r="A260" s="131" t="str">
        <f aca="false">IF('Steve Griffith'!$B20="","",'Steve Griffith'!$A20)</f>
        <v/>
      </c>
      <c r="B260" s="131" t="str">
        <f aca="false">IF('Steve Griffith'!$B20="","",'Steve Griffith'!$B20)</f>
        <v/>
      </c>
      <c r="C260" s="132" t="str">
        <f aca="false">IF('Steve Griffith'!$B20="","",'Steve Griffith'!$C20)</f>
        <v/>
      </c>
      <c r="D260" s="132" t="str">
        <f aca="false">IF('Steve Griffith'!$B20="","",'Steve Griffith'!$D20)</f>
        <v/>
      </c>
      <c r="E260" s="132" t="str">
        <f aca="false">IF('Steve Griffith'!$B20="","",'Steve Griffith'!$E20)</f>
        <v/>
      </c>
      <c r="F260" s="132" t="str">
        <f aca="false">IF('Steve Griffith'!$B20="","",'Steve Griffith'!$F20)</f>
        <v/>
      </c>
      <c r="G260" s="132" t="str">
        <f aca="false">IF('Steve Griffith'!$B20="","",'Steve Griffith'!$G20)</f>
        <v/>
      </c>
      <c r="H260" s="131" t="str">
        <f aca="false">IF('Steve Griffith'!$B20="","",'Steve Griffith'!$H20)</f>
        <v/>
      </c>
      <c r="I260" s="131" t="str">
        <f aca="false">IF('Steve Griffith'!$B20="","",'Steve Griffith'!$I20)</f>
        <v/>
      </c>
      <c r="J260" s="133" t="str">
        <f aca="false">IF('Steve Griffith'!$B20="","",'Steve Griffith'!$J20)</f>
        <v/>
      </c>
      <c r="K260" s="134" t="str">
        <f aca="false">IF('Steve Griffith'!$B20="","",'Steve Griffith'!$K20)</f>
        <v/>
      </c>
      <c r="L260" s="134" t="str">
        <f aca="false">IF('Steve Griffith'!$B20="","",'Steve Griffith'!$L20)</f>
        <v/>
      </c>
      <c r="M260" s="132" t="str">
        <f aca="false">IF('Steve Griffith'!$B20="","",'Steve Griffith'!$M20)</f>
        <v/>
      </c>
      <c r="N260" s="132" t="str">
        <f aca="false">IF('Steve Griffith'!$B20="","",'Steve Griffith'!$N20)</f>
        <v/>
      </c>
      <c r="O260" s="134" t="str">
        <f aca="false">IF('Steve Griffith'!$B20="","",'Steve Griffith'!$O20)</f>
        <v/>
      </c>
      <c r="P260" s="132" t="str">
        <f aca="false">IF('Steve Griffith'!$B20="","",'Steve Griffith'!$P20)</f>
        <v/>
      </c>
      <c r="Q260" s="131" t="str">
        <f aca="false">IF('Steve Griffith'!$B20="","","Steve Griffith")</f>
        <v/>
      </c>
      <c r="R260" s="131" t="n">
        <f aca="true">IF(OR($B260="",$I260="Complete",$L260=""),0,IF($L260&lt;TODAY(),1,0))</f>
        <v>0</v>
      </c>
      <c r="S260" s="131" t="n">
        <f aca="true">IF(OR($B260="",$I260="Complete",$L260=""),0,IF(AND($L260&gt;=TODAY(),$L260&lt;=TODAY()+7),1,0))</f>
        <v>0</v>
      </c>
      <c r="T260" s="131" t="str">
        <f aca="true">IF(OR($B260="",$L260=""),"",$L260-TODAY())</f>
        <v/>
      </c>
      <c r="U260" s="135" t="str">
        <f aca="false">IF($B260="","",IF($I260="Complete",1,IF($J260="",0,$J260)))</f>
        <v/>
      </c>
      <c r="V260" s="131" t="n">
        <f aca="false">IF($B260="",0,IF($N260="",0,1))</f>
        <v>0</v>
      </c>
      <c r="W260" s="131" t="n">
        <f aca="false">IF($B260="",0,1)</f>
        <v>0</v>
      </c>
    </row>
    <row r="261" customFormat="false" ht="15" hidden="false" customHeight="false" outlineLevel="0" collapsed="false">
      <c r="A261" s="131" t="str">
        <f aca="false">IF('Steve Griffith'!$B21="","",'Steve Griffith'!$A21)</f>
        <v/>
      </c>
      <c r="B261" s="131" t="str">
        <f aca="false">IF('Steve Griffith'!$B21="","",'Steve Griffith'!$B21)</f>
        <v/>
      </c>
      <c r="C261" s="132" t="str">
        <f aca="false">IF('Steve Griffith'!$B21="","",'Steve Griffith'!$C21)</f>
        <v/>
      </c>
      <c r="D261" s="132" t="str">
        <f aca="false">IF('Steve Griffith'!$B21="","",'Steve Griffith'!$D21)</f>
        <v/>
      </c>
      <c r="E261" s="132" t="str">
        <f aca="false">IF('Steve Griffith'!$B21="","",'Steve Griffith'!$E21)</f>
        <v/>
      </c>
      <c r="F261" s="132" t="str">
        <f aca="false">IF('Steve Griffith'!$B21="","",'Steve Griffith'!$F21)</f>
        <v/>
      </c>
      <c r="G261" s="132" t="str">
        <f aca="false">IF('Steve Griffith'!$B21="","",'Steve Griffith'!$G21)</f>
        <v/>
      </c>
      <c r="H261" s="131" t="str">
        <f aca="false">IF('Steve Griffith'!$B21="","",'Steve Griffith'!$H21)</f>
        <v/>
      </c>
      <c r="I261" s="131" t="str">
        <f aca="false">IF('Steve Griffith'!$B21="","",'Steve Griffith'!$I21)</f>
        <v/>
      </c>
      <c r="J261" s="133" t="str">
        <f aca="false">IF('Steve Griffith'!$B21="","",'Steve Griffith'!$J21)</f>
        <v/>
      </c>
      <c r="K261" s="134" t="str">
        <f aca="false">IF('Steve Griffith'!$B21="","",'Steve Griffith'!$K21)</f>
        <v/>
      </c>
      <c r="L261" s="134" t="str">
        <f aca="false">IF('Steve Griffith'!$B21="","",'Steve Griffith'!$L21)</f>
        <v/>
      </c>
      <c r="M261" s="132" t="str">
        <f aca="false">IF('Steve Griffith'!$B21="","",'Steve Griffith'!$M21)</f>
        <v/>
      </c>
      <c r="N261" s="132" t="str">
        <f aca="false">IF('Steve Griffith'!$B21="","",'Steve Griffith'!$N21)</f>
        <v/>
      </c>
      <c r="O261" s="134" t="str">
        <f aca="false">IF('Steve Griffith'!$B21="","",'Steve Griffith'!$O21)</f>
        <v/>
      </c>
      <c r="P261" s="132" t="str">
        <f aca="false">IF('Steve Griffith'!$B21="","",'Steve Griffith'!$P21)</f>
        <v/>
      </c>
      <c r="Q261" s="131" t="str">
        <f aca="false">IF('Steve Griffith'!$B21="","","Steve Griffith")</f>
        <v/>
      </c>
      <c r="R261" s="131" t="n">
        <f aca="true">IF(OR($B261="",$I261="Complete",$L261=""),0,IF($L261&lt;TODAY(),1,0))</f>
        <v>0</v>
      </c>
      <c r="S261" s="131" t="n">
        <f aca="true">IF(OR($B261="",$I261="Complete",$L261=""),0,IF(AND($L261&gt;=TODAY(),$L261&lt;=TODAY()+7),1,0))</f>
        <v>0</v>
      </c>
      <c r="T261" s="131" t="str">
        <f aca="true">IF(OR($B261="",$L261=""),"",$L261-TODAY())</f>
        <v/>
      </c>
      <c r="U261" s="135" t="str">
        <f aca="false">IF($B261="","",IF($I261="Complete",1,IF($J261="",0,$J261)))</f>
        <v/>
      </c>
      <c r="V261" s="131" t="n">
        <f aca="false">IF($B261="",0,IF($N261="",0,1))</f>
        <v>0</v>
      </c>
      <c r="W261" s="131" t="n">
        <f aca="false">IF($B261="",0,1)</f>
        <v>0</v>
      </c>
    </row>
    <row r="262" customFormat="false" ht="15" hidden="false" customHeight="false" outlineLevel="0" collapsed="false">
      <c r="A262" s="131" t="str">
        <f aca="false">IF('Steve Griffith'!$B22="","",'Steve Griffith'!$A22)</f>
        <v/>
      </c>
      <c r="B262" s="131" t="str">
        <f aca="false">IF('Steve Griffith'!$B22="","",'Steve Griffith'!$B22)</f>
        <v/>
      </c>
      <c r="C262" s="132" t="str">
        <f aca="false">IF('Steve Griffith'!$B22="","",'Steve Griffith'!$C22)</f>
        <v/>
      </c>
      <c r="D262" s="132" t="str">
        <f aca="false">IF('Steve Griffith'!$B22="","",'Steve Griffith'!$D22)</f>
        <v/>
      </c>
      <c r="E262" s="132" t="str">
        <f aca="false">IF('Steve Griffith'!$B22="","",'Steve Griffith'!$E22)</f>
        <v/>
      </c>
      <c r="F262" s="132" t="str">
        <f aca="false">IF('Steve Griffith'!$B22="","",'Steve Griffith'!$F22)</f>
        <v/>
      </c>
      <c r="G262" s="132" t="str">
        <f aca="false">IF('Steve Griffith'!$B22="","",'Steve Griffith'!$G22)</f>
        <v/>
      </c>
      <c r="H262" s="131" t="str">
        <f aca="false">IF('Steve Griffith'!$B22="","",'Steve Griffith'!$H22)</f>
        <v/>
      </c>
      <c r="I262" s="131" t="str">
        <f aca="false">IF('Steve Griffith'!$B22="","",'Steve Griffith'!$I22)</f>
        <v/>
      </c>
      <c r="J262" s="133" t="str">
        <f aca="false">IF('Steve Griffith'!$B22="","",'Steve Griffith'!$J22)</f>
        <v/>
      </c>
      <c r="K262" s="134" t="str">
        <f aca="false">IF('Steve Griffith'!$B22="","",'Steve Griffith'!$K22)</f>
        <v/>
      </c>
      <c r="L262" s="134" t="str">
        <f aca="false">IF('Steve Griffith'!$B22="","",'Steve Griffith'!$L22)</f>
        <v/>
      </c>
      <c r="M262" s="132" t="str">
        <f aca="false">IF('Steve Griffith'!$B22="","",'Steve Griffith'!$M22)</f>
        <v/>
      </c>
      <c r="N262" s="132" t="str">
        <f aca="false">IF('Steve Griffith'!$B22="","",'Steve Griffith'!$N22)</f>
        <v/>
      </c>
      <c r="O262" s="134" t="str">
        <f aca="false">IF('Steve Griffith'!$B22="","",'Steve Griffith'!$O22)</f>
        <v/>
      </c>
      <c r="P262" s="132" t="str">
        <f aca="false">IF('Steve Griffith'!$B22="","",'Steve Griffith'!$P22)</f>
        <v/>
      </c>
      <c r="Q262" s="131" t="str">
        <f aca="false">IF('Steve Griffith'!$B22="","","Steve Griffith")</f>
        <v/>
      </c>
      <c r="R262" s="131" t="n">
        <f aca="true">IF(OR($B262="",$I262="Complete",$L262=""),0,IF($L262&lt;TODAY(),1,0))</f>
        <v>0</v>
      </c>
      <c r="S262" s="131" t="n">
        <f aca="true">IF(OR($B262="",$I262="Complete",$L262=""),0,IF(AND($L262&gt;=TODAY(),$L262&lt;=TODAY()+7),1,0))</f>
        <v>0</v>
      </c>
      <c r="T262" s="131" t="str">
        <f aca="true">IF(OR($B262="",$L262=""),"",$L262-TODAY())</f>
        <v/>
      </c>
      <c r="U262" s="135" t="str">
        <f aca="false">IF($B262="","",IF($I262="Complete",1,IF($J262="",0,$J262)))</f>
        <v/>
      </c>
      <c r="V262" s="131" t="n">
        <f aca="false">IF($B262="",0,IF($N262="",0,1))</f>
        <v>0</v>
      </c>
      <c r="W262" s="131" t="n">
        <f aca="false">IF($B262="",0,1)</f>
        <v>0</v>
      </c>
    </row>
    <row r="263" customFormat="false" ht="15" hidden="false" customHeight="false" outlineLevel="0" collapsed="false">
      <c r="A263" s="131" t="str">
        <f aca="false">IF('Steve Griffith'!$B23="","",'Steve Griffith'!$A23)</f>
        <v/>
      </c>
      <c r="B263" s="131" t="str">
        <f aca="false">IF('Steve Griffith'!$B23="","",'Steve Griffith'!$B23)</f>
        <v/>
      </c>
      <c r="C263" s="132" t="str">
        <f aca="false">IF('Steve Griffith'!$B23="","",'Steve Griffith'!$C23)</f>
        <v/>
      </c>
      <c r="D263" s="132" t="str">
        <f aca="false">IF('Steve Griffith'!$B23="","",'Steve Griffith'!$D23)</f>
        <v/>
      </c>
      <c r="E263" s="132" t="str">
        <f aca="false">IF('Steve Griffith'!$B23="","",'Steve Griffith'!$E23)</f>
        <v/>
      </c>
      <c r="F263" s="132" t="str">
        <f aca="false">IF('Steve Griffith'!$B23="","",'Steve Griffith'!$F23)</f>
        <v/>
      </c>
      <c r="G263" s="132" t="str">
        <f aca="false">IF('Steve Griffith'!$B23="","",'Steve Griffith'!$G23)</f>
        <v/>
      </c>
      <c r="H263" s="131" t="str">
        <f aca="false">IF('Steve Griffith'!$B23="","",'Steve Griffith'!$H23)</f>
        <v/>
      </c>
      <c r="I263" s="131" t="str">
        <f aca="false">IF('Steve Griffith'!$B23="","",'Steve Griffith'!$I23)</f>
        <v/>
      </c>
      <c r="J263" s="133" t="str">
        <f aca="false">IF('Steve Griffith'!$B23="","",'Steve Griffith'!$J23)</f>
        <v/>
      </c>
      <c r="K263" s="134" t="str">
        <f aca="false">IF('Steve Griffith'!$B23="","",'Steve Griffith'!$K23)</f>
        <v/>
      </c>
      <c r="L263" s="134" t="str">
        <f aca="false">IF('Steve Griffith'!$B23="","",'Steve Griffith'!$L23)</f>
        <v/>
      </c>
      <c r="M263" s="132" t="str">
        <f aca="false">IF('Steve Griffith'!$B23="","",'Steve Griffith'!$M23)</f>
        <v/>
      </c>
      <c r="N263" s="132" t="str">
        <f aca="false">IF('Steve Griffith'!$B23="","",'Steve Griffith'!$N23)</f>
        <v/>
      </c>
      <c r="O263" s="134" t="str">
        <f aca="false">IF('Steve Griffith'!$B23="","",'Steve Griffith'!$O23)</f>
        <v/>
      </c>
      <c r="P263" s="132" t="str">
        <f aca="false">IF('Steve Griffith'!$B23="","",'Steve Griffith'!$P23)</f>
        <v/>
      </c>
      <c r="Q263" s="131" t="str">
        <f aca="false">IF('Steve Griffith'!$B23="","","Steve Griffith")</f>
        <v/>
      </c>
      <c r="R263" s="131" t="n">
        <f aca="true">IF(OR($B263="",$I263="Complete",$L263=""),0,IF($L263&lt;TODAY(),1,0))</f>
        <v>0</v>
      </c>
      <c r="S263" s="131" t="n">
        <f aca="true">IF(OR($B263="",$I263="Complete",$L263=""),0,IF(AND($L263&gt;=TODAY(),$L263&lt;=TODAY()+7),1,0))</f>
        <v>0</v>
      </c>
      <c r="T263" s="131" t="str">
        <f aca="true">IF(OR($B263="",$L263=""),"",$L263-TODAY())</f>
        <v/>
      </c>
      <c r="U263" s="135" t="str">
        <f aca="false">IF($B263="","",IF($I263="Complete",1,IF($J263="",0,$J263)))</f>
        <v/>
      </c>
      <c r="V263" s="131" t="n">
        <f aca="false">IF($B263="",0,IF($N263="",0,1))</f>
        <v>0</v>
      </c>
      <c r="W263" s="131" t="n">
        <f aca="false">IF($B263="",0,1)</f>
        <v>0</v>
      </c>
    </row>
    <row r="264" customFormat="false" ht="15" hidden="false" customHeight="false" outlineLevel="0" collapsed="false">
      <c r="A264" s="131" t="str">
        <f aca="false">IF('Steve Griffith'!$B24="","",'Steve Griffith'!$A24)</f>
        <v/>
      </c>
      <c r="B264" s="131" t="str">
        <f aca="false">IF('Steve Griffith'!$B24="","",'Steve Griffith'!$B24)</f>
        <v/>
      </c>
      <c r="C264" s="132" t="str">
        <f aca="false">IF('Steve Griffith'!$B24="","",'Steve Griffith'!$C24)</f>
        <v/>
      </c>
      <c r="D264" s="132" t="str">
        <f aca="false">IF('Steve Griffith'!$B24="","",'Steve Griffith'!$D24)</f>
        <v/>
      </c>
      <c r="E264" s="132" t="str">
        <f aca="false">IF('Steve Griffith'!$B24="","",'Steve Griffith'!$E24)</f>
        <v/>
      </c>
      <c r="F264" s="132" t="str">
        <f aca="false">IF('Steve Griffith'!$B24="","",'Steve Griffith'!$F24)</f>
        <v/>
      </c>
      <c r="G264" s="132" t="str">
        <f aca="false">IF('Steve Griffith'!$B24="","",'Steve Griffith'!$G24)</f>
        <v/>
      </c>
      <c r="H264" s="131" t="str">
        <f aca="false">IF('Steve Griffith'!$B24="","",'Steve Griffith'!$H24)</f>
        <v/>
      </c>
      <c r="I264" s="131" t="str">
        <f aca="false">IF('Steve Griffith'!$B24="","",'Steve Griffith'!$I24)</f>
        <v/>
      </c>
      <c r="J264" s="133" t="str">
        <f aca="false">IF('Steve Griffith'!$B24="","",'Steve Griffith'!$J24)</f>
        <v/>
      </c>
      <c r="K264" s="134" t="str">
        <f aca="false">IF('Steve Griffith'!$B24="","",'Steve Griffith'!$K24)</f>
        <v/>
      </c>
      <c r="L264" s="134" t="str">
        <f aca="false">IF('Steve Griffith'!$B24="","",'Steve Griffith'!$L24)</f>
        <v/>
      </c>
      <c r="M264" s="132" t="str">
        <f aca="false">IF('Steve Griffith'!$B24="","",'Steve Griffith'!$M24)</f>
        <v/>
      </c>
      <c r="N264" s="132" t="str">
        <f aca="false">IF('Steve Griffith'!$B24="","",'Steve Griffith'!$N24)</f>
        <v/>
      </c>
      <c r="O264" s="134" t="str">
        <f aca="false">IF('Steve Griffith'!$B24="","",'Steve Griffith'!$O24)</f>
        <v/>
      </c>
      <c r="P264" s="132" t="str">
        <f aca="false">IF('Steve Griffith'!$B24="","",'Steve Griffith'!$P24)</f>
        <v/>
      </c>
      <c r="Q264" s="131" t="str">
        <f aca="false">IF('Steve Griffith'!$B24="","","Steve Griffith")</f>
        <v/>
      </c>
      <c r="R264" s="131" t="n">
        <f aca="true">IF(OR($B264="",$I264="Complete",$L264=""),0,IF($L264&lt;TODAY(),1,0))</f>
        <v>0</v>
      </c>
      <c r="S264" s="131" t="n">
        <f aca="true">IF(OR($B264="",$I264="Complete",$L264=""),0,IF(AND($L264&gt;=TODAY(),$L264&lt;=TODAY()+7),1,0))</f>
        <v>0</v>
      </c>
      <c r="T264" s="131" t="str">
        <f aca="true">IF(OR($B264="",$L264=""),"",$L264-TODAY())</f>
        <v/>
      </c>
      <c r="U264" s="135" t="str">
        <f aca="false">IF($B264="","",IF($I264="Complete",1,IF($J264="",0,$J264)))</f>
        <v/>
      </c>
      <c r="V264" s="131" t="n">
        <f aca="false">IF($B264="",0,IF($N264="",0,1))</f>
        <v>0</v>
      </c>
      <c r="W264" s="131" t="n">
        <f aca="false">IF($B264="",0,1)</f>
        <v>0</v>
      </c>
    </row>
    <row r="265" customFormat="false" ht="15" hidden="false" customHeight="false" outlineLevel="0" collapsed="false">
      <c r="A265" s="131" t="str">
        <f aca="false">IF('Steve Griffith'!$B25="","",'Steve Griffith'!$A25)</f>
        <v/>
      </c>
      <c r="B265" s="131" t="str">
        <f aca="false">IF('Steve Griffith'!$B25="","",'Steve Griffith'!$B25)</f>
        <v/>
      </c>
      <c r="C265" s="132" t="str">
        <f aca="false">IF('Steve Griffith'!$B25="","",'Steve Griffith'!$C25)</f>
        <v/>
      </c>
      <c r="D265" s="132" t="str">
        <f aca="false">IF('Steve Griffith'!$B25="","",'Steve Griffith'!$D25)</f>
        <v/>
      </c>
      <c r="E265" s="132" t="str">
        <f aca="false">IF('Steve Griffith'!$B25="","",'Steve Griffith'!$E25)</f>
        <v/>
      </c>
      <c r="F265" s="132" t="str">
        <f aca="false">IF('Steve Griffith'!$B25="","",'Steve Griffith'!$F25)</f>
        <v/>
      </c>
      <c r="G265" s="132" t="str">
        <f aca="false">IF('Steve Griffith'!$B25="","",'Steve Griffith'!$G25)</f>
        <v/>
      </c>
      <c r="H265" s="131" t="str">
        <f aca="false">IF('Steve Griffith'!$B25="","",'Steve Griffith'!$H25)</f>
        <v/>
      </c>
      <c r="I265" s="131" t="str">
        <f aca="false">IF('Steve Griffith'!$B25="","",'Steve Griffith'!$I25)</f>
        <v/>
      </c>
      <c r="J265" s="133" t="str">
        <f aca="false">IF('Steve Griffith'!$B25="","",'Steve Griffith'!$J25)</f>
        <v/>
      </c>
      <c r="K265" s="134" t="str">
        <f aca="false">IF('Steve Griffith'!$B25="","",'Steve Griffith'!$K25)</f>
        <v/>
      </c>
      <c r="L265" s="134" t="str">
        <f aca="false">IF('Steve Griffith'!$B25="","",'Steve Griffith'!$L25)</f>
        <v/>
      </c>
      <c r="M265" s="132" t="str">
        <f aca="false">IF('Steve Griffith'!$B25="","",'Steve Griffith'!$M25)</f>
        <v/>
      </c>
      <c r="N265" s="132" t="str">
        <f aca="false">IF('Steve Griffith'!$B25="","",'Steve Griffith'!$N25)</f>
        <v/>
      </c>
      <c r="O265" s="134" t="str">
        <f aca="false">IF('Steve Griffith'!$B25="","",'Steve Griffith'!$O25)</f>
        <v/>
      </c>
      <c r="P265" s="132" t="str">
        <f aca="false">IF('Steve Griffith'!$B25="","",'Steve Griffith'!$P25)</f>
        <v/>
      </c>
      <c r="Q265" s="131" t="str">
        <f aca="false">IF('Steve Griffith'!$B25="","","Steve Griffith")</f>
        <v/>
      </c>
      <c r="R265" s="131" t="n">
        <f aca="true">IF(OR($B265="",$I265="Complete",$L265=""),0,IF($L265&lt;TODAY(),1,0))</f>
        <v>0</v>
      </c>
      <c r="S265" s="131" t="n">
        <f aca="true">IF(OR($B265="",$I265="Complete",$L265=""),0,IF(AND($L265&gt;=TODAY(),$L265&lt;=TODAY()+7),1,0))</f>
        <v>0</v>
      </c>
      <c r="T265" s="131" t="str">
        <f aca="true">IF(OR($B265="",$L265=""),"",$L265-TODAY())</f>
        <v/>
      </c>
      <c r="U265" s="135" t="str">
        <f aca="false">IF($B265="","",IF($I265="Complete",1,IF($J265="",0,$J265)))</f>
        <v/>
      </c>
      <c r="V265" s="131" t="n">
        <f aca="false">IF($B265="",0,IF($N265="",0,1))</f>
        <v>0</v>
      </c>
      <c r="W265" s="131" t="n">
        <f aca="false">IF($B265="",0,1)</f>
        <v>0</v>
      </c>
    </row>
    <row r="266" customFormat="false" ht="15" hidden="false" customHeight="false" outlineLevel="0" collapsed="false">
      <c r="A266" s="131" t="str">
        <f aca="false">IF('Steve Griffith'!$B26="","",'Steve Griffith'!$A26)</f>
        <v/>
      </c>
      <c r="B266" s="131" t="str">
        <f aca="false">IF('Steve Griffith'!$B26="","",'Steve Griffith'!$B26)</f>
        <v/>
      </c>
      <c r="C266" s="132" t="str">
        <f aca="false">IF('Steve Griffith'!$B26="","",'Steve Griffith'!$C26)</f>
        <v/>
      </c>
      <c r="D266" s="132" t="str">
        <f aca="false">IF('Steve Griffith'!$B26="","",'Steve Griffith'!$D26)</f>
        <v/>
      </c>
      <c r="E266" s="132" t="str">
        <f aca="false">IF('Steve Griffith'!$B26="","",'Steve Griffith'!$E26)</f>
        <v/>
      </c>
      <c r="F266" s="132" t="str">
        <f aca="false">IF('Steve Griffith'!$B26="","",'Steve Griffith'!$F26)</f>
        <v/>
      </c>
      <c r="G266" s="132" t="str">
        <f aca="false">IF('Steve Griffith'!$B26="","",'Steve Griffith'!$G26)</f>
        <v/>
      </c>
      <c r="H266" s="131" t="str">
        <f aca="false">IF('Steve Griffith'!$B26="","",'Steve Griffith'!$H26)</f>
        <v/>
      </c>
      <c r="I266" s="131" t="str">
        <f aca="false">IF('Steve Griffith'!$B26="","",'Steve Griffith'!$I26)</f>
        <v/>
      </c>
      <c r="J266" s="133" t="str">
        <f aca="false">IF('Steve Griffith'!$B26="","",'Steve Griffith'!$J26)</f>
        <v/>
      </c>
      <c r="K266" s="134" t="str">
        <f aca="false">IF('Steve Griffith'!$B26="","",'Steve Griffith'!$K26)</f>
        <v/>
      </c>
      <c r="L266" s="134" t="str">
        <f aca="false">IF('Steve Griffith'!$B26="","",'Steve Griffith'!$L26)</f>
        <v/>
      </c>
      <c r="M266" s="132" t="str">
        <f aca="false">IF('Steve Griffith'!$B26="","",'Steve Griffith'!$M26)</f>
        <v/>
      </c>
      <c r="N266" s="132" t="str">
        <f aca="false">IF('Steve Griffith'!$B26="","",'Steve Griffith'!$N26)</f>
        <v/>
      </c>
      <c r="O266" s="134" t="str">
        <f aca="false">IF('Steve Griffith'!$B26="","",'Steve Griffith'!$O26)</f>
        <v/>
      </c>
      <c r="P266" s="132" t="str">
        <f aca="false">IF('Steve Griffith'!$B26="","",'Steve Griffith'!$P26)</f>
        <v/>
      </c>
      <c r="Q266" s="131" t="str">
        <f aca="false">IF('Steve Griffith'!$B26="","","Steve Griffith")</f>
        <v/>
      </c>
      <c r="R266" s="131" t="n">
        <f aca="true">IF(OR($B266="",$I266="Complete",$L266=""),0,IF($L266&lt;TODAY(),1,0))</f>
        <v>0</v>
      </c>
      <c r="S266" s="131" t="n">
        <f aca="true">IF(OR($B266="",$I266="Complete",$L266=""),0,IF(AND($L266&gt;=TODAY(),$L266&lt;=TODAY()+7),1,0))</f>
        <v>0</v>
      </c>
      <c r="T266" s="131" t="str">
        <f aca="true">IF(OR($B266="",$L266=""),"",$L266-TODAY())</f>
        <v/>
      </c>
      <c r="U266" s="135" t="str">
        <f aca="false">IF($B266="","",IF($I266="Complete",1,IF($J266="",0,$J266)))</f>
        <v/>
      </c>
      <c r="V266" s="131" t="n">
        <f aca="false">IF($B266="",0,IF($N266="",0,1))</f>
        <v>0</v>
      </c>
      <c r="W266" s="131" t="n">
        <f aca="false">IF($B266="",0,1)</f>
        <v>0</v>
      </c>
    </row>
    <row r="267" customFormat="false" ht="15" hidden="false" customHeight="false" outlineLevel="0" collapsed="false">
      <c r="A267" s="131" t="str">
        <f aca="false">IF('Steve Griffith'!$B27="","",'Steve Griffith'!$A27)</f>
        <v/>
      </c>
      <c r="B267" s="131" t="str">
        <f aca="false">IF('Steve Griffith'!$B27="","",'Steve Griffith'!$B27)</f>
        <v/>
      </c>
      <c r="C267" s="132" t="str">
        <f aca="false">IF('Steve Griffith'!$B27="","",'Steve Griffith'!$C27)</f>
        <v/>
      </c>
      <c r="D267" s="132" t="str">
        <f aca="false">IF('Steve Griffith'!$B27="","",'Steve Griffith'!$D27)</f>
        <v/>
      </c>
      <c r="E267" s="132" t="str">
        <f aca="false">IF('Steve Griffith'!$B27="","",'Steve Griffith'!$E27)</f>
        <v/>
      </c>
      <c r="F267" s="132" t="str">
        <f aca="false">IF('Steve Griffith'!$B27="","",'Steve Griffith'!$F27)</f>
        <v/>
      </c>
      <c r="G267" s="132" t="str">
        <f aca="false">IF('Steve Griffith'!$B27="","",'Steve Griffith'!$G27)</f>
        <v/>
      </c>
      <c r="H267" s="131" t="str">
        <f aca="false">IF('Steve Griffith'!$B27="","",'Steve Griffith'!$H27)</f>
        <v/>
      </c>
      <c r="I267" s="131" t="str">
        <f aca="false">IF('Steve Griffith'!$B27="","",'Steve Griffith'!$I27)</f>
        <v/>
      </c>
      <c r="J267" s="133" t="str">
        <f aca="false">IF('Steve Griffith'!$B27="","",'Steve Griffith'!$J27)</f>
        <v/>
      </c>
      <c r="K267" s="134" t="str">
        <f aca="false">IF('Steve Griffith'!$B27="","",'Steve Griffith'!$K27)</f>
        <v/>
      </c>
      <c r="L267" s="134" t="str">
        <f aca="false">IF('Steve Griffith'!$B27="","",'Steve Griffith'!$L27)</f>
        <v/>
      </c>
      <c r="M267" s="132" t="str">
        <f aca="false">IF('Steve Griffith'!$B27="","",'Steve Griffith'!$M27)</f>
        <v/>
      </c>
      <c r="N267" s="132" t="str">
        <f aca="false">IF('Steve Griffith'!$B27="","",'Steve Griffith'!$N27)</f>
        <v/>
      </c>
      <c r="O267" s="134" t="str">
        <f aca="false">IF('Steve Griffith'!$B27="","",'Steve Griffith'!$O27)</f>
        <v/>
      </c>
      <c r="P267" s="132" t="str">
        <f aca="false">IF('Steve Griffith'!$B27="","",'Steve Griffith'!$P27)</f>
        <v/>
      </c>
      <c r="Q267" s="131" t="str">
        <f aca="false">IF('Steve Griffith'!$B27="","","Steve Griffith")</f>
        <v/>
      </c>
      <c r="R267" s="131" t="n">
        <f aca="true">IF(OR($B267="",$I267="Complete",$L267=""),0,IF($L267&lt;TODAY(),1,0))</f>
        <v>0</v>
      </c>
      <c r="S267" s="131" t="n">
        <f aca="true">IF(OR($B267="",$I267="Complete",$L267=""),0,IF(AND($L267&gt;=TODAY(),$L267&lt;=TODAY()+7),1,0))</f>
        <v>0</v>
      </c>
      <c r="T267" s="131" t="str">
        <f aca="true">IF(OR($B267="",$L267=""),"",$L267-TODAY())</f>
        <v/>
      </c>
      <c r="U267" s="135" t="str">
        <f aca="false">IF($B267="","",IF($I267="Complete",1,IF($J267="",0,$J267)))</f>
        <v/>
      </c>
      <c r="V267" s="131" t="n">
        <f aca="false">IF($B267="",0,IF($N267="",0,1))</f>
        <v>0</v>
      </c>
      <c r="W267" s="131" t="n">
        <f aca="false">IF($B267="",0,1)</f>
        <v>0</v>
      </c>
    </row>
    <row r="268" customFormat="false" ht="15" hidden="false" customHeight="false" outlineLevel="0" collapsed="false">
      <c r="A268" s="131" t="str">
        <f aca="false">IF('Steve Griffith'!$B28="","",'Steve Griffith'!$A28)</f>
        <v/>
      </c>
      <c r="B268" s="131" t="str">
        <f aca="false">IF('Steve Griffith'!$B28="","",'Steve Griffith'!$B28)</f>
        <v/>
      </c>
      <c r="C268" s="132" t="str">
        <f aca="false">IF('Steve Griffith'!$B28="","",'Steve Griffith'!$C28)</f>
        <v/>
      </c>
      <c r="D268" s="132" t="str">
        <f aca="false">IF('Steve Griffith'!$B28="","",'Steve Griffith'!$D28)</f>
        <v/>
      </c>
      <c r="E268" s="132" t="str">
        <f aca="false">IF('Steve Griffith'!$B28="","",'Steve Griffith'!$E28)</f>
        <v/>
      </c>
      <c r="F268" s="132" t="str">
        <f aca="false">IF('Steve Griffith'!$B28="","",'Steve Griffith'!$F28)</f>
        <v/>
      </c>
      <c r="G268" s="132" t="str">
        <f aca="false">IF('Steve Griffith'!$B28="","",'Steve Griffith'!$G28)</f>
        <v/>
      </c>
      <c r="H268" s="131" t="str">
        <f aca="false">IF('Steve Griffith'!$B28="","",'Steve Griffith'!$H28)</f>
        <v/>
      </c>
      <c r="I268" s="131" t="str">
        <f aca="false">IF('Steve Griffith'!$B28="","",'Steve Griffith'!$I28)</f>
        <v/>
      </c>
      <c r="J268" s="133" t="str">
        <f aca="false">IF('Steve Griffith'!$B28="","",'Steve Griffith'!$J28)</f>
        <v/>
      </c>
      <c r="K268" s="134" t="str">
        <f aca="false">IF('Steve Griffith'!$B28="","",'Steve Griffith'!$K28)</f>
        <v/>
      </c>
      <c r="L268" s="134" t="str">
        <f aca="false">IF('Steve Griffith'!$B28="","",'Steve Griffith'!$L28)</f>
        <v/>
      </c>
      <c r="M268" s="132" t="str">
        <f aca="false">IF('Steve Griffith'!$B28="","",'Steve Griffith'!$M28)</f>
        <v/>
      </c>
      <c r="N268" s="132" t="str">
        <f aca="false">IF('Steve Griffith'!$B28="","",'Steve Griffith'!$N28)</f>
        <v/>
      </c>
      <c r="O268" s="134" t="str">
        <f aca="false">IF('Steve Griffith'!$B28="","",'Steve Griffith'!$O28)</f>
        <v/>
      </c>
      <c r="P268" s="132" t="str">
        <f aca="false">IF('Steve Griffith'!$B28="","",'Steve Griffith'!$P28)</f>
        <v/>
      </c>
      <c r="Q268" s="131" t="str">
        <f aca="false">IF('Steve Griffith'!$B28="","","Steve Griffith")</f>
        <v/>
      </c>
      <c r="R268" s="131" t="n">
        <f aca="true">IF(OR($B268="",$I268="Complete",$L268=""),0,IF($L268&lt;TODAY(),1,0))</f>
        <v>0</v>
      </c>
      <c r="S268" s="131" t="n">
        <f aca="true">IF(OR($B268="",$I268="Complete",$L268=""),0,IF(AND($L268&gt;=TODAY(),$L268&lt;=TODAY()+7),1,0))</f>
        <v>0</v>
      </c>
      <c r="T268" s="131" t="str">
        <f aca="true">IF(OR($B268="",$L268=""),"",$L268-TODAY())</f>
        <v/>
      </c>
      <c r="U268" s="135" t="str">
        <f aca="false">IF($B268="","",IF($I268="Complete",1,IF($J268="",0,$J268)))</f>
        <v/>
      </c>
      <c r="V268" s="131" t="n">
        <f aca="false">IF($B268="",0,IF($N268="",0,1))</f>
        <v>0</v>
      </c>
      <c r="W268" s="131" t="n">
        <f aca="false">IF($B268="",0,1)</f>
        <v>0</v>
      </c>
    </row>
    <row r="269" customFormat="false" ht="15" hidden="false" customHeight="false" outlineLevel="0" collapsed="false">
      <c r="A269" s="131" t="str">
        <f aca="false">IF('Steve Griffith'!$B29="","",'Steve Griffith'!$A29)</f>
        <v/>
      </c>
      <c r="B269" s="131" t="str">
        <f aca="false">IF('Steve Griffith'!$B29="","",'Steve Griffith'!$B29)</f>
        <v/>
      </c>
      <c r="C269" s="132" t="str">
        <f aca="false">IF('Steve Griffith'!$B29="","",'Steve Griffith'!$C29)</f>
        <v/>
      </c>
      <c r="D269" s="132" t="str">
        <f aca="false">IF('Steve Griffith'!$B29="","",'Steve Griffith'!$D29)</f>
        <v/>
      </c>
      <c r="E269" s="132" t="str">
        <f aca="false">IF('Steve Griffith'!$B29="","",'Steve Griffith'!$E29)</f>
        <v/>
      </c>
      <c r="F269" s="132" t="str">
        <f aca="false">IF('Steve Griffith'!$B29="","",'Steve Griffith'!$F29)</f>
        <v/>
      </c>
      <c r="G269" s="132" t="str">
        <f aca="false">IF('Steve Griffith'!$B29="","",'Steve Griffith'!$G29)</f>
        <v/>
      </c>
      <c r="H269" s="131" t="str">
        <f aca="false">IF('Steve Griffith'!$B29="","",'Steve Griffith'!$H29)</f>
        <v/>
      </c>
      <c r="I269" s="131" t="str">
        <f aca="false">IF('Steve Griffith'!$B29="","",'Steve Griffith'!$I29)</f>
        <v/>
      </c>
      <c r="J269" s="133" t="str">
        <f aca="false">IF('Steve Griffith'!$B29="","",'Steve Griffith'!$J29)</f>
        <v/>
      </c>
      <c r="K269" s="134" t="str">
        <f aca="false">IF('Steve Griffith'!$B29="","",'Steve Griffith'!$K29)</f>
        <v/>
      </c>
      <c r="L269" s="134" t="str">
        <f aca="false">IF('Steve Griffith'!$B29="","",'Steve Griffith'!$L29)</f>
        <v/>
      </c>
      <c r="M269" s="132" t="str">
        <f aca="false">IF('Steve Griffith'!$B29="","",'Steve Griffith'!$M29)</f>
        <v/>
      </c>
      <c r="N269" s="132" t="str">
        <f aca="false">IF('Steve Griffith'!$B29="","",'Steve Griffith'!$N29)</f>
        <v/>
      </c>
      <c r="O269" s="134" t="str">
        <f aca="false">IF('Steve Griffith'!$B29="","",'Steve Griffith'!$O29)</f>
        <v/>
      </c>
      <c r="P269" s="132" t="str">
        <f aca="false">IF('Steve Griffith'!$B29="","",'Steve Griffith'!$P29)</f>
        <v/>
      </c>
      <c r="Q269" s="131" t="str">
        <f aca="false">IF('Steve Griffith'!$B29="","","Steve Griffith")</f>
        <v/>
      </c>
      <c r="R269" s="131" t="n">
        <f aca="true">IF(OR($B269="",$I269="Complete",$L269=""),0,IF($L269&lt;TODAY(),1,0))</f>
        <v>0</v>
      </c>
      <c r="S269" s="131" t="n">
        <f aca="true">IF(OR($B269="",$I269="Complete",$L269=""),0,IF(AND($L269&gt;=TODAY(),$L269&lt;=TODAY()+7),1,0))</f>
        <v>0</v>
      </c>
      <c r="T269" s="131" t="str">
        <f aca="true">IF(OR($B269="",$L269=""),"",$L269-TODAY())</f>
        <v/>
      </c>
      <c r="U269" s="135" t="str">
        <f aca="false">IF($B269="","",IF($I269="Complete",1,IF($J269="",0,$J269)))</f>
        <v/>
      </c>
      <c r="V269" s="131" t="n">
        <f aca="false">IF($B269="",0,IF($N269="",0,1))</f>
        <v>0</v>
      </c>
      <c r="W269" s="131" t="n">
        <f aca="false">IF($B269="",0,1)</f>
        <v>0</v>
      </c>
    </row>
    <row r="270" customFormat="false" ht="15" hidden="false" customHeight="false" outlineLevel="0" collapsed="false">
      <c r="A270" s="131" t="str">
        <f aca="false">IF('Steve Griffith'!$B30="","",'Steve Griffith'!$A30)</f>
        <v/>
      </c>
      <c r="B270" s="131" t="str">
        <f aca="false">IF('Steve Griffith'!$B30="","",'Steve Griffith'!$B30)</f>
        <v/>
      </c>
      <c r="C270" s="132" t="str">
        <f aca="false">IF('Steve Griffith'!$B30="","",'Steve Griffith'!$C30)</f>
        <v/>
      </c>
      <c r="D270" s="132" t="str">
        <f aca="false">IF('Steve Griffith'!$B30="","",'Steve Griffith'!$D30)</f>
        <v/>
      </c>
      <c r="E270" s="132" t="str">
        <f aca="false">IF('Steve Griffith'!$B30="","",'Steve Griffith'!$E30)</f>
        <v/>
      </c>
      <c r="F270" s="132" t="str">
        <f aca="false">IF('Steve Griffith'!$B30="","",'Steve Griffith'!$F30)</f>
        <v/>
      </c>
      <c r="G270" s="132" t="str">
        <f aca="false">IF('Steve Griffith'!$B30="","",'Steve Griffith'!$G30)</f>
        <v/>
      </c>
      <c r="H270" s="131" t="str">
        <f aca="false">IF('Steve Griffith'!$B30="","",'Steve Griffith'!$H30)</f>
        <v/>
      </c>
      <c r="I270" s="131" t="str">
        <f aca="false">IF('Steve Griffith'!$B30="","",'Steve Griffith'!$I30)</f>
        <v/>
      </c>
      <c r="J270" s="133" t="str">
        <f aca="false">IF('Steve Griffith'!$B30="","",'Steve Griffith'!$J30)</f>
        <v/>
      </c>
      <c r="K270" s="134" t="str">
        <f aca="false">IF('Steve Griffith'!$B30="","",'Steve Griffith'!$K30)</f>
        <v/>
      </c>
      <c r="L270" s="134" t="str">
        <f aca="false">IF('Steve Griffith'!$B30="","",'Steve Griffith'!$L30)</f>
        <v/>
      </c>
      <c r="M270" s="132" t="str">
        <f aca="false">IF('Steve Griffith'!$B30="","",'Steve Griffith'!$M30)</f>
        <v/>
      </c>
      <c r="N270" s="132" t="str">
        <f aca="false">IF('Steve Griffith'!$B30="","",'Steve Griffith'!$N30)</f>
        <v/>
      </c>
      <c r="O270" s="134" t="str">
        <f aca="false">IF('Steve Griffith'!$B30="","",'Steve Griffith'!$O30)</f>
        <v/>
      </c>
      <c r="P270" s="132" t="str">
        <f aca="false">IF('Steve Griffith'!$B30="","",'Steve Griffith'!$P30)</f>
        <v/>
      </c>
      <c r="Q270" s="131" t="str">
        <f aca="false">IF('Steve Griffith'!$B30="","","Steve Griffith")</f>
        <v/>
      </c>
      <c r="R270" s="131" t="n">
        <f aca="true">IF(OR($B270="",$I270="Complete",$L270=""),0,IF($L270&lt;TODAY(),1,0))</f>
        <v>0</v>
      </c>
      <c r="S270" s="131" t="n">
        <f aca="true">IF(OR($B270="",$I270="Complete",$L270=""),0,IF(AND($L270&gt;=TODAY(),$L270&lt;=TODAY()+7),1,0))</f>
        <v>0</v>
      </c>
      <c r="T270" s="131" t="str">
        <f aca="true">IF(OR($B270="",$L270=""),"",$L270-TODAY())</f>
        <v/>
      </c>
      <c r="U270" s="135" t="str">
        <f aca="false">IF($B270="","",IF($I270="Complete",1,IF($J270="",0,$J270)))</f>
        <v/>
      </c>
      <c r="V270" s="131" t="n">
        <f aca="false">IF($B270="",0,IF($N270="",0,1))</f>
        <v>0</v>
      </c>
      <c r="W270" s="131" t="n">
        <f aca="false">IF($B270="",0,1)</f>
        <v>0</v>
      </c>
    </row>
    <row r="271" customFormat="false" ht="15" hidden="false" customHeight="false" outlineLevel="0" collapsed="false">
      <c r="A271" s="131" t="str">
        <f aca="false">IF('Steve Griffith'!$B31="","",'Steve Griffith'!$A31)</f>
        <v/>
      </c>
      <c r="B271" s="131" t="str">
        <f aca="false">IF('Steve Griffith'!$B31="","",'Steve Griffith'!$B31)</f>
        <v/>
      </c>
      <c r="C271" s="132" t="str">
        <f aca="false">IF('Steve Griffith'!$B31="","",'Steve Griffith'!$C31)</f>
        <v/>
      </c>
      <c r="D271" s="132" t="str">
        <f aca="false">IF('Steve Griffith'!$B31="","",'Steve Griffith'!$D31)</f>
        <v/>
      </c>
      <c r="E271" s="132" t="str">
        <f aca="false">IF('Steve Griffith'!$B31="","",'Steve Griffith'!$E31)</f>
        <v/>
      </c>
      <c r="F271" s="132" t="str">
        <f aca="false">IF('Steve Griffith'!$B31="","",'Steve Griffith'!$F31)</f>
        <v/>
      </c>
      <c r="G271" s="132" t="str">
        <f aca="false">IF('Steve Griffith'!$B31="","",'Steve Griffith'!$G31)</f>
        <v/>
      </c>
      <c r="H271" s="131" t="str">
        <f aca="false">IF('Steve Griffith'!$B31="","",'Steve Griffith'!$H31)</f>
        <v/>
      </c>
      <c r="I271" s="131" t="str">
        <f aca="false">IF('Steve Griffith'!$B31="","",'Steve Griffith'!$I31)</f>
        <v/>
      </c>
      <c r="J271" s="133" t="str">
        <f aca="false">IF('Steve Griffith'!$B31="","",'Steve Griffith'!$J31)</f>
        <v/>
      </c>
      <c r="K271" s="134" t="str">
        <f aca="false">IF('Steve Griffith'!$B31="","",'Steve Griffith'!$K31)</f>
        <v/>
      </c>
      <c r="L271" s="134" t="str">
        <f aca="false">IF('Steve Griffith'!$B31="","",'Steve Griffith'!$L31)</f>
        <v/>
      </c>
      <c r="M271" s="132" t="str">
        <f aca="false">IF('Steve Griffith'!$B31="","",'Steve Griffith'!$M31)</f>
        <v/>
      </c>
      <c r="N271" s="132" t="str">
        <f aca="false">IF('Steve Griffith'!$B31="","",'Steve Griffith'!$N31)</f>
        <v/>
      </c>
      <c r="O271" s="134" t="str">
        <f aca="false">IF('Steve Griffith'!$B31="","",'Steve Griffith'!$O31)</f>
        <v/>
      </c>
      <c r="P271" s="132" t="str">
        <f aca="false">IF('Steve Griffith'!$B31="","",'Steve Griffith'!$P31)</f>
        <v/>
      </c>
      <c r="Q271" s="131" t="str">
        <f aca="false">IF('Steve Griffith'!$B31="","","Steve Griffith")</f>
        <v/>
      </c>
      <c r="R271" s="131" t="n">
        <f aca="true">IF(OR($B271="",$I271="Complete",$L271=""),0,IF($L271&lt;TODAY(),1,0))</f>
        <v>0</v>
      </c>
      <c r="S271" s="131" t="n">
        <f aca="true">IF(OR($B271="",$I271="Complete",$L271=""),0,IF(AND($L271&gt;=TODAY(),$L271&lt;=TODAY()+7),1,0))</f>
        <v>0</v>
      </c>
      <c r="T271" s="131" t="str">
        <f aca="true">IF(OR($B271="",$L271=""),"",$L271-TODAY())</f>
        <v/>
      </c>
      <c r="U271" s="135" t="str">
        <f aca="false">IF($B271="","",IF($I271="Complete",1,IF($J271="",0,$J271)))</f>
        <v/>
      </c>
      <c r="V271" s="131" t="n">
        <f aca="false">IF($B271="",0,IF($N271="",0,1))</f>
        <v>0</v>
      </c>
      <c r="W271" s="131" t="n">
        <f aca="false">IF($B271="",0,1)</f>
        <v>0</v>
      </c>
    </row>
    <row r="272" customFormat="false" ht="15" hidden="false" customHeight="false" outlineLevel="0" collapsed="false">
      <c r="A272" s="131" t="str">
        <f aca="false">IF('Steve Griffith'!$B32="","",'Steve Griffith'!$A32)</f>
        <v/>
      </c>
      <c r="B272" s="131" t="str">
        <f aca="false">IF('Steve Griffith'!$B32="","",'Steve Griffith'!$B32)</f>
        <v/>
      </c>
      <c r="C272" s="132" t="str">
        <f aca="false">IF('Steve Griffith'!$B32="","",'Steve Griffith'!$C32)</f>
        <v/>
      </c>
      <c r="D272" s="132" t="str">
        <f aca="false">IF('Steve Griffith'!$B32="","",'Steve Griffith'!$D32)</f>
        <v/>
      </c>
      <c r="E272" s="132" t="str">
        <f aca="false">IF('Steve Griffith'!$B32="","",'Steve Griffith'!$E32)</f>
        <v/>
      </c>
      <c r="F272" s="132" t="str">
        <f aca="false">IF('Steve Griffith'!$B32="","",'Steve Griffith'!$F32)</f>
        <v/>
      </c>
      <c r="G272" s="132" t="str">
        <f aca="false">IF('Steve Griffith'!$B32="","",'Steve Griffith'!$G32)</f>
        <v/>
      </c>
      <c r="H272" s="131" t="str">
        <f aca="false">IF('Steve Griffith'!$B32="","",'Steve Griffith'!$H32)</f>
        <v/>
      </c>
      <c r="I272" s="131" t="str">
        <f aca="false">IF('Steve Griffith'!$B32="","",'Steve Griffith'!$I32)</f>
        <v/>
      </c>
      <c r="J272" s="133" t="str">
        <f aca="false">IF('Steve Griffith'!$B32="","",'Steve Griffith'!$J32)</f>
        <v/>
      </c>
      <c r="K272" s="134" t="str">
        <f aca="false">IF('Steve Griffith'!$B32="","",'Steve Griffith'!$K32)</f>
        <v/>
      </c>
      <c r="L272" s="134" t="str">
        <f aca="false">IF('Steve Griffith'!$B32="","",'Steve Griffith'!$L32)</f>
        <v/>
      </c>
      <c r="M272" s="132" t="str">
        <f aca="false">IF('Steve Griffith'!$B32="","",'Steve Griffith'!$M32)</f>
        <v/>
      </c>
      <c r="N272" s="132" t="str">
        <f aca="false">IF('Steve Griffith'!$B32="","",'Steve Griffith'!$N32)</f>
        <v/>
      </c>
      <c r="O272" s="134" t="str">
        <f aca="false">IF('Steve Griffith'!$B32="","",'Steve Griffith'!$O32)</f>
        <v/>
      </c>
      <c r="P272" s="132" t="str">
        <f aca="false">IF('Steve Griffith'!$B32="","",'Steve Griffith'!$P32)</f>
        <v/>
      </c>
      <c r="Q272" s="131" t="str">
        <f aca="false">IF('Steve Griffith'!$B32="","","Steve Griffith")</f>
        <v/>
      </c>
      <c r="R272" s="131" t="n">
        <f aca="true">IF(OR($B272="",$I272="Complete",$L272=""),0,IF($L272&lt;TODAY(),1,0))</f>
        <v>0</v>
      </c>
      <c r="S272" s="131" t="n">
        <f aca="true">IF(OR($B272="",$I272="Complete",$L272=""),0,IF(AND($L272&gt;=TODAY(),$L272&lt;=TODAY()+7),1,0))</f>
        <v>0</v>
      </c>
      <c r="T272" s="131" t="str">
        <f aca="true">IF(OR($B272="",$L272=""),"",$L272-TODAY())</f>
        <v/>
      </c>
      <c r="U272" s="135" t="str">
        <f aca="false">IF($B272="","",IF($I272="Complete",1,IF($J272="",0,$J272)))</f>
        <v/>
      </c>
      <c r="V272" s="131" t="n">
        <f aca="false">IF($B272="",0,IF($N272="",0,1))</f>
        <v>0</v>
      </c>
      <c r="W272" s="131" t="n">
        <f aca="false">IF($B272="",0,1)</f>
        <v>0</v>
      </c>
    </row>
    <row r="273" customFormat="false" ht="15" hidden="false" customHeight="false" outlineLevel="0" collapsed="false">
      <c r="A273" s="131" t="str">
        <f aca="false">IF('Steve Griffith'!$B33="","",'Steve Griffith'!$A33)</f>
        <v/>
      </c>
      <c r="B273" s="131" t="str">
        <f aca="false">IF('Steve Griffith'!$B33="","",'Steve Griffith'!$B33)</f>
        <v/>
      </c>
      <c r="C273" s="132" t="str">
        <f aca="false">IF('Steve Griffith'!$B33="","",'Steve Griffith'!$C33)</f>
        <v/>
      </c>
      <c r="D273" s="132" t="str">
        <f aca="false">IF('Steve Griffith'!$B33="","",'Steve Griffith'!$D33)</f>
        <v/>
      </c>
      <c r="E273" s="132" t="str">
        <f aca="false">IF('Steve Griffith'!$B33="","",'Steve Griffith'!$E33)</f>
        <v/>
      </c>
      <c r="F273" s="132" t="str">
        <f aca="false">IF('Steve Griffith'!$B33="","",'Steve Griffith'!$F33)</f>
        <v/>
      </c>
      <c r="G273" s="132" t="str">
        <f aca="false">IF('Steve Griffith'!$B33="","",'Steve Griffith'!$G33)</f>
        <v/>
      </c>
      <c r="H273" s="131" t="str">
        <f aca="false">IF('Steve Griffith'!$B33="","",'Steve Griffith'!$H33)</f>
        <v/>
      </c>
      <c r="I273" s="131" t="str">
        <f aca="false">IF('Steve Griffith'!$B33="","",'Steve Griffith'!$I33)</f>
        <v/>
      </c>
      <c r="J273" s="133" t="str">
        <f aca="false">IF('Steve Griffith'!$B33="","",'Steve Griffith'!$J33)</f>
        <v/>
      </c>
      <c r="K273" s="134" t="str">
        <f aca="false">IF('Steve Griffith'!$B33="","",'Steve Griffith'!$K33)</f>
        <v/>
      </c>
      <c r="L273" s="134" t="str">
        <f aca="false">IF('Steve Griffith'!$B33="","",'Steve Griffith'!$L33)</f>
        <v/>
      </c>
      <c r="M273" s="132" t="str">
        <f aca="false">IF('Steve Griffith'!$B33="","",'Steve Griffith'!$M33)</f>
        <v/>
      </c>
      <c r="N273" s="132" t="str">
        <f aca="false">IF('Steve Griffith'!$B33="","",'Steve Griffith'!$N33)</f>
        <v/>
      </c>
      <c r="O273" s="134" t="str">
        <f aca="false">IF('Steve Griffith'!$B33="","",'Steve Griffith'!$O33)</f>
        <v/>
      </c>
      <c r="P273" s="132" t="str">
        <f aca="false">IF('Steve Griffith'!$B33="","",'Steve Griffith'!$P33)</f>
        <v/>
      </c>
      <c r="Q273" s="131" t="str">
        <f aca="false">IF('Steve Griffith'!$B33="","","Steve Griffith")</f>
        <v/>
      </c>
      <c r="R273" s="131" t="n">
        <f aca="true">IF(OR($B273="",$I273="Complete",$L273=""),0,IF($L273&lt;TODAY(),1,0))</f>
        <v>0</v>
      </c>
      <c r="S273" s="131" t="n">
        <f aca="true">IF(OR($B273="",$I273="Complete",$L273=""),0,IF(AND($L273&gt;=TODAY(),$L273&lt;=TODAY()+7),1,0))</f>
        <v>0</v>
      </c>
      <c r="T273" s="131" t="str">
        <f aca="true">IF(OR($B273="",$L273=""),"",$L273-TODAY())</f>
        <v/>
      </c>
      <c r="U273" s="135" t="str">
        <f aca="false">IF($B273="","",IF($I273="Complete",1,IF($J273="",0,$J273)))</f>
        <v/>
      </c>
      <c r="V273" s="131" t="n">
        <f aca="false">IF($B273="",0,IF($N273="",0,1))</f>
        <v>0</v>
      </c>
      <c r="W273" s="131" t="n">
        <f aca="false">IF($B273="",0,1)</f>
        <v>0</v>
      </c>
    </row>
    <row r="274" customFormat="false" ht="15" hidden="false" customHeight="false" outlineLevel="0" collapsed="false">
      <c r="A274" s="131" t="str">
        <f aca="false">IF('Steve Griffith'!$B34="","",'Steve Griffith'!$A34)</f>
        <v/>
      </c>
      <c r="B274" s="131" t="str">
        <f aca="false">IF('Steve Griffith'!$B34="","",'Steve Griffith'!$B34)</f>
        <v/>
      </c>
      <c r="C274" s="132" t="str">
        <f aca="false">IF('Steve Griffith'!$B34="","",'Steve Griffith'!$C34)</f>
        <v/>
      </c>
      <c r="D274" s="132" t="str">
        <f aca="false">IF('Steve Griffith'!$B34="","",'Steve Griffith'!$D34)</f>
        <v/>
      </c>
      <c r="E274" s="132" t="str">
        <f aca="false">IF('Steve Griffith'!$B34="","",'Steve Griffith'!$E34)</f>
        <v/>
      </c>
      <c r="F274" s="132" t="str">
        <f aca="false">IF('Steve Griffith'!$B34="","",'Steve Griffith'!$F34)</f>
        <v/>
      </c>
      <c r="G274" s="132" t="str">
        <f aca="false">IF('Steve Griffith'!$B34="","",'Steve Griffith'!$G34)</f>
        <v/>
      </c>
      <c r="H274" s="131" t="str">
        <f aca="false">IF('Steve Griffith'!$B34="","",'Steve Griffith'!$H34)</f>
        <v/>
      </c>
      <c r="I274" s="131" t="str">
        <f aca="false">IF('Steve Griffith'!$B34="","",'Steve Griffith'!$I34)</f>
        <v/>
      </c>
      <c r="J274" s="133" t="str">
        <f aca="false">IF('Steve Griffith'!$B34="","",'Steve Griffith'!$J34)</f>
        <v/>
      </c>
      <c r="K274" s="134" t="str">
        <f aca="false">IF('Steve Griffith'!$B34="","",'Steve Griffith'!$K34)</f>
        <v/>
      </c>
      <c r="L274" s="134" t="str">
        <f aca="false">IF('Steve Griffith'!$B34="","",'Steve Griffith'!$L34)</f>
        <v/>
      </c>
      <c r="M274" s="132" t="str">
        <f aca="false">IF('Steve Griffith'!$B34="","",'Steve Griffith'!$M34)</f>
        <v/>
      </c>
      <c r="N274" s="132" t="str">
        <f aca="false">IF('Steve Griffith'!$B34="","",'Steve Griffith'!$N34)</f>
        <v/>
      </c>
      <c r="O274" s="134" t="str">
        <f aca="false">IF('Steve Griffith'!$B34="","",'Steve Griffith'!$O34)</f>
        <v/>
      </c>
      <c r="P274" s="132" t="str">
        <f aca="false">IF('Steve Griffith'!$B34="","",'Steve Griffith'!$P34)</f>
        <v/>
      </c>
      <c r="Q274" s="131" t="str">
        <f aca="false">IF('Steve Griffith'!$B34="","","Steve Griffith")</f>
        <v/>
      </c>
      <c r="R274" s="131" t="n">
        <f aca="true">IF(OR($B274="",$I274="Complete",$L274=""),0,IF($L274&lt;TODAY(),1,0))</f>
        <v>0</v>
      </c>
      <c r="S274" s="131" t="n">
        <f aca="true">IF(OR($B274="",$I274="Complete",$L274=""),0,IF(AND($L274&gt;=TODAY(),$L274&lt;=TODAY()+7),1,0))</f>
        <v>0</v>
      </c>
      <c r="T274" s="131" t="str">
        <f aca="true">IF(OR($B274="",$L274=""),"",$L274-TODAY())</f>
        <v/>
      </c>
      <c r="U274" s="135" t="str">
        <f aca="false">IF($B274="","",IF($I274="Complete",1,IF($J274="",0,$J274)))</f>
        <v/>
      </c>
      <c r="V274" s="131" t="n">
        <f aca="false">IF($B274="",0,IF($N274="",0,1))</f>
        <v>0</v>
      </c>
      <c r="W274" s="131" t="n">
        <f aca="false">IF($B274="",0,1)</f>
        <v>0</v>
      </c>
    </row>
    <row r="275" customFormat="false" ht="15" hidden="false" customHeight="false" outlineLevel="0" collapsed="false">
      <c r="A275" s="131" t="str">
        <f aca="false">IF('Steve Griffith'!$B35="","",'Steve Griffith'!$A35)</f>
        <v/>
      </c>
      <c r="B275" s="131" t="str">
        <f aca="false">IF('Steve Griffith'!$B35="","",'Steve Griffith'!$B35)</f>
        <v/>
      </c>
      <c r="C275" s="132" t="str">
        <f aca="false">IF('Steve Griffith'!$B35="","",'Steve Griffith'!$C35)</f>
        <v/>
      </c>
      <c r="D275" s="132" t="str">
        <f aca="false">IF('Steve Griffith'!$B35="","",'Steve Griffith'!$D35)</f>
        <v/>
      </c>
      <c r="E275" s="132" t="str">
        <f aca="false">IF('Steve Griffith'!$B35="","",'Steve Griffith'!$E35)</f>
        <v/>
      </c>
      <c r="F275" s="132" t="str">
        <f aca="false">IF('Steve Griffith'!$B35="","",'Steve Griffith'!$F35)</f>
        <v/>
      </c>
      <c r="G275" s="132" t="str">
        <f aca="false">IF('Steve Griffith'!$B35="","",'Steve Griffith'!$G35)</f>
        <v/>
      </c>
      <c r="H275" s="131" t="str">
        <f aca="false">IF('Steve Griffith'!$B35="","",'Steve Griffith'!$H35)</f>
        <v/>
      </c>
      <c r="I275" s="131" t="str">
        <f aca="false">IF('Steve Griffith'!$B35="","",'Steve Griffith'!$I35)</f>
        <v/>
      </c>
      <c r="J275" s="133" t="str">
        <f aca="false">IF('Steve Griffith'!$B35="","",'Steve Griffith'!$J35)</f>
        <v/>
      </c>
      <c r="K275" s="134" t="str">
        <f aca="false">IF('Steve Griffith'!$B35="","",'Steve Griffith'!$K35)</f>
        <v/>
      </c>
      <c r="L275" s="134" t="str">
        <f aca="false">IF('Steve Griffith'!$B35="","",'Steve Griffith'!$L35)</f>
        <v/>
      </c>
      <c r="M275" s="132" t="str">
        <f aca="false">IF('Steve Griffith'!$B35="","",'Steve Griffith'!$M35)</f>
        <v/>
      </c>
      <c r="N275" s="132" t="str">
        <f aca="false">IF('Steve Griffith'!$B35="","",'Steve Griffith'!$N35)</f>
        <v/>
      </c>
      <c r="O275" s="134" t="str">
        <f aca="false">IF('Steve Griffith'!$B35="","",'Steve Griffith'!$O35)</f>
        <v/>
      </c>
      <c r="P275" s="132" t="str">
        <f aca="false">IF('Steve Griffith'!$B35="","",'Steve Griffith'!$P35)</f>
        <v/>
      </c>
      <c r="Q275" s="131" t="str">
        <f aca="false">IF('Steve Griffith'!$B35="","","Steve Griffith")</f>
        <v/>
      </c>
      <c r="R275" s="131" t="n">
        <f aca="true">IF(OR($B275="",$I275="Complete",$L275=""),0,IF($L275&lt;TODAY(),1,0))</f>
        <v>0</v>
      </c>
      <c r="S275" s="131" t="n">
        <f aca="true">IF(OR($B275="",$I275="Complete",$L275=""),0,IF(AND($L275&gt;=TODAY(),$L275&lt;=TODAY()+7),1,0))</f>
        <v>0</v>
      </c>
      <c r="T275" s="131" t="str">
        <f aca="true">IF(OR($B275="",$L275=""),"",$L275-TODAY())</f>
        <v/>
      </c>
      <c r="U275" s="135" t="str">
        <f aca="false">IF($B275="","",IF($I275="Complete",1,IF($J275="",0,$J275)))</f>
        <v/>
      </c>
      <c r="V275" s="131" t="n">
        <f aca="false">IF($B275="",0,IF($N275="",0,1))</f>
        <v>0</v>
      </c>
      <c r="W275" s="131" t="n">
        <f aca="false">IF($B275="",0,1)</f>
        <v>0</v>
      </c>
    </row>
    <row r="276" customFormat="false" ht="15" hidden="false" customHeight="false" outlineLevel="0" collapsed="false">
      <c r="A276" s="131" t="str">
        <f aca="false">IF('Steve Griffith'!$B36="","",'Steve Griffith'!$A36)</f>
        <v/>
      </c>
      <c r="B276" s="131" t="str">
        <f aca="false">IF('Steve Griffith'!$B36="","",'Steve Griffith'!$B36)</f>
        <v/>
      </c>
      <c r="C276" s="132" t="str">
        <f aca="false">IF('Steve Griffith'!$B36="","",'Steve Griffith'!$C36)</f>
        <v/>
      </c>
      <c r="D276" s="132" t="str">
        <f aca="false">IF('Steve Griffith'!$B36="","",'Steve Griffith'!$D36)</f>
        <v/>
      </c>
      <c r="E276" s="132" t="str">
        <f aca="false">IF('Steve Griffith'!$B36="","",'Steve Griffith'!$E36)</f>
        <v/>
      </c>
      <c r="F276" s="132" t="str">
        <f aca="false">IF('Steve Griffith'!$B36="","",'Steve Griffith'!$F36)</f>
        <v/>
      </c>
      <c r="G276" s="132" t="str">
        <f aca="false">IF('Steve Griffith'!$B36="","",'Steve Griffith'!$G36)</f>
        <v/>
      </c>
      <c r="H276" s="131" t="str">
        <f aca="false">IF('Steve Griffith'!$B36="","",'Steve Griffith'!$H36)</f>
        <v/>
      </c>
      <c r="I276" s="131" t="str">
        <f aca="false">IF('Steve Griffith'!$B36="","",'Steve Griffith'!$I36)</f>
        <v/>
      </c>
      <c r="J276" s="133" t="str">
        <f aca="false">IF('Steve Griffith'!$B36="","",'Steve Griffith'!$J36)</f>
        <v/>
      </c>
      <c r="K276" s="134" t="str">
        <f aca="false">IF('Steve Griffith'!$B36="","",'Steve Griffith'!$K36)</f>
        <v/>
      </c>
      <c r="L276" s="134" t="str">
        <f aca="false">IF('Steve Griffith'!$B36="","",'Steve Griffith'!$L36)</f>
        <v/>
      </c>
      <c r="M276" s="132" t="str">
        <f aca="false">IF('Steve Griffith'!$B36="","",'Steve Griffith'!$M36)</f>
        <v/>
      </c>
      <c r="N276" s="132" t="str">
        <f aca="false">IF('Steve Griffith'!$B36="","",'Steve Griffith'!$N36)</f>
        <v/>
      </c>
      <c r="O276" s="134" t="str">
        <f aca="false">IF('Steve Griffith'!$B36="","",'Steve Griffith'!$O36)</f>
        <v/>
      </c>
      <c r="P276" s="132" t="str">
        <f aca="false">IF('Steve Griffith'!$B36="","",'Steve Griffith'!$P36)</f>
        <v/>
      </c>
      <c r="Q276" s="131" t="str">
        <f aca="false">IF('Steve Griffith'!$B36="","","Steve Griffith")</f>
        <v/>
      </c>
      <c r="R276" s="131" t="n">
        <f aca="true">IF(OR($B276="",$I276="Complete",$L276=""),0,IF($L276&lt;TODAY(),1,0))</f>
        <v>0</v>
      </c>
      <c r="S276" s="131" t="n">
        <f aca="true">IF(OR($B276="",$I276="Complete",$L276=""),0,IF(AND($L276&gt;=TODAY(),$L276&lt;=TODAY()+7),1,0))</f>
        <v>0</v>
      </c>
      <c r="T276" s="131" t="str">
        <f aca="true">IF(OR($B276="",$L276=""),"",$L276-TODAY())</f>
        <v/>
      </c>
      <c r="U276" s="135" t="str">
        <f aca="false">IF($B276="","",IF($I276="Complete",1,IF($J276="",0,$J276)))</f>
        <v/>
      </c>
      <c r="V276" s="131" t="n">
        <f aca="false">IF($B276="",0,IF($N276="",0,1))</f>
        <v>0</v>
      </c>
      <c r="W276" s="131" t="n">
        <f aca="false">IF($B276="",0,1)</f>
        <v>0</v>
      </c>
    </row>
    <row r="277" customFormat="false" ht="15" hidden="false" customHeight="false" outlineLevel="0" collapsed="false">
      <c r="A277" s="131" t="str">
        <f aca="false">IF('Steve Griffith'!$B37="","",'Steve Griffith'!$A37)</f>
        <v/>
      </c>
      <c r="B277" s="131" t="str">
        <f aca="false">IF('Steve Griffith'!$B37="","",'Steve Griffith'!$B37)</f>
        <v/>
      </c>
      <c r="C277" s="132" t="str">
        <f aca="false">IF('Steve Griffith'!$B37="","",'Steve Griffith'!$C37)</f>
        <v/>
      </c>
      <c r="D277" s="132" t="str">
        <f aca="false">IF('Steve Griffith'!$B37="","",'Steve Griffith'!$D37)</f>
        <v/>
      </c>
      <c r="E277" s="132" t="str">
        <f aca="false">IF('Steve Griffith'!$B37="","",'Steve Griffith'!$E37)</f>
        <v/>
      </c>
      <c r="F277" s="132" t="str">
        <f aca="false">IF('Steve Griffith'!$B37="","",'Steve Griffith'!$F37)</f>
        <v/>
      </c>
      <c r="G277" s="132" t="str">
        <f aca="false">IF('Steve Griffith'!$B37="","",'Steve Griffith'!$G37)</f>
        <v/>
      </c>
      <c r="H277" s="131" t="str">
        <f aca="false">IF('Steve Griffith'!$B37="","",'Steve Griffith'!$H37)</f>
        <v/>
      </c>
      <c r="I277" s="131" t="str">
        <f aca="false">IF('Steve Griffith'!$B37="","",'Steve Griffith'!$I37)</f>
        <v/>
      </c>
      <c r="J277" s="133" t="str">
        <f aca="false">IF('Steve Griffith'!$B37="","",'Steve Griffith'!$J37)</f>
        <v/>
      </c>
      <c r="K277" s="134" t="str">
        <f aca="false">IF('Steve Griffith'!$B37="","",'Steve Griffith'!$K37)</f>
        <v/>
      </c>
      <c r="L277" s="134" t="str">
        <f aca="false">IF('Steve Griffith'!$B37="","",'Steve Griffith'!$L37)</f>
        <v/>
      </c>
      <c r="M277" s="132" t="str">
        <f aca="false">IF('Steve Griffith'!$B37="","",'Steve Griffith'!$M37)</f>
        <v/>
      </c>
      <c r="N277" s="132" t="str">
        <f aca="false">IF('Steve Griffith'!$B37="","",'Steve Griffith'!$N37)</f>
        <v/>
      </c>
      <c r="O277" s="134" t="str">
        <f aca="false">IF('Steve Griffith'!$B37="","",'Steve Griffith'!$O37)</f>
        <v/>
      </c>
      <c r="P277" s="132" t="str">
        <f aca="false">IF('Steve Griffith'!$B37="","",'Steve Griffith'!$P37)</f>
        <v/>
      </c>
      <c r="Q277" s="131" t="str">
        <f aca="false">IF('Steve Griffith'!$B37="","","Steve Griffith")</f>
        <v/>
      </c>
      <c r="R277" s="131" t="n">
        <f aca="true">IF(OR($B277="",$I277="Complete",$L277=""),0,IF($L277&lt;TODAY(),1,0))</f>
        <v>0</v>
      </c>
      <c r="S277" s="131" t="n">
        <f aca="true">IF(OR($B277="",$I277="Complete",$L277=""),0,IF(AND($L277&gt;=TODAY(),$L277&lt;=TODAY()+7),1,0))</f>
        <v>0</v>
      </c>
      <c r="T277" s="131" t="str">
        <f aca="true">IF(OR($B277="",$L277=""),"",$L277-TODAY())</f>
        <v/>
      </c>
      <c r="U277" s="135" t="str">
        <f aca="false">IF($B277="","",IF($I277="Complete",1,IF($J277="",0,$J277)))</f>
        <v/>
      </c>
      <c r="V277" s="131" t="n">
        <f aca="false">IF($B277="",0,IF($N277="",0,1))</f>
        <v>0</v>
      </c>
      <c r="W277" s="131" t="n">
        <f aca="false">IF($B277="",0,1)</f>
        <v>0</v>
      </c>
    </row>
    <row r="278" customFormat="false" ht="15" hidden="false" customHeight="false" outlineLevel="0" collapsed="false">
      <c r="A278" s="131" t="str">
        <f aca="false">IF('Steve Griffith'!$B38="","",'Steve Griffith'!$A38)</f>
        <v/>
      </c>
      <c r="B278" s="131" t="str">
        <f aca="false">IF('Steve Griffith'!$B38="","",'Steve Griffith'!$B38)</f>
        <v/>
      </c>
      <c r="C278" s="132" t="str">
        <f aca="false">IF('Steve Griffith'!$B38="","",'Steve Griffith'!$C38)</f>
        <v/>
      </c>
      <c r="D278" s="132" t="str">
        <f aca="false">IF('Steve Griffith'!$B38="","",'Steve Griffith'!$D38)</f>
        <v/>
      </c>
      <c r="E278" s="132" t="str">
        <f aca="false">IF('Steve Griffith'!$B38="","",'Steve Griffith'!$E38)</f>
        <v/>
      </c>
      <c r="F278" s="132" t="str">
        <f aca="false">IF('Steve Griffith'!$B38="","",'Steve Griffith'!$F38)</f>
        <v/>
      </c>
      <c r="G278" s="132" t="str">
        <f aca="false">IF('Steve Griffith'!$B38="","",'Steve Griffith'!$G38)</f>
        <v/>
      </c>
      <c r="H278" s="131" t="str">
        <f aca="false">IF('Steve Griffith'!$B38="","",'Steve Griffith'!$H38)</f>
        <v/>
      </c>
      <c r="I278" s="131" t="str">
        <f aca="false">IF('Steve Griffith'!$B38="","",'Steve Griffith'!$I38)</f>
        <v/>
      </c>
      <c r="J278" s="133" t="str">
        <f aca="false">IF('Steve Griffith'!$B38="","",'Steve Griffith'!$J38)</f>
        <v/>
      </c>
      <c r="K278" s="134" t="str">
        <f aca="false">IF('Steve Griffith'!$B38="","",'Steve Griffith'!$K38)</f>
        <v/>
      </c>
      <c r="L278" s="134" t="str">
        <f aca="false">IF('Steve Griffith'!$B38="","",'Steve Griffith'!$L38)</f>
        <v/>
      </c>
      <c r="M278" s="132" t="str">
        <f aca="false">IF('Steve Griffith'!$B38="","",'Steve Griffith'!$M38)</f>
        <v/>
      </c>
      <c r="N278" s="132" t="str">
        <f aca="false">IF('Steve Griffith'!$B38="","",'Steve Griffith'!$N38)</f>
        <v/>
      </c>
      <c r="O278" s="134" t="str">
        <f aca="false">IF('Steve Griffith'!$B38="","",'Steve Griffith'!$O38)</f>
        <v/>
      </c>
      <c r="P278" s="132" t="str">
        <f aca="false">IF('Steve Griffith'!$B38="","",'Steve Griffith'!$P38)</f>
        <v/>
      </c>
      <c r="Q278" s="131" t="str">
        <f aca="false">IF('Steve Griffith'!$B38="","","Steve Griffith")</f>
        <v/>
      </c>
      <c r="R278" s="131" t="n">
        <f aca="true">IF(OR($B278="",$I278="Complete",$L278=""),0,IF($L278&lt;TODAY(),1,0))</f>
        <v>0</v>
      </c>
      <c r="S278" s="131" t="n">
        <f aca="true">IF(OR($B278="",$I278="Complete",$L278=""),0,IF(AND($L278&gt;=TODAY(),$L278&lt;=TODAY()+7),1,0))</f>
        <v>0</v>
      </c>
      <c r="T278" s="131" t="str">
        <f aca="true">IF(OR($B278="",$L278=""),"",$L278-TODAY())</f>
        <v/>
      </c>
      <c r="U278" s="135" t="str">
        <f aca="false">IF($B278="","",IF($I278="Complete",1,IF($J278="",0,$J278)))</f>
        <v/>
      </c>
      <c r="V278" s="131" t="n">
        <f aca="false">IF($B278="",0,IF($N278="",0,1))</f>
        <v>0</v>
      </c>
      <c r="W278" s="131" t="n">
        <f aca="false">IF($B278="",0,1)</f>
        <v>0</v>
      </c>
    </row>
    <row r="279" customFormat="false" ht="15" hidden="false" customHeight="false" outlineLevel="0" collapsed="false">
      <c r="A279" s="131" t="str">
        <f aca="false">IF('Steve Griffith'!$B39="","",'Steve Griffith'!$A39)</f>
        <v/>
      </c>
      <c r="B279" s="131" t="str">
        <f aca="false">IF('Steve Griffith'!$B39="","",'Steve Griffith'!$B39)</f>
        <v/>
      </c>
      <c r="C279" s="132" t="str">
        <f aca="false">IF('Steve Griffith'!$B39="","",'Steve Griffith'!$C39)</f>
        <v/>
      </c>
      <c r="D279" s="132" t="str">
        <f aca="false">IF('Steve Griffith'!$B39="","",'Steve Griffith'!$D39)</f>
        <v/>
      </c>
      <c r="E279" s="132" t="str">
        <f aca="false">IF('Steve Griffith'!$B39="","",'Steve Griffith'!$E39)</f>
        <v/>
      </c>
      <c r="F279" s="132" t="str">
        <f aca="false">IF('Steve Griffith'!$B39="","",'Steve Griffith'!$F39)</f>
        <v/>
      </c>
      <c r="G279" s="132" t="str">
        <f aca="false">IF('Steve Griffith'!$B39="","",'Steve Griffith'!$G39)</f>
        <v/>
      </c>
      <c r="H279" s="131" t="str">
        <f aca="false">IF('Steve Griffith'!$B39="","",'Steve Griffith'!$H39)</f>
        <v/>
      </c>
      <c r="I279" s="131" t="str">
        <f aca="false">IF('Steve Griffith'!$B39="","",'Steve Griffith'!$I39)</f>
        <v/>
      </c>
      <c r="J279" s="133" t="str">
        <f aca="false">IF('Steve Griffith'!$B39="","",'Steve Griffith'!$J39)</f>
        <v/>
      </c>
      <c r="K279" s="134" t="str">
        <f aca="false">IF('Steve Griffith'!$B39="","",'Steve Griffith'!$K39)</f>
        <v/>
      </c>
      <c r="L279" s="134" t="str">
        <f aca="false">IF('Steve Griffith'!$B39="","",'Steve Griffith'!$L39)</f>
        <v/>
      </c>
      <c r="M279" s="132" t="str">
        <f aca="false">IF('Steve Griffith'!$B39="","",'Steve Griffith'!$M39)</f>
        <v/>
      </c>
      <c r="N279" s="132" t="str">
        <f aca="false">IF('Steve Griffith'!$B39="","",'Steve Griffith'!$N39)</f>
        <v/>
      </c>
      <c r="O279" s="134" t="str">
        <f aca="false">IF('Steve Griffith'!$B39="","",'Steve Griffith'!$O39)</f>
        <v/>
      </c>
      <c r="P279" s="132" t="str">
        <f aca="false">IF('Steve Griffith'!$B39="","",'Steve Griffith'!$P39)</f>
        <v/>
      </c>
      <c r="Q279" s="131" t="str">
        <f aca="false">IF('Steve Griffith'!$B39="","","Steve Griffith")</f>
        <v/>
      </c>
      <c r="R279" s="131" t="n">
        <f aca="true">IF(OR($B279="",$I279="Complete",$L279=""),0,IF($L279&lt;TODAY(),1,0))</f>
        <v>0</v>
      </c>
      <c r="S279" s="131" t="n">
        <f aca="true">IF(OR($B279="",$I279="Complete",$L279=""),0,IF(AND($L279&gt;=TODAY(),$L279&lt;=TODAY()+7),1,0))</f>
        <v>0</v>
      </c>
      <c r="T279" s="131" t="str">
        <f aca="true">IF(OR($B279="",$L279=""),"",$L279-TODAY())</f>
        <v/>
      </c>
      <c r="U279" s="135" t="str">
        <f aca="false">IF($B279="","",IF($I279="Complete",1,IF($J279="",0,$J279)))</f>
        <v/>
      </c>
      <c r="V279" s="131" t="n">
        <f aca="false">IF($B279="",0,IF($N279="",0,1))</f>
        <v>0</v>
      </c>
      <c r="W279" s="131" t="n">
        <f aca="false">IF($B279="",0,1)</f>
        <v>0</v>
      </c>
    </row>
    <row r="280" customFormat="false" ht="15" hidden="false" customHeight="false" outlineLevel="0" collapsed="false">
      <c r="A280" s="131" t="str">
        <f aca="false">IF('Steve Griffith'!$B40="","",'Steve Griffith'!$A40)</f>
        <v/>
      </c>
      <c r="B280" s="131" t="str">
        <f aca="false">IF('Steve Griffith'!$B40="","",'Steve Griffith'!$B40)</f>
        <v/>
      </c>
      <c r="C280" s="132" t="str">
        <f aca="false">IF('Steve Griffith'!$B40="","",'Steve Griffith'!$C40)</f>
        <v/>
      </c>
      <c r="D280" s="132" t="str">
        <f aca="false">IF('Steve Griffith'!$B40="","",'Steve Griffith'!$D40)</f>
        <v/>
      </c>
      <c r="E280" s="132" t="str">
        <f aca="false">IF('Steve Griffith'!$B40="","",'Steve Griffith'!$E40)</f>
        <v/>
      </c>
      <c r="F280" s="132" t="str">
        <f aca="false">IF('Steve Griffith'!$B40="","",'Steve Griffith'!$F40)</f>
        <v/>
      </c>
      <c r="G280" s="132" t="str">
        <f aca="false">IF('Steve Griffith'!$B40="","",'Steve Griffith'!$G40)</f>
        <v/>
      </c>
      <c r="H280" s="131" t="str">
        <f aca="false">IF('Steve Griffith'!$B40="","",'Steve Griffith'!$H40)</f>
        <v/>
      </c>
      <c r="I280" s="131" t="str">
        <f aca="false">IF('Steve Griffith'!$B40="","",'Steve Griffith'!$I40)</f>
        <v/>
      </c>
      <c r="J280" s="133" t="str">
        <f aca="false">IF('Steve Griffith'!$B40="","",'Steve Griffith'!$J40)</f>
        <v/>
      </c>
      <c r="K280" s="134" t="str">
        <f aca="false">IF('Steve Griffith'!$B40="","",'Steve Griffith'!$K40)</f>
        <v/>
      </c>
      <c r="L280" s="134" t="str">
        <f aca="false">IF('Steve Griffith'!$B40="","",'Steve Griffith'!$L40)</f>
        <v/>
      </c>
      <c r="M280" s="132" t="str">
        <f aca="false">IF('Steve Griffith'!$B40="","",'Steve Griffith'!$M40)</f>
        <v/>
      </c>
      <c r="N280" s="132" t="str">
        <f aca="false">IF('Steve Griffith'!$B40="","",'Steve Griffith'!$N40)</f>
        <v/>
      </c>
      <c r="O280" s="134" t="str">
        <f aca="false">IF('Steve Griffith'!$B40="","",'Steve Griffith'!$O40)</f>
        <v/>
      </c>
      <c r="P280" s="132" t="str">
        <f aca="false">IF('Steve Griffith'!$B40="","",'Steve Griffith'!$P40)</f>
        <v/>
      </c>
      <c r="Q280" s="131" t="str">
        <f aca="false">IF('Steve Griffith'!$B40="","","Steve Griffith")</f>
        <v/>
      </c>
      <c r="R280" s="131" t="n">
        <f aca="true">IF(OR($B280="",$I280="Complete",$L280=""),0,IF($L280&lt;TODAY(),1,0))</f>
        <v>0</v>
      </c>
      <c r="S280" s="131" t="n">
        <f aca="true">IF(OR($B280="",$I280="Complete",$L280=""),0,IF(AND($L280&gt;=TODAY(),$L280&lt;=TODAY()+7),1,0))</f>
        <v>0</v>
      </c>
      <c r="T280" s="131" t="str">
        <f aca="true">IF(OR($B280="",$L280=""),"",$L280-TODAY())</f>
        <v/>
      </c>
      <c r="U280" s="135" t="str">
        <f aca="false">IF($B280="","",IF($I280="Complete",1,IF($J280="",0,$J280)))</f>
        <v/>
      </c>
      <c r="V280" s="131" t="n">
        <f aca="false">IF($B280="",0,IF($N280="",0,1))</f>
        <v>0</v>
      </c>
      <c r="W280" s="131" t="n">
        <f aca="false">IF($B280="",0,1)</f>
        <v>0</v>
      </c>
    </row>
    <row r="281" customFormat="false" ht="15" hidden="false" customHeight="false" outlineLevel="0" collapsed="false">
      <c r="A281" s="131" t="str">
        <f aca="false">IF('Steve Griffith'!$B41="","",'Steve Griffith'!$A41)</f>
        <v/>
      </c>
      <c r="B281" s="131" t="str">
        <f aca="false">IF('Steve Griffith'!$B41="","",'Steve Griffith'!$B41)</f>
        <v/>
      </c>
      <c r="C281" s="132" t="str">
        <f aca="false">IF('Steve Griffith'!$B41="","",'Steve Griffith'!$C41)</f>
        <v/>
      </c>
      <c r="D281" s="132" t="str">
        <f aca="false">IF('Steve Griffith'!$B41="","",'Steve Griffith'!$D41)</f>
        <v/>
      </c>
      <c r="E281" s="132" t="str">
        <f aca="false">IF('Steve Griffith'!$B41="","",'Steve Griffith'!$E41)</f>
        <v/>
      </c>
      <c r="F281" s="132" t="str">
        <f aca="false">IF('Steve Griffith'!$B41="","",'Steve Griffith'!$F41)</f>
        <v/>
      </c>
      <c r="G281" s="132" t="str">
        <f aca="false">IF('Steve Griffith'!$B41="","",'Steve Griffith'!$G41)</f>
        <v/>
      </c>
      <c r="H281" s="131" t="str">
        <f aca="false">IF('Steve Griffith'!$B41="","",'Steve Griffith'!$H41)</f>
        <v/>
      </c>
      <c r="I281" s="131" t="str">
        <f aca="false">IF('Steve Griffith'!$B41="","",'Steve Griffith'!$I41)</f>
        <v/>
      </c>
      <c r="J281" s="133" t="str">
        <f aca="false">IF('Steve Griffith'!$B41="","",'Steve Griffith'!$J41)</f>
        <v/>
      </c>
      <c r="K281" s="134" t="str">
        <f aca="false">IF('Steve Griffith'!$B41="","",'Steve Griffith'!$K41)</f>
        <v/>
      </c>
      <c r="L281" s="134" t="str">
        <f aca="false">IF('Steve Griffith'!$B41="","",'Steve Griffith'!$L41)</f>
        <v/>
      </c>
      <c r="M281" s="132" t="str">
        <f aca="false">IF('Steve Griffith'!$B41="","",'Steve Griffith'!$M41)</f>
        <v/>
      </c>
      <c r="N281" s="132" t="str">
        <f aca="false">IF('Steve Griffith'!$B41="","",'Steve Griffith'!$N41)</f>
        <v/>
      </c>
      <c r="O281" s="134" t="str">
        <f aca="false">IF('Steve Griffith'!$B41="","",'Steve Griffith'!$O41)</f>
        <v/>
      </c>
      <c r="P281" s="132" t="str">
        <f aca="false">IF('Steve Griffith'!$B41="","",'Steve Griffith'!$P41)</f>
        <v/>
      </c>
      <c r="Q281" s="131" t="str">
        <f aca="false">IF('Steve Griffith'!$B41="","","Steve Griffith")</f>
        <v/>
      </c>
      <c r="R281" s="131" t="n">
        <f aca="true">IF(OR($B281="",$I281="Complete",$L281=""),0,IF($L281&lt;TODAY(),1,0))</f>
        <v>0</v>
      </c>
      <c r="S281" s="131" t="n">
        <f aca="true">IF(OR($B281="",$I281="Complete",$L281=""),0,IF(AND($L281&gt;=TODAY(),$L281&lt;=TODAY()+7),1,0))</f>
        <v>0</v>
      </c>
      <c r="T281" s="131" t="str">
        <f aca="true">IF(OR($B281="",$L281=""),"",$L281-TODAY())</f>
        <v/>
      </c>
      <c r="U281" s="135" t="str">
        <f aca="false">IF($B281="","",IF($I281="Complete",1,IF($J281="",0,$J281)))</f>
        <v/>
      </c>
      <c r="V281" s="131" t="n">
        <f aca="false">IF($B281="",0,IF($N281="",0,1))</f>
        <v>0</v>
      </c>
      <c r="W281" s="131" t="n">
        <f aca="false">IF($B281="",0,1)</f>
        <v>0</v>
      </c>
    </row>
    <row r="282" customFormat="false" ht="15" hidden="false" customHeight="false" outlineLevel="0" collapsed="false">
      <c r="A282" s="131" t="str">
        <f aca="false">IF('Steve Griffith'!$B42="","",'Steve Griffith'!$A42)</f>
        <v/>
      </c>
      <c r="B282" s="131" t="str">
        <f aca="false">IF('Steve Griffith'!$B42="","",'Steve Griffith'!$B42)</f>
        <v/>
      </c>
      <c r="C282" s="132" t="str">
        <f aca="false">IF('Steve Griffith'!$B42="","",'Steve Griffith'!$C42)</f>
        <v/>
      </c>
      <c r="D282" s="132" t="str">
        <f aca="false">IF('Steve Griffith'!$B42="","",'Steve Griffith'!$D42)</f>
        <v/>
      </c>
      <c r="E282" s="132" t="str">
        <f aca="false">IF('Steve Griffith'!$B42="","",'Steve Griffith'!$E42)</f>
        <v/>
      </c>
      <c r="F282" s="132" t="str">
        <f aca="false">IF('Steve Griffith'!$B42="","",'Steve Griffith'!$F42)</f>
        <v/>
      </c>
      <c r="G282" s="132" t="str">
        <f aca="false">IF('Steve Griffith'!$B42="","",'Steve Griffith'!$G42)</f>
        <v/>
      </c>
      <c r="H282" s="131" t="str">
        <f aca="false">IF('Steve Griffith'!$B42="","",'Steve Griffith'!$H42)</f>
        <v/>
      </c>
      <c r="I282" s="131" t="str">
        <f aca="false">IF('Steve Griffith'!$B42="","",'Steve Griffith'!$I42)</f>
        <v/>
      </c>
      <c r="J282" s="133" t="str">
        <f aca="false">IF('Steve Griffith'!$B42="","",'Steve Griffith'!$J42)</f>
        <v/>
      </c>
      <c r="K282" s="134" t="str">
        <f aca="false">IF('Steve Griffith'!$B42="","",'Steve Griffith'!$K42)</f>
        <v/>
      </c>
      <c r="L282" s="134" t="str">
        <f aca="false">IF('Steve Griffith'!$B42="","",'Steve Griffith'!$L42)</f>
        <v/>
      </c>
      <c r="M282" s="132" t="str">
        <f aca="false">IF('Steve Griffith'!$B42="","",'Steve Griffith'!$M42)</f>
        <v/>
      </c>
      <c r="N282" s="132" t="str">
        <f aca="false">IF('Steve Griffith'!$B42="","",'Steve Griffith'!$N42)</f>
        <v/>
      </c>
      <c r="O282" s="134" t="str">
        <f aca="false">IF('Steve Griffith'!$B42="","",'Steve Griffith'!$O42)</f>
        <v/>
      </c>
      <c r="P282" s="132" t="str">
        <f aca="false">IF('Steve Griffith'!$B42="","",'Steve Griffith'!$P42)</f>
        <v/>
      </c>
      <c r="Q282" s="131" t="str">
        <f aca="false">IF('Steve Griffith'!$B42="","","Steve Griffith")</f>
        <v/>
      </c>
      <c r="R282" s="131" t="n">
        <f aca="true">IF(OR($B282="",$I282="Complete",$L282=""),0,IF($L282&lt;TODAY(),1,0))</f>
        <v>0</v>
      </c>
      <c r="S282" s="131" t="n">
        <f aca="true">IF(OR($B282="",$I282="Complete",$L282=""),0,IF(AND($L282&gt;=TODAY(),$L282&lt;=TODAY()+7),1,0))</f>
        <v>0</v>
      </c>
      <c r="T282" s="131" t="str">
        <f aca="true">IF(OR($B282="",$L282=""),"",$L282-TODAY())</f>
        <v/>
      </c>
      <c r="U282" s="135" t="str">
        <f aca="false">IF($B282="","",IF($I282="Complete",1,IF($J282="",0,$J282)))</f>
        <v/>
      </c>
      <c r="V282" s="131" t="n">
        <f aca="false">IF($B282="",0,IF($N282="",0,1))</f>
        <v>0</v>
      </c>
      <c r="W282" s="131" t="n">
        <f aca="false">IF($B282="",0,1)</f>
        <v>0</v>
      </c>
    </row>
    <row r="283" customFormat="false" ht="15" hidden="false" customHeight="false" outlineLevel="0" collapsed="false">
      <c r="A283" s="131" t="str">
        <f aca="false">IF('Steve Griffith'!$B43="","",'Steve Griffith'!$A43)</f>
        <v/>
      </c>
      <c r="B283" s="131" t="str">
        <f aca="false">IF('Steve Griffith'!$B43="","",'Steve Griffith'!$B43)</f>
        <v/>
      </c>
      <c r="C283" s="132" t="str">
        <f aca="false">IF('Steve Griffith'!$B43="","",'Steve Griffith'!$C43)</f>
        <v/>
      </c>
      <c r="D283" s="132" t="str">
        <f aca="false">IF('Steve Griffith'!$B43="","",'Steve Griffith'!$D43)</f>
        <v/>
      </c>
      <c r="E283" s="132" t="str">
        <f aca="false">IF('Steve Griffith'!$B43="","",'Steve Griffith'!$E43)</f>
        <v/>
      </c>
      <c r="F283" s="132" t="str">
        <f aca="false">IF('Steve Griffith'!$B43="","",'Steve Griffith'!$F43)</f>
        <v/>
      </c>
      <c r="G283" s="132" t="str">
        <f aca="false">IF('Steve Griffith'!$B43="","",'Steve Griffith'!$G43)</f>
        <v/>
      </c>
      <c r="H283" s="131" t="str">
        <f aca="false">IF('Steve Griffith'!$B43="","",'Steve Griffith'!$H43)</f>
        <v/>
      </c>
      <c r="I283" s="131" t="str">
        <f aca="false">IF('Steve Griffith'!$B43="","",'Steve Griffith'!$I43)</f>
        <v/>
      </c>
      <c r="J283" s="133" t="str">
        <f aca="false">IF('Steve Griffith'!$B43="","",'Steve Griffith'!$J43)</f>
        <v/>
      </c>
      <c r="K283" s="134" t="str">
        <f aca="false">IF('Steve Griffith'!$B43="","",'Steve Griffith'!$K43)</f>
        <v/>
      </c>
      <c r="L283" s="134" t="str">
        <f aca="false">IF('Steve Griffith'!$B43="","",'Steve Griffith'!$L43)</f>
        <v/>
      </c>
      <c r="M283" s="132" t="str">
        <f aca="false">IF('Steve Griffith'!$B43="","",'Steve Griffith'!$M43)</f>
        <v/>
      </c>
      <c r="N283" s="132" t="str">
        <f aca="false">IF('Steve Griffith'!$B43="","",'Steve Griffith'!$N43)</f>
        <v/>
      </c>
      <c r="O283" s="134" t="str">
        <f aca="false">IF('Steve Griffith'!$B43="","",'Steve Griffith'!$O43)</f>
        <v/>
      </c>
      <c r="P283" s="132" t="str">
        <f aca="false">IF('Steve Griffith'!$B43="","",'Steve Griffith'!$P43)</f>
        <v/>
      </c>
      <c r="Q283" s="131" t="str">
        <f aca="false">IF('Steve Griffith'!$B43="","","Steve Griffith")</f>
        <v/>
      </c>
      <c r="R283" s="131" t="n">
        <f aca="true">IF(OR($B283="",$I283="Complete",$L283=""),0,IF($L283&lt;TODAY(),1,0))</f>
        <v>0</v>
      </c>
      <c r="S283" s="131" t="n">
        <f aca="true">IF(OR($B283="",$I283="Complete",$L283=""),0,IF(AND($L283&gt;=TODAY(),$L283&lt;=TODAY()+7),1,0))</f>
        <v>0</v>
      </c>
      <c r="T283" s="131" t="str">
        <f aca="true">IF(OR($B283="",$L283=""),"",$L283-TODAY())</f>
        <v/>
      </c>
      <c r="U283" s="135" t="str">
        <f aca="false">IF($B283="","",IF($I283="Complete",1,IF($J283="",0,$J283)))</f>
        <v/>
      </c>
      <c r="V283" s="131" t="n">
        <f aca="false">IF($B283="",0,IF($N283="",0,1))</f>
        <v>0</v>
      </c>
      <c r="W283" s="131" t="n">
        <f aca="false">IF($B283="",0,1)</f>
        <v>0</v>
      </c>
    </row>
    <row r="284" customFormat="false" ht="15" hidden="false" customHeight="false" outlineLevel="0" collapsed="false">
      <c r="A284" s="131" t="str">
        <f aca="false">IF('Steve Griffith'!$B44="","",'Steve Griffith'!$A44)</f>
        <v/>
      </c>
      <c r="B284" s="131" t="str">
        <f aca="false">IF('Steve Griffith'!$B44="","",'Steve Griffith'!$B44)</f>
        <v/>
      </c>
      <c r="C284" s="132" t="str">
        <f aca="false">IF('Steve Griffith'!$B44="","",'Steve Griffith'!$C44)</f>
        <v/>
      </c>
      <c r="D284" s="132" t="str">
        <f aca="false">IF('Steve Griffith'!$B44="","",'Steve Griffith'!$D44)</f>
        <v/>
      </c>
      <c r="E284" s="132" t="str">
        <f aca="false">IF('Steve Griffith'!$B44="","",'Steve Griffith'!$E44)</f>
        <v/>
      </c>
      <c r="F284" s="132" t="str">
        <f aca="false">IF('Steve Griffith'!$B44="","",'Steve Griffith'!$F44)</f>
        <v/>
      </c>
      <c r="G284" s="132" t="str">
        <f aca="false">IF('Steve Griffith'!$B44="","",'Steve Griffith'!$G44)</f>
        <v/>
      </c>
      <c r="H284" s="131" t="str">
        <f aca="false">IF('Steve Griffith'!$B44="","",'Steve Griffith'!$H44)</f>
        <v/>
      </c>
      <c r="I284" s="131" t="str">
        <f aca="false">IF('Steve Griffith'!$B44="","",'Steve Griffith'!$I44)</f>
        <v/>
      </c>
      <c r="J284" s="133" t="str">
        <f aca="false">IF('Steve Griffith'!$B44="","",'Steve Griffith'!$J44)</f>
        <v/>
      </c>
      <c r="K284" s="134" t="str">
        <f aca="false">IF('Steve Griffith'!$B44="","",'Steve Griffith'!$K44)</f>
        <v/>
      </c>
      <c r="L284" s="134" t="str">
        <f aca="false">IF('Steve Griffith'!$B44="","",'Steve Griffith'!$L44)</f>
        <v/>
      </c>
      <c r="M284" s="132" t="str">
        <f aca="false">IF('Steve Griffith'!$B44="","",'Steve Griffith'!$M44)</f>
        <v/>
      </c>
      <c r="N284" s="132" t="str">
        <f aca="false">IF('Steve Griffith'!$B44="","",'Steve Griffith'!$N44)</f>
        <v/>
      </c>
      <c r="O284" s="134" t="str">
        <f aca="false">IF('Steve Griffith'!$B44="","",'Steve Griffith'!$O44)</f>
        <v/>
      </c>
      <c r="P284" s="132" t="str">
        <f aca="false">IF('Steve Griffith'!$B44="","",'Steve Griffith'!$P44)</f>
        <v/>
      </c>
      <c r="Q284" s="131" t="str">
        <f aca="false">IF('Steve Griffith'!$B44="","","Steve Griffith")</f>
        <v/>
      </c>
      <c r="R284" s="131" t="n">
        <f aca="true">IF(OR($B284="",$I284="Complete",$L284=""),0,IF($L284&lt;TODAY(),1,0))</f>
        <v>0</v>
      </c>
      <c r="S284" s="131" t="n">
        <f aca="true">IF(OR($B284="",$I284="Complete",$L284=""),0,IF(AND($L284&gt;=TODAY(),$L284&lt;=TODAY()+7),1,0))</f>
        <v>0</v>
      </c>
      <c r="T284" s="131" t="str">
        <f aca="true">IF(OR($B284="",$L284=""),"",$L284-TODAY())</f>
        <v/>
      </c>
      <c r="U284" s="135" t="str">
        <f aca="false">IF($B284="","",IF($I284="Complete",1,IF($J284="",0,$J284)))</f>
        <v/>
      </c>
      <c r="V284" s="131" t="n">
        <f aca="false">IF($B284="",0,IF($N284="",0,1))</f>
        <v>0</v>
      </c>
      <c r="W284" s="131" t="n">
        <f aca="false">IF($B284="",0,1)</f>
        <v>0</v>
      </c>
    </row>
    <row r="285" customFormat="false" ht="19.4" hidden="false" customHeight="false" outlineLevel="0" collapsed="false">
      <c r="A285" s="131" t="str">
        <f aca="false">IF('Matt Motyka'!$B5="","",'Matt Motyka'!$A5)</f>
        <v>MM-001</v>
      </c>
      <c r="B285" s="131" t="str">
        <f aca="false">IF('Matt Motyka'!$B5="","",'Matt Motyka'!$B5)</f>
        <v>P1-1</v>
      </c>
      <c r="C285" s="132" t="str">
        <f aca="false">IF('Matt Motyka'!$B5="","",'Matt Motyka'!$C5)</f>
        <v>1 – Unified Development System</v>
      </c>
      <c r="D285" s="132" t="str">
        <f aca="false">IF('Matt Motyka'!$B5="","",'Matt Motyka'!$D5)</f>
        <v>Implement standardized Mutual Evaluation Process (MEP) across all brands</v>
      </c>
      <c r="E285" s="132" t="str">
        <f aca="false">IF('Matt Motyka'!$B5="","",'Matt Motyka'!$E5)</f>
        <v>Matt Motyka</v>
      </c>
      <c r="F285" s="132" t="str">
        <f aca="false">IF('Matt Motyka'!$B5="","",'Matt Motyka'!$F5)</f>
        <v>Contributor</v>
      </c>
      <c r="G285" s="132" t="str">
        <f aca="false">IF('Matt Motyka'!$B5="","",'Matt Motyka'!$G5)</f>
        <v>Training Section 1-3 in Fran Dev 101</v>
      </c>
      <c r="H285" s="131" t="str">
        <f aca="false">IF('Matt Motyka'!$B5="","",'Matt Motyka'!$H5)</f>
        <v>Medium</v>
      </c>
      <c r="I285" s="131" t="str">
        <f aca="false">IF('Matt Motyka'!$B5="","",'Matt Motyka'!$I5)</f>
        <v>In Progress</v>
      </c>
      <c r="J285" s="133" t="n">
        <f aca="false">IF('Matt Motyka'!$B5="","",'Matt Motyka'!$J5)</f>
        <v>0.5</v>
      </c>
      <c r="K285" s="134" t="n">
        <f aca="false">IF('Matt Motyka'!$B5="","",'Matt Motyka'!$K5)</f>
        <v>46162</v>
      </c>
      <c r="L285" s="134" t="n">
        <f aca="false">IF('Matt Motyka'!$B5="","",'Matt Motyka'!$L5)</f>
        <v>46186</v>
      </c>
      <c r="M285" s="132" t="n">
        <f aca="false">IF('Matt Motyka'!$B5="","",'Matt Motyka'!$M5)</f>
        <v>0</v>
      </c>
      <c r="N285" s="132" t="n">
        <f aca="false">IF('Matt Motyka'!$B5="","",'Matt Motyka'!$N5)</f>
        <v>0</v>
      </c>
      <c r="O285" s="134" t="str">
        <f aca="false">IF('Matt Motyka'!$B5="","",'Matt Motyka'!$O5)</f>
        <v>Assigned 5/20</v>
      </c>
      <c r="P285" s="132" t="str">
        <f aca="false">IF('Matt Motyka'!$B5="","",'Matt Motyka'!$P5)</f>
        <v>Complete sections 2-3</v>
      </c>
      <c r="Q285" s="131" t="str">
        <f aca="false">IF('Matt Motyka'!$B5="","","Matt Motyka")</f>
        <v>Matt Motyka</v>
      </c>
      <c r="R285" s="131" t="n">
        <f aca="true">IF(OR($B285="",$I285="Complete",$L285=""),0,IF($L285&lt;TODAY(),1,0))</f>
        <v>0</v>
      </c>
      <c r="S285" s="131" t="n">
        <f aca="true">IF(OR($B285="",$I285="Complete",$L285=""),0,IF(AND($L285&gt;=TODAY(),$L285&lt;=TODAY()+7),1,0))</f>
        <v>0</v>
      </c>
      <c r="T285" s="131" t="n">
        <f aca="true">IF(OR($B285="",$L285=""),"",$L285-TODAY())</f>
        <v>16</v>
      </c>
      <c r="U285" s="135" t="n">
        <f aca="false">IF($B285="","",IF($I285="Complete",1,IF($J285="",0,$J285)))</f>
        <v>0.5</v>
      </c>
      <c r="V285" s="131" t="n">
        <f aca="false">IF($B285="",0,IF($N285="",0,1))</f>
        <v>0</v>
      </c>
      <c r="W285" s="131" t="n">
        <f aca="false">IF($B285="",0,1)</f>
        <v>1</v>
      </c>
    </row>
    <row r="286" customFormat="false" ht="19.4" hidden="false" customHeight="false" outlineLevel="0" collapsed="false">
      <c r="A286" s="131" t="str">
        <f aca="false">IF('Matt Motyka'!$B6="","",'Matt Motyka'!$A6)</f>
        <v>MM-002</v>
      </c>
      <c r="B286" s="131" t="str">
        <f aca="false">IF('Matt Motyka'!$B6="","",'Matt Motyka'!$B6)</f>
        <v>P4-6</v>
      </c>
      <c r="C286" s="132" t="str">
        <f aca="false">IF('Matt Motyka'!$B6="","",'Matt Motyka'!$C6)</f>
        <v>4 – Portfolio Brand Strategy</v>
      </c>
      <c r="D286" s="132" t="str">
        <f aca="false">IF('Matt Motyka'!$B6="","",'Matt Motyka'!$D6)</f>
        <v>Utilize Clintar as a selective strategic growth vehicle</v>
      </c>
      <c r="E286" s="132" t="str">
        <f aca="false">IF('Matt Motyka'!$B6="","",'Matt Motyka'!$E6)</f>
        <v>Matt Motyka</v>
      </c>
      <c r="F286" s="132" t="str">
        <f aca="false">IF('Matt Motyka'!$B6="","",'Matt Motyka'!$F6)</f>
        <v>Owner</v>
      </c>
      <c r="G286" s="132" t="str">
        <f aca="false">IF('Matt Motyka'!$B6="","",'Matt Motyka'!$G6)</f>
        <v>Position Clintar as a selective strategic growth vehicle</v>
      </c>
      <c r="H286" s="131" t="str">
        <f aca="false">IF('Matt Motyka'!$B6="","",'Matt Motyka'!$H6)</f>
        <v>Medium</v>
      </c>
      <c r="I286" s="131" t="str">
        <f aca="false">IF('Matt Motyka'!$B6="","",'Matt Motyka'!$I6)</f>
        <v>In Progress</v>
      </c>
      <c r="J286" s="133" t="n">
        <f aca="false">IF('Matt Motyka'!$B6="","",'Matt Motyka'!$J6)</f>
        <v>0.3</v>
      </c>
      <c r="K286" s="134" t="n">
        <f aca="false">IF('Matt Motyka'!$B6="","",'Matt Motyka'!$K6)</f>
        <v>46152</v>
      </c>
      <c r="L286" s="134" t="n">
        <f aca="false">IF('Matt Motyka'!$B6="","",'Matt Motyka'!$L6)</f>
        <v>46249</v>
      </c>
      <c r="M286" s="132" t="n">
        <f aca="false">IF('Matt Motyka'!$B6="","",'Matt Motyka'!$M6)</f>
        <v>0</v>
      </c>
      <c r="N286" s="132" t="n">
        <f aca="false">IF('Matt Motyka'!$B6="","",'Matt Motyka'!$N6)</f>
        <v>0</v>
      </c>
      <c r="O286" s="134" t="str">
        <f aca="false">IF('Matt Motyka'!$B6="","",'Matt Motyka'!$O6)</f>
        <v>Defining target operator profile</v>
      </c>
      <c r="P286" s="132" t="str">
        <f aca="false">IF('Matt Motyka'!$B6="","",'Matt Motyka'!$P6)</f>
        <v>Draft selective growth criteria</v>
      </c>
      <c r="Q286" s="131" t="str">
        <f aca="false">IF('Matt Motyka'!$B6="","","Matt Motyka")</f>
        <v>Matt Motyka</v>
      </c>
      <c r="R286" s="131" t="n">
        <f aca="true">IF(OR($B286="",$I286="Complete",$L286=""),0,IF($L286&lt;TODAY(),1,0))</f>
        <v>0</v>
      </c>
      <c r="S286" s="131" t="n">
        <f aca="true">IF(OR($B286="",$I286="Complete",$L286=""),0,IF(AND($L286&gt;=TODAY(),$L286&lt;=TODAY()+7),1,0))</f>
        <v>0</v>
      </c>
      <c r="T286" s="131" t="n">
        <f aca="true">IF(OR($B286="",$L286=""),"",$L286-TODAY())</f>
        <v>79</v>
      </c>
      <c r="U286" s="135" t="n">
        <f aca="false">IF($B286="","",IF($I286="Complete",1,IF($J286="",0,$J286)))</f>
        <v>0.3</v>
      </c>
      <c r="V286" s="131" t="n">
        <f aca="false">IF($B286="",0,IF($N286="",0,1))</f>
        <v>0</v>
      </c>
      <c r="W286" s="131" t="n">
        <f aca="false">IF($B286="",0,1)</f>
        <v>1</v>
      </c>
    </row>
    <row r="287" customFormat="false" ht="15" hidden="false" customHeight="false" outlineLevel="0" collapsed="false">
      <c r="A287" s="131" t="str">
        <f aca="false">IF('Matt Motyka'!$B7="","",'Matt Motyka'!$A7)</f>
        <v/>
      </c>
      <c r="B287" s="131" t="str">
        <f aca="false">IF('Matt Motyka'!$B7="","",'Matt Motyka'!$B7)</f>
        <v/>
      </c>
      <c r="C287" s="132" t="str">
        <f aca="false">IF('Matt Motyka'!$B7="","",'Matt Motyka'!$C7)</f>
        <v/>
      </c>
      <c r="D287" s="132" t="str">
        <f aca="false">IF('Matt Motyka'!$B7="","",'Matt Motyka'!$D7)</f>
        <v/>
      </c>
      <c r="E287" s="132" t="str">
        <f aca="false">IF('Matt Motyka'!$B7="","",'Matt Motyka'!$E7)</f>
        <v/>
      </c>
      <c r="F287" s="132" t="str">
        <f aca="false">IF('Matt Motyka'!$B7="","",'Matt Motyka'!$F7)</f>
        <v/>
      </c>
      <c r="G287" s="132" t="str">
        <f aca="false">IF('Matt Motyka'!$B7="","",'Matt Motyka'!$G7)</f>
        <v/>
      </c>
      <c r="H287" s="131" t="str">
        <f aca="false">IF('Matt Motyka'!$B7="","",'Matt Motyka'!$H7)</f>
        <v/>
      </c>
      <c r="I287" s="131" t="str">
        <f aca="false">IF('Matt Motyka'!$B7="","",'Matt Motyka'!$I7)</f>
        <v/>
      </c>
      <c r="J287" s="133" t="str">
        <f aca="false">IF('Matt Motyka'!$B7="","",'Matt Motyka'!$J7)</f>
        <v/>
      </c>
      <c r="K287" s="134" t="str">
        <f aca="false">IF('Matt Motyka'!$B7="","",'Matt Motyka'!$K7)</f>
        <v/>
      </c>
      <c r="L287" s="134" t="str">
        <f aca="false">IF('Matt Motyka'!$B7="","",'Matt Motyka'!$L7)</f>
        <v/>
      </c>
      <c r="M287" s="132" t="str">
        <f aca="false">IF('Matt Motyka'!$B7="","",'Matt Motyka'!$M7)</f>
        <v/>
      </c>
      <c r="N287" s="132" t="str">
        <f aca="false">IF('Matt Motyka'!$B7="","",'Matt Motyka'!$N7)</f>
        <v/>
      </c>
      <c r="O287" s="134" t="str">
        <f aca="false">IF('Matt Motyka'!$B7="","",'Matt Motyka'!$O7)</f>
        <v/>
      </c>
      <c r="P287" s="132" t="str">
        <f aca="false">IF('Matt Motyka'!$B7="","",'Matt Motyka'!$P7)</f>
        <v/>
      </c>
      <c r="Q287" s="131" t="str">
        <f aca="false">IF('Matt Motyka'!$B7="","","Matt Motyka")</f>
        <v/>
      </c>
      <c r="R287" s="131" t="n">
        <f aca="true">IF(OR($B287="",$I287="Complete",$L287=""),0,IF($L287&lt;TODAY(),1,0))</f>
        <v>0</v>
      </c>
      <c r="S287" s="131" t="n">
        <f aca="true">IF(OR($B287="",$I287="Complete",$L287=""),0,IF(AND($L287&gt;=TODAY(),$L287&lt;=TODAY()+7),1,0))</f>
        <v>0</v>
      </c>
      <c r="T287" s="131" t="str">
        <f aca="true">IF(OR($B287="",$L287=""),"",$L287-TODAY())</f>
        <v/>
      </c>
      <c r="U287" s="135" t="str">
        <f aca="false">IF($B287="","",IF($I287="Complete",1,IF($J287="",0,$J287)))</f>
        <v/>
      </c>
      <c r="V287" s="131" t="n">
        <f aca="false">IF($B287="",0,IF($N287="",0,1))</f>
        <v>0</v>
      </c>
      <c r="W287" s="131" t="n">
        <f aca="false">IF($B287="",0,1)</f>
        <v>0</v>
      </c>
    </row>
    <row r="288" customFormat="false" ht="15" hidden="false" customHeight="false" outlineLevel="0" collapsed="false">
      <c r="A288" s="131" t="str">
        <f aca="false">IF('Matt Motyka'!$B8="","",'Matt Motyka'!$A8)</f>
        <v/>
      </c>
      <c r="B288" s="131" t="str">
        <f aca="false">IF('Matt Motyka'!$B8="","",'Matt Motyka'!$B8)</f>
        <v/>
      </c>
      <c r="C288" s="132" t="str">
        <f aca="false">IF('Matt Motyka'!$B8="","",'Matt Motyka'!$C8)</f>
        <v/>
      </c>
      <c r="D288" s="132" t="str">
        <f aca="false">IF('Matt Motyka'!$B8="","",'Matt Motyka'!$D8)</f>
        <v/>
      </c>
      <c r="E288" s="132" t="str">
        <f aca="false">IF('Matt Motyka'!$B8="","",'Matt Motyka'!$E8)</f>
        <v/>
      </c>
      <c r="F288" s="132" t="str">
        <f aca="false">IF('Matt Motyka'!$B8="","",'Matt Motyka'!$F8)</f>
        <v/>
      </c>
      <c r="G288" s="132" t="str">
        <f aca="false">IF('Matt Motyka'!$B8="","",'Matt Motyka'!$G8)</f>
        <v/>
      </c>
      <c r="H288" s="131" t="str">
        <f aca="false">IF('Matt Motyka'!$B8="","",'Matt Motyka'!$H8)</f>
        <v/>
      </c>
      <c r="I288" s="131" t="str">
        <f aca="false">IF('Matt Motyka'!$B8="","",'Matt Motyka'!$I8)</f>
        <v/>
      </c>
      <c r="J288" s="133" t="str">
        <f aca="false">IF('Matt Motyka'!$B8="","",'Matt Motyka'!$J8)</f>
        <v/>
      </c>
      <c r="K288" s="134" t="str">
        <f aca="false">IF('Matt Motyka'!$B8="","",'Matt Motyka'!$K8)</f>
        <v/>
      </c>
      <c r="L288" s="134" t="str">
        <f aca="false">IF('Matt Motyka'!$B8="","",'Matt Motyka'!$L8)</f>
        <v/>
      </c>
      <c r="M288" s="132" t="str">
        <f aca="false">IF('Matt Motyka'!$B8="","",'Matt Motyka'!$M8)</f>
        <v/>
      </c>
      <c r="N288" s="132" t="str">
        <f aca="false">IF('Matt Motyka'!$B8="","",'Matt Motyka'!$N8)</f>
        <v/>
      </c>
      <c r="O288" s="134" t="str">
        <f aca="false">IF('Matt Motyka'!$B8="","",'Matt Motyka'!$O8)</f>
        <v/>
      </c>
      <c r="P288" s="132" t="str">
        <f aca="false">IF('Matt Motyka'!$B8="","",'Matt Motyka'!$P8)</f>
        <v/>
      </c>
      <c r="Q288" s="131" t="str">
        <f aca="false">IF('Matt Motyka'!$B8="","","Matt Motyka")</f>
        <v/>
      </c>
      <c r="R288" s="131" t="n">
        <f aca="true">IF(OR($B288="",$I288="Complete",$L288=""),0,IF($L288&lt;TODAY(),1,0))</f>
        <v>0</v>
      </c>
      <c r="S288" s="131" t="n">
        <f aca="true">IF(OR($B288="",$I288="Complete",$L288=""),0,IF(AND($L288&gt;=TODAY(),$L288&lt;=TODAY()+7),1,0))</f>
        <v>0</v>
      </c>
      <c r="T288" s="131" t="str">
        <f aca="true">IF(OR($B288="",$L288=""),"",$L288-TODAY())</f>
        <v/>
      </c>
      <c r="U288" s="135" t="str">
        <f aca="false">IF($B288="","",IF($I288="Complete",1,IF($J288="",0,$J288)))</f>
        <v/>
      </c>
      <c r="V288" s="131" t="n">
        <f aca="false">IF($B288="",0,IF($N288="",0,1))</f>
        <v>0</v>
      </c>
      <c r="W288" s="131" t="n">
        <f aca="false">IF($B288="",0,1)</f>
        <v>0</v>
      </c>
    </row>
    <row r="289" customFormat="false" ht="15" hidden="false" customHeight="false" outlineLevel="0" collapsed="false">
      <c r="A289" s="131" t="str">
        <f aca="false">IF('Matt Motyka'!$B9="","",'Matt Motyka'!$A9)</f>
        <v/>
      </c>
      <c r="B289" s="131" t="str">
        <f aca="false">IF('Matt Motyka'!$B9="","",'Matt Motyka'!$B9)</f>
        <v/>
      </c>
      <c r="C289" s="132" t="str">
        <f aca="false">IF('Matt Motyka'!$B9="","",'Matt Motyka'!$C9)</f>
        <v/>
      </c>
      <c r="D289" s="132" t="str">
        <f aca="false">IF('Matt Motyka'!$B9="","",'Matt Motyka'!$D9)</f>
        <v/>
      </c>
      <c r="E289" s="132" t="str">
        <f aca="false">IF('Matt Motyka'!$B9="","",'Matt Motyka'!$E9)</f>
        <v/>
      </c>
      <c r="F289" s="132" t="str">
        <f aca="false">IF('Matt Motyka'!$B9="","",'Matt Motyka'!$F9)</f>
        <v/>
      </c>
      <c r="G289" s="132" t="str">
        <f aca="false">IF('Matt Motyka'!$B9="","",'Matt Motyka'!$G9)</f>
        <v/>
      </c>
      <c r="H289" s="131" t="str">
        <f aca="false">IF('Matt Motyka'!$B9="","",'Matt Motyka'!$H9)</f>
        <v/>
      </c>
      <c r="I289" s="131" t="str">
        <f aca="false">IF('Matt Motyka'!$B9="","",'Matt Motyka'!$I9)</f>
        <v/>
      </c>
      <c r="J289" s="133" t="str">
        <f aca="false">IF('Matt Motyka'!$B9="","",'Matt Motyka'!$J9)</f>
        <v/>
      </c>
      <c r="K289" s="134" t="str">
        <f aca="false">IF('Matt Motyka'!$B9="","",'Matt Motyka'!$K9)</f>
        <v/>
      </c>
      <c r="L289" s="134" t="str">
        <f aca="false">IF('Matt Motyka'!$B9="","",'Matt Motyka'!$L9)</f>
        <v/>
      </c>
      <c r="M289" s="132" t="str">
        <f aca="false">IF('Matt Motyka'!$B9="","",'Matt Motyka'!$M9)</f>
        <v/>
      </c>
      <c r="N289" s="132" t="str">
        <f aca="false">IF('Matt Motyka'!$B9="","",'Matt Motyka'!$N9)</f>
        <v/>
      </c>
      <c r="O289" s="134" t="str">
        <f aca="false">IF('Matt Motyka'!$B9="","",'Matt Motyka'!$O9)</f>
        <v/>
      </c>
      <c r="P289" s="132" t="str">
        <f aca="false">IF('Matt Motyka'!$B9="","",'Matt Motyka'!$P9)</f>
        <v/>
      </c>
      <c r="Q289" s="131" t="str">
        <f aca="false">IF('Matt Motyka'!$B9="","","Matt Motyka")</f>
        <v/>
      </c>
      <c r="R289" s="131" t="n">
        <f aca="true">IF(OR($B289="",$I289="Complete",$L289=""),0,IF($L289&lt;TODAY(),1,0))</f>
        <v>0</v>
      </c>
      <c r="S289" s="131" t="n">
        <f aca="true">IF(OR($B289="",$I289="Complete",$L289=""),0,IF(AND($L289&gt;=TODAY(),$L289&lt;=TODAY()+7),1,0))</f>
        <v>0</v>
      </c>
      <c r="T289" s="131" t="str">
        <f aca="true">IF(OR($B289="",$L289=""),"",$L289-TODAY())</f>
        <v/>
      </c>
      <c r="U289" s="135" t="str">
        <f aca="false">IF($B289="","",IF($I289="Complete",1,IF($J289="",0,$J289)))</f>
        <v/>
      </c>
      <c r="V289" s="131" t="n">
        <f aca="false">IF($B289="",0,IF($N289="",0,1))</f>
        <v>0</v>
      </c>
      <c r="W289" s="131" t="n">
        <f aca="false">IF($B289="",0,1)</f>
        <v>0</v>
      </c>
    </row>
    <row r="290" customFormat="false" ht="15" hidden="false" customHeight="false" outlineLevel="0" collapsed="false">
      <c r="A290" s="131" t="str">
        <f aca="false">IF('Matt Motyka'!$B10="","",'Matt Motyka'!$A10)</f>
        <v/>
      </c>
      <c r="B290" s="131" t="str">
        <f aca="false">IF('Matt Motyka'!$B10="","",'Matt Motyka'!$B10)</f>
        <v/>
      </c>
      <c r="C290" s="132" t="str">
        <f aca="false">IF('Matt Motyka'!$B10="","",'Matt Motyka'!$C10)</f>
        <v/>
      </c>
      <c r="D290" s="132" t="str">
        <f aca="false">IF('Matt Motyka'!$B10="","",'Matt Motyka'!$D10)</f>
        <v/>
      </c>
      <c r="E290" s="132" t="str">
        <f aca="false">IF('Matt Motyka'!$B10="","",'Matt Motyka'!$E10)</f>
        <v/>
      </c>
      <c r="F290" s="132" t="str">
        <f aca="false">IF('Matt Motyka'!$B10="","",'Matt Motyka'!$F10)</f>
        <v/>
      </c>
      <c r="G290" s="132" t="str">
        <f aca="false">IF('Matt Motyka'!$B10="","",'Matt Motyka'!$G10)</f>
        <v/>
      </c>
      <c r="H290" s="131" t="str">
        <f aca="false">IF('Matt Motyka'!$B10="","",'Matt Motyka'!$H10)</f>
        <v/>
      </c>
      <c r="I290" s="131" t="str">
        <f aca="false">IF('Matt Motyka'!$B10="","",'Matt Motyka'!$I10)</f>
        <v/>
      </c>
      <c r="J290" s="133" t="str">
        <f aca="false">IF('Matt Motyka'!$B10="","",'Matt Motyka'!$J10)</f>
        <v/>
      </c>
      <c r="K290" s="134" t="str">
        <f aca="false">IF('Matt Motyka'!$B10="","",'Matt Motyka'!$K10)</f>
        <v/>
      </c>
      <c r="L290" s="134" t="str">
        <f aca="false">IF('Matt Motyka'!$B10="","",'Matt Motyka'!$L10)</f>
        <v/>
      </c>
      <c r="M290" s="132" t="str">
        <f aca="false">IF('Matt Motyka'!$B10="","",'Matt Motyka'!$M10)</f>
        <v/>
      </c>
      <c r="N290" s="132" t="str">
        <f aca="false">IF('Matt Motyka'!$B10="","",'Matt Motyka'!$N10)</f>
        <v/>
      </c>
      <c r="O290" s="134" t="str">
        <f aca="false">IF('Matt Motyka'!$B10="","",'Matt Motyka'!$O10)</f>
        <v/>
      </c>
      <c r="P290" s="132" t="str">
        <f aca="false">IF('Matt Motyka'!$B10="","",'Matt Motyka'!$P10)</f>
        <v/>
      </c>
      <c r="Q290" s="131" t="str">
        <f aca="false">IF('Matt Motyka'!$B10="","","Matt Motyka")</f>
        <v/>
      </c>
      <c r="R290" s="131" t="n">
        <f aca="true">IF(OR($B290="",$I290="Complete",$L290=""),0,IF($L290&lt;TODAY(),1,0))</f>
        <v>0</v>
      </c>
      <c r="S290" s="131" t="n">
        <f aca="true">IF(OR($B290="",$I290="Complete",$L290=""),0,IF(AND($L290&gt;=TODAY(),$L290&lt;=TODAY()+7),1,0))</f>
        <v>0</v>
      </c>
      <c r="T290" s="131" t="str">
        <f aca="true">IF(OR($B290="",$L290=""),"",$L290-TODAY())</f>
        <v/>
      </c>
      <c r="U290" s="135" t="str">
        <f aca="false">IF($B290="","",IF($I290="Complete",1,IF($J290="",0,$J290)))</f>
        <v/>
      </c>
      <c r="V290" s="131" t="n">
        <f aca="false">IF($B290="",0,IF($N290="",0,1))</f>
        <v>0</v>
      </c>
      <c r="W290" s="131" t="n">
        <f aca="false">IF($B290="",0,1)</f>
        <v>0</v>
      </c>
    </row>
    <row r="291" customFormat="false" ht="15" hidden="false" customHeight="false" outlineLevel="0" collapsed="false">
      <c r="A291" s="131" t="str">
        <f aca="false">IF('Matt Motyka'!$B11="","",'Matt Motyka'!$A11)</f>
        <v/>
      </c>
      <c r="B291" s="131" t="str">
        <f aca="false">IF('Matt Motyka'!$B11="","",'Matt Motyka'!$B11)</f>
        <v/>
      </c>
      <c r="C291" s="132" t="str">
        <f aca="false">IF('Matt Motyka'!$B11="","",'Matt Motyka'!$C11)</f>
        <v/>
      </c>
      <c r="D291" s="132" t="str">
        <f aca="false">IF('Matt Motyka'!$B11="","",'Matt Motyka'!$D11)</f>
        <v/>
      </c>
      <c r="E291" s="132" t="str">
        <f aca="false">IF('Matt Motyka'!$B11="","",'Matt Motyka'!$E11)</f>
        <v/>
      </c>
      <c r="F291" s="132" t="str">
        <f aca="false">IF('Matt Motyka'!$B11="","",'Matt Motyka'!$F11)</f>
        <v/>
      </c>
      <c r="G291" s="132" t="str">
        <f aca="false">IF('Matt Motyka'!$B11="","",'Matt Motyka'!$G11)</f>
        <v/>
      </c>
      <c r="H291" s="131" t="str">
        <f aca="false">IF('Matt Motyka'!$B11="","",'Matt Motyka'!$H11)</f>
        <v/>
      </c>
      <c r="I291" s="131" t="str">
        <f aca="false">IF('Matt Motyka'!$B11="","",'Matt Motyka'!$I11)</f>
        <v/>
      </c>
      <c r="J291" s="133" t="str">
        <f aca="false">IF('Matt Motyka'!$B11="","",'Matt Motyka'!$J11)</f>
        <v/>
      </c>
      <c r="K291" s="134" t="str">
        <f aca="false">IF('Matt Motyka'!$B11="","",'Matt Motyka'!$K11)</f>
        <v/>
      </c>
      <c r="L291" s="134" t="str">
        <f aca="false">IF('Matt Motyka'!$B11="","",'Matt Motyka'!$L11)</f>
        <v/>
      </c>
      <c r="M291" s="132" t="str">
        <f aca="false">IF('Matt Motyka'!$B11="","",'Matt Motyka'!$M11)</f>
        <v/>
      </c>
      <c r="N291" s="132" t="str">
        <f aca="false">IF('Matt Motyka'!$B11="","",'Matt Motyka'!$N11)</f>
        <v/>
      </c>
      <c r="O291" s="134" t="str">
        <f aca="false">IF('Matt Motyka'!$B11="","",'Matt Motyka'!$O11)</f>
        <v/>
      </c>
      <c r="P291" s="132" t="str">
        <f aca="false">IF('Matt Motyka'!$B11="","",'Matt Motyka'!$P11)</f>
        <v/>
      </c>
      <c r="Q291" s="131" t="str">
        <f aca="false">IF('Matt Motyka'!$B11="","","Matt Motyka")</f>
        <v/>
      </c>
      <c r="R291" s="131" t="n">
        <f aca="true">IF(OR($B291="",$I291="Complete",$L291=""),0,IF($L291&lt;TODAY(),1,0))</f>
        <v>0</v>
      </c>
      <c r="S291" s="131" t="n">
        <f aca="true">IF(OR($B291="",$I291="Complete",$L291=""),0,IF(AND($L291&gt;=TODAY(),$L291&lt;=TODAY()+7),1,0))</f>
        <v>0</v>
      </c>
      <c r="T291" s="131" t="str">
        <f aca="true">IF(OR($B291="",$L291=""),"",$L291-TODAY())</f>
        <v/>
      </c>
      <c r="U291" s="135" t="str">
        <f aca="false">IF($B291="","",IF($I291="Complete",1,IF($J291="",0,$J291)))</f>
        <v/>
      </c>
      <c r="V291" s="131" t="n">
        <f aca="false">IF($B291="",0,IF($N291="",0,1))</f>
        <v>0</v>
      </c>
      <c r="W291" s="131" t="n">
        <f aca="false">IF($B291="",0,1)</f>
        <v>0</v>
      </c>
    </row>
    <row r="292" customFormat="false" ht="15" hidden="false" customHeight="false" outlineLevel="0" collapsed="false">
      <c r="A292" s="131" t="str">
        <f aca="false">IF('Matt Motyka'!$B12="","",'Matt Motyka'!$A12)</f>
        <v/>
      </c>
      <c r="B292" s="131" t="str">
        <f aca="false">IF('Matt Motyka'!$B12="","",'Matt Motyka'!$B12)</f>
        <v/>
      </c>
      <c r="C292" s="132" t="str">
        <f aca="false">IF('Matt Motyka'!$B12="","",'Matt Motyka'!$C12)</f>
        <v/>
      </c>
      <c r="D292" s="132" t="str">
        <f aca="false">IF('Matt Motyka'!$B12="","",'Matt Motyka'!$D12)</f>
        <v/>
      </c>
      <c r="E292" s="132" t="str">
        <f aca="false">IF('Matt Motyka'!$B12="","",'Matt Motyka'!$E12)</f>
        <v/>
      </c>
      <c r="F292" s="132" t="str">
        <f aca="false">IF('Matt Motyka'!$B12="","",'Matt Motyka'!$F12)</f>
        <v/>
      </c>
      <c r="G292" s="132" t="str">
        <f aca="false">IF('Matt Motyka'!$B12="","",'Matt Motyka'!$G12)</f>
        <v/>
      </c>
      <c r="H292" s="131" t="str">
        <f aca="false">IF('Matt Motyka'!$B12="","",'Matt Motyka'!$H12)</f>
        <v/>
      </c>
      <c r="I292" s="131" t="str">
        <f aca="false">IF('Matt Motyka'!$B12="","",'Matt Motyka'!$I12)</f>
        <v/>
      </c>
      <c r="J292" s="133" t="str">
        <f aca="false">IF('Matt Motyka'!$B12="","",'Matt Motyka'!$J12)</f>
        <v/>
      </c>
      <c r="K292" s="134" t="str">
        <f aca="false">IF('Matt Motyka'!$B12="","",'Matt Motyka'!$K12)</f>
        <v/>
      </c>
      <c r="L292" s="134" t="str">
        <f aca="false">IF('Matt Motyka'!$B12="","",'Matt Motyka'!$L12)</f>
        <v/>
      </c>
      <c r="M292" s="132" t="str">
        <f aca="false">IF('Matt Motyka'!$B12="","",'Matt Motyka'!$M12)</f>
        <v/>
      </c>
      <c r="N292" s="132" t="str">
        <f aca="false">IF('Matt Motyka'!$B12="","",'Matt Motyka'!$N12)</f>
        <v/>
      </c>
      <c r="O292" s="134" t="str">
        <f aca="false">IF('Matt Motyka'!$B12="","",'Matt Motyka'!$O12)</f>
        <v/>
      </c>
      <c r="P292" s="132" t="str">
        <f aca="false">IF('Matt Motyka'!$B12="","",'Matt Motyka'!$P12)</f>
        <v/>
      </c>
      <c r="Q292" s="131" t="str">
        <f aca="false">IF('Matt Motyka'!$B12="","","Matt Motyka")</f>
        <v/>
      </c>
      <c r="R292" s="131" t="n">
        <f aca="true">IF(OR($B292="",$I292="Complete",$L292=""),0,IF($L292&lt;TODAY(),1,0))</f>
        <v>0</v>
      </c>
      <c r="S292" s="131" t="n">
        <f aca="true">IF(OR($B292="",$I292="Complete",$L292=""),0,IF(AND($L292&gt;=TODAY(),$L292&lt;=TODAY()+7),1,0))</f>
        <v>0</v>
      </c>
      <c r="T292" s="131" t="str">
        <f aca="true">IF(OR($B292="",$L292=""),"",$L292-TODAY())</f>
        <v/>
      </c>
      <c r="U292" s="135" t="str">
        <f aca="false">IF($B292="","",IF($I292="Complete",1,IF($J292="",0,$J292)))</f>
        <v/>
      </c>
      <c r="V292" s="131" t="n">
        <f aca="false">IF($B292="",0,IF($N292="",0,1))</f>
        <v>0</v>
      </c>
      <c r="W292" s="131" t="n">
        <f aca="false">IF($B292="",0,1)</f>
        <v>0</v>
      </c>
    </row>
    <row r="293" customFormat="false" ht="15" hidden="false" customHeight="false" outlineLevel="0" collapsed="false">
      <c r="A293" s="131" t="str">
        <f aca="false">IF('Matt Motyka'!$B13="","",'Matt Motyka'!$A13)</f>
        <v/>
      </c>
      <c r="B293" s="131" t="str">
        <f aca="false">IF('Matt Motyka'!$B13="","",'Matt Motyka'!$B13)</f>
        <v/>
      </c>
      <c r="C293" s="132" t="str">
        <f aca="false">IF('Matt Motyka'!$B13="","",'Matt Motyka'!$C13)</f>
        <v/>
      </c>
      <c r="D293" s="132" t="str">
        <f aca="false">IF('Matt Motyka'!$B13="","",'Matt Motyka'!$D13)</f>
        <v/>
      </c>
      <c r="E293" s="132" t="str">
        <f aca="false">IF('Matt Motyka'!$B13="","",'Matt Motyka'!$E13)</f>
        <v/>
      </c>
      <c r="F293" s="132" t="str">
        <f aca="false">IF('Matt Motyka'!$B13="","",'Matt Motyka'!$F13)</f>
        <v/>
      </c>
      <c r="G293" s="132" t="str">
        <f aca="false">IF('Matt Motyka'!$B13="","",'Matt Motyka'!$G13)</f>
        <v/>
      </c>
      <c r="H293" s="131" t="str">
        <f aca="false">IF('Matt Motyka'!$B13="","",'Matt Motyka'!$H13)</f>
        <v/>
      </c>
      <c r="I293" s="131" t="str">
        <f aca="false">IF('Matt Motyka'!$B13="","",'Matt Motyka'!$I13)</f>
        <v/>
      </c>
      <c r="J293" s="133" t="str">
        <f aca="false">IF('Matt Motyka'!$B13="","",'Matt Motyka'!$J13)</f>
        <v/>
      </c>
      <c r="K293" s="134" t="str">
        <f aca="false">IF('Matt Motyka'!$B13="","",'Matt Motyka'!$K13)</f>
        <v/>
      </c>
      <c r="L293" s="134" t="str">
        <f aca="false">IF('Matt Motyka'!$B13="","",'Matt Motyka'!$L13)</f>
        <v/>
      </c>
      <c r="M293" s="132" t="str">
        <f aca="false">IF('Matt Motyka'!$B13="","",'Matt Motyka'!$M13)</f>
        <v/>
      </c>
      <c r="N293" s="132" t="str">
        <f aca="false">IF('Matt Motyka'!$B13="","",'Matt Motyka'!$N13)</f>
        <v/>
      </c>
      <c r="O293" s="134" t="str">
        <f aca="false">IF('Matt Motyka'!$B13="","",'Matt Motyka'!$O13)</f>
        <v/>
      </c>
      <c r="P293" s="132" t="str">
        <f aca="false">IF('Matt Motyka'!$B13="","",'Matt Motyka'!$P13)</f>
        <v/>
      </c>
      <c r="Q293" s="131" t="str">
        <f aca="false">IF('Matt Motyka'!$B13="","","Matt Motyka")</f>
        <v/>
      </c>
      <c r="R293" s="131" t="n">
        <f aca="true">IF(OR($B293="",$I293="Complete",$L293=""),0,IF($L293&lt;TODAY(),1,0))</f>
        <v>0</v>
      </c>
      <c r="S293" s="131" t="n">
        <f aca="true">IF(OR($B293="",$I293="Complete",$L293=""),0,IF(AND($L293&gt;=TODAY(),$L293&lt;=TODAY()+7),1,0))</f>
        <v>0</v>
      </c>
      <c r="T293" s="131" t="str">
        <f aca="true">IF(OR($B293="",$L293=""),"",$L293-TODAY())</f>
        <v/>
      </c>
      <c r="U293" s="135" t="str">
        <f aca="false">IF($B293="","",IF($I293="Complete",1,IF($J293="",0,$J293)))</f>
        <v/>
      </c>
      <c r="V293" s="131" t="n">
        <f aca="false">IF($B293="",0,IF($N293="",0,1))</f>
        <v>0</v>
      </c>
      <c r="W293" s="131" t="n">
        <f aca="false">IF($B293="",0,1)</f>
        <v>0</v>
      </c>
    </row>
    <row r="294" customFormat="false" ht="15" hidden="false" customHeight="false" outlineLevel="0" collapsed="false">
      <c r="A294" s="131" t="str">
        <f aca="false">IF('Matt Motyka'!$B14="","",'Matt Motyka'!$A14)</f>
        <v/>
      </c>
      <c r="B294" s="131" t="str">
        <f aca="false">IF('Matt Motyka'!$B14="","",'Matt Motyka'!$B14)</f>
        <v/>
      </c>
      <c r="C294" s="132" t="str">
        <f aca="false">IF('Matt Motyka'!$B14="","",'Matt Motyka'!$C14)</f>
        <v/>
      </c>
      <c r="D294" s="132" t="str">
        <f aca="false">IF('Matt Motyka'!$B14="","",'Matt Motyka'!$D14)</f>
        <v/>
      </c>
      <c r="E294" s="132" t="str">
        <f aca="false">IF('Matt Motyka'!$B14="","",'Matt Motyka'!$E14)</f>
        <v/>
      </c>
      <c r="F294" s="132" t="str">
        <f aca="false">IF('Matt Motyka'!$B14="","",'Matt Motyka'!$F14)</f>
        <v/>
      </c>
      <c r="G294" s="132" t="str">
        <f aca="false">IF('Matt Motyka'!$B14="","",'Matt Motyka'!$G14)</f>
        <v/>
      </c>
      <c r="H294" s="131" t="str">
        <f aca="false">IF('Matt Motyka'!$B14="","",'Matt Motyka'!$H14)</f>
        <v/>
      </c>
      <c r="I294" s="131" t="str">
        <f aca="false">IF('Matt Motyka'!$B14="","",'Matt Motyka'!$I14)</f>
        <v/>
      </c>
      <c r="J294" s="133" t="str">
        <f aca="false">IF('Matt Motyka'!$B14="","",'Matt Motyka'!$J14)</f>
        <v/>
      </c>
      <c r="K294" s="134" t="str">
        <f aca="false">IF('Matt Motyka'!$B14="","",'Matt Motyka'!$K14)</f>
        <v/>
      </c>
      <c r="L294" s="134" t="str">
        <f aca="false">IF('Matt Motyka'!$B14="","",'Matt Motyka'!$L14)</f>
        <v/>
      </c>
      <c r="M294" s="132" t="str">
        <f aca="false">IF('Matt Motyka'!$B14="","",'Matt Motyka'!$M14)</f>
        <v/>
      </c>
      <c r="N294" s="132" t="str">
        <f aca="false">IF('Matt Motyka'!$B14="","",'Matt Motyka'!$N14)</f>
        <v/>
      </c>
      <c r="O294" s="134" t="str">
        <f aca="false">IF('Matt Motyka'!$B14="","",'Matt Motyka'!$O14)</f>
        <v/>
      </c>
      <c r="P294" s="132" t="str">
        <f aca="false">IF('Matt Motyka'!$B14="","",'Matt Motyka'!$P14)</f>
        <v/>
      </c>
      <c r="Q294" s="131" t="str">
        <f aca="false">IF('Matt Motyka'!$B14="","","Matt Motyka")</f>
        <v/>
      </c>
      <c r="R294" s="131" t="n">
        <f aca="true">IF(OR($B294="",$I294="Complete",$L294=""),0,IF($L294&lt;TODAY(),1,0))</f>
        <v>0</v>
      </c>
      <c r="S294" s="131" t="n">
        <f aca="true">IF(OR($B294="",$I294="Complete",$L294=""),0,IF(AND($L294&gt;=TODAY(),$L294&lt;=TODAY()+7),1,0))</f>
        <v>0</v>
      </c>
      <c r="T294" s="131" t="str">
        <f aca="true">IF(OR($B294="",$L294=""),"",$L294-TODAY())</f>
        <v/>
      </c>
      <c r="U294" s="135" t="str">
        <f aca="false">IF($B294="","",IF($I294="Complete",1,IF($J294="",0,$J294)))</f>
        <v/>
      </c>
      <c r="V294" s="131" t="n">
        <f aca="false">IF($B294="",0,IF($N294="",0,1))</f>
        <v>0</v>
      </c>
      <c r="W294" s="131" t="n">
        <f aca="false">IF($B294="",0,1)</f>
        <v>0</v>
      </c>
    </row>
    <row r="295" customFormat="false" ht="15" hidden="false" customHeight="false" outlineLevel="0" collapsed="false">
      <c r="A295" s="131" t="str">
        <f aca="false">IF('Matt Motyka'!$B15="","",'Matt Motyka'!$A15)</f>
        <v/>
      </c>
      <c r="B295" s="131" t="str">
        <f aca="false">IF('Matt Motyka'!$B15="","",'Matt Motyka'!$B15)</f>
        <v/>
      </c>
      <c r="C295" s="132" t="str">
        <f aca="false">IF('Matt Motyka'!$B15="","",'Matt Motyka'!$C15)</f>
        <v/>
      </c>
      <c r="D295" s="132" t="str">
        <f aca="false">IF('Matt Motyka'!$B15="","",'Matt Motyka'!$D15)</f>
        <v/>
      </c>
      <c r="E295" s="132" t="str">
        <f aca="false">IF('Matt Motyka'!$B15="","",'Matt Motyka'!$E15)</f>
        <v/>
      </c>
      <c r="F295" s="132" t="str">
        <f aca="false">IF('Matt Motyka'!$B15="","",'Matt Motyka'!$F15)</f>
        <v/>
      </c>
      <c r="G295" s="132" t="str">
        <f aca="false">IF('Matt Motyka'!$B15="","",'Matt Motyka'!$G15)</f>
        <v/>
      </c>
      <c r="H295" s="131" t="str">
        <f aca="false">IF('Matt Motyka'!$B15="","",'Matt Motyka'!$H15)</f>
        <v/>
      </c>
      <c r="I295" s="131" t="str">
        <f aca="false">IF('Matt Motyka'!$B15="","",'Matt Motyka'!$I15)</f>
        <v/>
      </c>
      <c r="J295" s="133" t="str">
        <f aca="false">IF('Matt Motyka'!$B15="","",'Matt Motyka'!$J15)</f>
        <v/>
      </c>
      <c r="K295" s="134" t="str">
        <f aca="false">IF('Matt Motyka'!$B15="","",'Matt Motyka'!$K15)</f>
        <v/>
      </c>
      <c r="L295" s="134" t="str">
        <f aca="false">IF('Matt Motyka'!$B15="","",'Matt Motyka'!$L15)</f>
        <v/>
      </c>
      <c r="M295" s="132" t="str">
        <f aca="false">IF('Matt Motyka'!$B15="","",'Matt Motyka'!$M15)</f>
        <v/>
      </c>
      <c r="N295" s="132" t="str">
        <f aca="false">IF('Matt Motyka'!$B15="","",'Matt Motyka'!$N15)</f>
        <v/>
      </c>
      <c r="O295" s="134" t="str">
        <f aca="false">IF('Matt Motyka'!$B15="","",'Matt Motyka'!$O15)</f>
        <v/>
      </c>
      <c r="P295" s="132" t="str">
        <f aca="false">IF('Matt Motyka'!$B15="","",'Matt Motyka'!$P15)</f>
        <v/>
      </c>
      <c r="Q295" s="131" t="str">
        <f aca="false">IF('Matt Motyka'!$B15="","","Matt Motyka")</f>
        <v/>
      </c>
      <c r="R295" s="131" t="n">
        <f aca="true">IF(OR($B295="",$I295="Complete",$L295=""),0,IF($L295&lt;TODAY(),1,0))</f>
        <v>0</v>
      </c>
      <c r="S295" s="131" t="n">
        <f aca="true">IF(OR($B295="",$I295="Complete",$L295=""),0,IF(AND($L295&gt;=TODAY(),$L295&lt;=TODAY()+7),1,0))</f>
        <v>0</v>
      </c>
      <c r="T295" s="131" t="str">
        <f aca="true">IF(OR($B295="",$L295=""),"",$L295-TODAY())</f>
        <v/>
      </c>
      <c r="U295" s="135" t="str">
        <f aca="false">IF($B295="","",IF($I295="Complete",1,IF($J295="",0,$J295)))</f>
        <v/>
      </c>
      <c r="V295" s="131" t="n">
        <f aca="false">IF($B295="",0,IF($N295="",0,1))</f>
        <v>0</v>
      </c>
      <c r="W295" s="131" t="n">
        <f aca="false">IF($B295="",0,1)</f>
        <v>0</v>
      </c>
    </row>
    <row r="296" customFormat="false" ht="15" hidden="false" customHeight="false" outlineLevel="0" collapsed="false">
      <c r="A296" s="131" t="str">
        <f aca="false">IF('Matt Motyka'!$B16="","",'Matt Motyka'!$A16)</f>
        <v/>
      </c>
      <c r="B296" s="131" t="str">
        <f aca="false">IF('Matt Motyka'!$B16="","",'Matt Motyka'!$B16)</f>
        <v/>
      </c>
      <c r="C296" s="132" t="str">
        <f aca="false">IF('Matt Motyka'!$B16="","",'Matt Motyka'!$C16)</f>
        <v/>
      </c>
      <c r="D296" s="132" t="str">
        <f aca="false">IF('Matt Motyka'!$B16="","",'Matt Motyka'!$D16)</f>
        <v/>
      </c>
      <c r="E296" s="132" t="str">
        <f aca="false">IF('Matt Motyka'!$B16="","",'Matt Motyka'!$E16)</f>
        <v/>
      </c>
      <c r="F296" s="132" t="str">
        <f aca="false">IF('Matt Motyka'!$B16="","",'Matt Motyka'!$F16)</f>
        <v/>
      </c>
      <c r="G296" s="132" t="str">
        <f aca="false">IF('Matt Motyka'!$B16="","",'Matt Motyka'!$G16)</f>
        <v/>
      </c>
      <c r="H296" s="131" t="str">
        <f aca="false">IF('Matt Motyka'!$B16="","",'Matt Motyka'!$H16)</f>
        <v/>
      </c>
      <c r="I296" s="131" t="str">
        <f aca="false">IF('Matt Motyka'!$B16="","",'Matt Motyka'!$I16)</f>
        <v/>
      </c>
      <c r="J296" s="133" t="str">
        <f aca="false">IF('Matt Motyka'!$B16="","",'Matt Motyka'!$J16)</f>
        <v/>
      </c>
      <c r="K296" s="134" t="str">
        <f aca="false">IF('Matt Motyka'!$B16="","",'Matt Motyka'!$K16)</f>
        <v/>
      </c>
      <c r="L296" s="134" t="str">
        <f aca="false">IF('Matt Motyka'!$B16="","",'Matt Motyka'!$L16)</f>
        <v/>
      </c>
      <c r="M296" s="132" t="str">
        <f aca="false">IF('Matt Motyka'!$B16="","",'Matt Motyka'!$M16)</f>
        <v/>
      </c>
      <c r="N296" s="132" t="str">
        <f aca="false">IF('Matt Motyka'!$B16="","",'Matt Motyka'!$N16)</f>
        <v/>
      </c>
      <c r="O296" s="134" t="str">
        <f aca="false">IF('Matt Motyka'!$B16="","",'Matt Motyka'!$O16)</f>
        <v/>
      </c>
      <c r="P296" s="132" t="str">
        <f aca="false">IF('Matt Motyka'!$B16="","",'Matt Motyka'!$P16)</f>
        <v/>
      </c>
      <c r="Q296" s="131" t="str">
        <f aca="false">IF('Matt Motyka'!$B16="","","Matt Motyka")</f>
        <v/>
      </c>
      <c r="R296" s="131" t="n">
        <f aca="true">IF(OR($B296="",$I296="Complete",$L296=""),0,IF($L296&lt;TODAY(),1,0))</f>
        <v>0</v>
      </c>
      <c r="S296" s="131" t="n">
        <f aca="true">IF(OR($B296="",$I296="Complete",$L296=""),0,IF(AND($L296&gt;=TODAY(),$L296&lt;=TODAY()+7),1,0))</f>
        <v>0</v>
      </c>
      <c r="T296" s="131" t="str">
        <f aca="true">IF(OR($B296="",$L296=""),"",$L296-TODAY())</f>
        <v/>
      </c>
      <c r="U296" s="135" t="str">
        <f aca="false">IF($B296="","",IF($I296="Complete",1,IF($J296="",0,$J296)))</f>
        <v/>
      </c>
      <c r="V296" s="131" t="n">
        <f aca="false">IF($B296="",0,IF($N296="",0,1))</f>
        <v>0</v>
      </c>
      <c r="W296" s="131" t="n">
        <f aca="false">IF($B296="",0,1)</f>
        <v>0</v>
      </c>
    </row>
    <row r="297" customFormat="false" ht="15" hidden="false" customHeight="false" outlineLevel="0" collapsed="false">
      <c r="A297" s="131" t="str">
        <f aca="false">IF('Matt Motyka'!$B17="","",'Matt Motyka'!$A17)</f>
        <v/>
      </c>
      <c r="B297" s="131" t="str">
        <f aca="false">IF('Matt Motyka'!$B17="","",'Matt Motyka'!$B17)</f>
        <v/>
      </c>
      <c r="C297" s="132" t="str">
        <f aca="false">IF('Matt Motyka'!$B17="","",'Matt Motyka'!$C17)</f>
        <v/>
      </c>
      <c r="D297" s="132" t="str">
        <f aca="false">IF('Matt Motyka'!$B17="","",'Matt Motyka'!$D17)</f>
        <v/>
      </c>
      <c r="E297" s="132" t="str">
        <f aca="false">IF('Matt Motyka'!$B17="","",'Matt Motyka'!$E17)</f>
        <v/>
      </c>
      <c r="F297" s="132" t="str">
        <f aca="false">IF('Matt Motyka'!$B17="","",'Matt Motyka'!$F17)</f>
        <v/>
      </c>
      <c r="G297" s="132" t="str">
        <f aca="false">IF('Matt Motyka'!$B17="","",'Matt Motyka'!$G17)</f>
        <v/>
      </c>
      <c r="H297" s="131" t="str">
        <f aca="false">IF('Matt Motyka'!$B17="","",'Matt Motyka'!$H17)</f>
        <v/>
      </c>
      <c r="I297" s="131" t="str">
        <f aca="false">IF('Matt Motyka'!$B17="","",'Matt Motyka'!$I17)</f>
        <v/>
      </c>
      <c r="J297" s="133" t="str">
        <f aca="false">IF('Matt Motyka'!$B17="","",'Matt Motyka'!$J17)</f>
        <v/>
      </c>
      <c r="K297" s="134" t="str">
        <f aca="false">IF('Matt Motyka'!$B17="","",'Matt Motyka'!$K17)</f>
        <v/>
      </c>
      <c r="L297" s="134" t="str">
        <f aca="false">IF('Matt Motyka'!$B17="","",'Matt Motyka'!$L17)</f>
        <v/>
      </c>
      <c r="M297" s="132" t="str">
        <f aca="false">IF('Matt Motyka'!$B17="","",'Matt Motyka'!$M17)</f>
        <v/>
      </c>
      <c r="N297" s="132" t="str">
        <f aca="false">IF('Matt Motyka'!$B17="","",'Matt Motyka'!$N17)</f>
        <v/>
      </c>
      <c r="O297" s="134" t="str">
        <f aca="false">IF('Matt Motyka'!$B17="","",'Matt Motyka'!$O17)</f>
        <v/>
      </c>
      <c r="P297" s="132" t="str">
        <f aca="false">IF('Matt Motyka'!$B17="","",'Matt Motyka'!$P17)</f>
        <v/>
      </c>
      <c r="Q297" s="131" t="str">
        <f aca="false">IF('Matt Motyka'!$B17="","","Matt Motyka")</f>
        <v/>
      </c>
      <c r="R297" s="131" t="n">
        <f aca="true">IF(OR($B297="",$I297="Complete",$L297=""),0,IF($L297&lt;TODAY(),1,0))</f>
        <v>0</v>
      </c>
      <c r="S297" s="131" t="n">
        <f aca="true">IF(OR($B297="",$I297="Complete",$L297=""),0,IF(AND($L297&gt;=TODAY(),$L297&lt;=TODAY()+7),1,0))</f>
        <v>0</v>
      </c>
      <c r="T297" s="131" t="str">
        <f aca="true">IF(OR($B297="",$L297=""),"",$L297-TODAY())</f>
        <v/>
      </c>
      <c r="U297" s="135" t="str">
        <f aca="false">IF($B297="","",IF($I297="Complete",1,IF($J297="",0,$J297)))</f>
        <v/>
      </c>
      <c r="V297" s="131" t="n">
        <f aca="false">IF($B297="",0,IF($N297="",0,1))</f>
        <v>0</v>
      </c>
      <c r="W297" s="131" t="n">
        <f aca="false">IF($B297="",0,1)</f>
        <v>0</v>
      </c>
    </row>
    <row r="298" customFormat="false" ht="15" hidden="false" customHeight="false" outlineLevel="0" collapsed="false">
      <c r="A298" s="131" t="str">
        <f aca="false">IF('Matt Motyka'!$B18="","",'Matt Motyka'!$A18)</f>
        <v/>
      </c>
      <c r="B298" s="131" t="str">
        <f aca="false">IF('Matt Motyka'!$B18="","",'Matt Motyka'!$B18)</f>
        <v/>
      </c>
      <c r="C298" s="132" t="str">
        <f aca="false">IF('Matt Motyka'!$B18="","",'Matt Motyka'!$C18)</f>
        <v/>
      </c>
      <c r="D298" s="132" t="str">
        <f aca="false">IF('Matt Motyka'!$B18="","",'Matt Motyka'!$D18)</f>
        <v/>
      </c>
      <c r="E298" s="132" t="str">
        <f aca="false">IF('Matt Motyka'!$B18="","",'Matt Motyka'!$E18)</f>
        <v/>
      </c>
      <c r="F298" s="132" t="str">
        <f aca="false">IF('Matt Motyka'!$B18="","",'Matt Motyka'!$F18)</f>
        <v/>
      </c>
      <c r="G298" s="132" t="str">
        <f aca="false">IF('Matt Motyka'!$B18="","",'Matt Motyka'!$G18)</f>
        <v/>
      </c>
      <c r="H298" s="131" t="str">
        <f aca="false">IF('Matt Motyka'!$B18="","",'Matt Motyka'!$H18)</f>
        <v/>
      </c>
      <c r="I298" s="131" t="str">
        <f aca="false">IF('Matt Motyka'!$B18="","",'Matt Motyka'!$I18)</f>
        <v/>
      </c>
      <c r="J298" s="133" t="str">
        <f aca="false">IF('Matt Motyka'!$B18="","",'Matt Motyka'!$J18)</f>
        <v/>
      </c>
      <c r="K298" s="134" t="str">
        <f aca="false">IF('Matt Motyka'!$B18="","",'Matt Motyka'!$K18)</f>
        <v/>
      </c>
      <c r="L298" s="134" t="str">
        <f aca="false">IF('Matt Motyka'!$B18="","",'Matt Motyka'!$L18)</f>
        <v/>
      </c>
      <c r="M298" s="132" t="str">
        <f aca="false">IF('Matt Motyka'!$B18="","",'Matt Motyka'!$M18)</f>
        <v/>
      </c>
      <c r="N298" s="132" t="str">
        <f aca="false">IF('Matt Motyka'!$B18="","",'Matt Motyka'!$N18)</f>
        <v/>
      </c>
      <c r="O298" s="134" t="str">
        <f aca="false">IF('Matt Motyka'!$B18="","",'Matt Motyka'!$O18)</f>
        <v/>
      </c>
      <c r="P298" s="132" t="str">
        <f aca="false">IF('Matt Motyka'!$B18="","",'Matt Motyka'!$P18)</f>
        <v/>
      </c>
      <c r="Q298" s="131" t="str">
        <f aca="false">IF('Matt Motyka'!$B18="","","Matt Motyka")</f>
        <v/>
      </c>
      <c r="R298" s="131" t="n">
        <f aca="true">IF(OR($B298="",$I298="Complete",$L298=""),0,IF($L298&lt;TODAY(),1,0))</f>
        <v>0</v>
      </c>
      <c r="S298" s="131" t="n">
        <f aca="true">IF(OR($B298="",$I298="Complete",$L298=""),0,IF(AND($L298&gt;=TODAY(),$L298&lt;=TODAY()+7),1,0))</f>
        <v>0</v>
      </c>
      <c r="T298" s="131" t="str">
        <f aca="true">IF(OR($B298="",$L298=""),"",$L298-TODAY())</f>
        <v/>
      </c>
      <c r="U298" s="135" t="str">
        <f aca="false">IF($B298="","",IF($I298="Complete",1,IF($J298="",0,$J298)))</f>
        <v/>
      </c>
      <c r="V298" s="131" t="n">
        <f aca="false">IF($B298="",0,IF($N298="",0,1))</f>
        <v>0</v>
      </c>
      <c r="W298" s="131" t="n">
        <f aca="false">IF($B298="",0,1)</f>
        <v>0</v>
      </c>
    </row>
    <row r="299" customFormat="false" ht="15" hidden="false" customHeight="false" outlineLevel="0" collapsed="false">
      <c r="A299" s="131" t="str">
        <f aca="false">IF('Matt Motyka'!$B19="","",'Matt Motyka'!$A19)</f>
        <v/>
      </c>
      <c r="B299" s="131" t="str">
        <f aca="false">IF('Matt Motyka'!$B19="","",'Matt Motyka'!$B19)</f>
        <v/>
      </c>
      <c r="C299" s="132" t="str">
        <f aca="false">IF('Matt Motyka'!$B19="","",'Matt Motyka'!$C19)</f>
        <v/>
      </c>
      <c r="D299" s="132" t="str">
        <f aca="false">IF('Matt Motyka'!$B19="","",'Matt Motyka'!$D19)</f>
        <v/>
      </c>
      <c r="E299" s="132" t="str">
        <f aca="false">IF('Matt Motyka'!$B19="","",'Matt Motyka'!$E19)</f>
        <v/>
      </c>
      <c r="F299" s="132" t="str">
        <f aca="false">IF('Matt Motyka'!$B19="","",'Matt Motyka'!$F19)</f>
        <v/>
      </c>
      <c r="G299" s="132" t="str">
        <f aca="false">IF('Matt Motyka'!$B19="","",'Matt Motyka'!$G19)</f>
        <v/>
      </c>
      <c r="H299" s="131" t="str">
        <f aca="false">IF('Matt Motyka'!$B19="","",'Matt Motyka'!$H19)</f>
        <v/>
      </c>
      <c r="I299" s="131" t="str">
        <f aca="false">IF('Matt Motyka'!$B19="","",'Matt Motyka'!$I19)</f>
        <v/>
      </c>
      <c r="J299" s="133" t="str">
        <f aca="false">IF('Matt Motyka'!$B19="","",'Matt Motyka'!$J19)</f>
        <v/>
      </c>
      <c r="K299" s="134" t="str">
        <f aca="false">IF('Matt Motyka'!$B19="","",'Matt Motyka'!$K19)</f>
        <v/>
      </c>
      <c r="L299" s="134" t="str">
        <f aca="false">IF('Matt Motyka'!$B19="","",'Matt Motyka'!$L19)</f>
        <v/>
      </c>
      <c r="M299" s="132" t="str">
        <f aca="false">IF('Matt Motyka'!$B19="","",'Matt Motyka'!$M19)</f>
        <v/>
      </c>
      <c r="N299" s="132" t="str">
        <f aca="false">IF('Matt Motyka'!$B19="","",'Matt Motyka'!$N19)</f>
        <v/>
      </c>
      <c r="O299" s="134" t="str">
        <f aca="false">IF('Matt Motyka'!$B19="","",'Matt Motyka'!$O19)</f>
        <v/>
      </c>
      <c r="P299" s="132" t="str">
        <f aca="false">IF('Matt Motyka'!$B19="","",'Matt Motyka'!$P19)</f>
        <v/>
      </c>
      <c r="Q299" s="131" t="str">
        <f aca="false">IF('Matt Motyka'!$B19="","","Matt Motyka")</f>
        <v/>
      </c>
      <c r="R299" s="131" t="n">
        <f aca="true">IF(OR($B299="",$I299="Complete",$L299=""),0,IF($L299&lt;TODAY(),1,0))</f>
        <v>0</v>
      </c>
      <c r="S299" s="131" t="n">
        <f aca="true">IF(OR($B299="",$I299="Complete",$L299=""),0,IF(AND($L299&gt;=TODAY(),$L299&lt;=TODAY()+7),1,0))</f>
        <v>0</v>
      </c>
      <c r="T299" s="131" t="str">
        <f aca="true">IF(OR($B299="",$L299=""),"",$L299-TODAY())</f>
        <v/>
      </c>
      <c r="U299" s="135" t="str">
        <f aca="false">IF($B299="","",IF($I299="Complete",1,IF($J299="",0,$J299)))</f>
        <v/>
      </c>
      <c r="V299" s="131" t="n">
        <f aca="false">IF($B299="",0,IF($N299="",0,1))</f>
        <v>0</v>
      </c>
      <c r="W299" s="131" t="n">
        <f aca="false">IF($B299="",0,1)</f>
        <v>0</v>
      </c>
    </row>
    <row r="300" customFormat="false" ht="15" hidden="false" customHeight="false" outlineLevel="0" collapsed="false">
      <c r="A300" s="131" t="str">
        <f aca="false">IF('Matt Motyka'!$B20="","",'Matt Motyka'!$A20)</f>
        <v/>
      </c>
      <c r="B300" s="131" t="str">
        <f aca="false">IF('Matt Motyka'!$B20="","",'Matt Motyka'!$B20)</f>
        <v/>
      </c>
      <c r="C300" s="132" t="str">
        <f aca="false">IF('Matt Motyka'!$B20="","",'Matt Motyka'!$C20)</f>
        <v/>
      </c>
      <c r="D300" s="132" t="str">
        <f aca="false">IF('Matt Motyka'!$B20="","",'Matt Motyka'!$D20)</f>
        <v/>
      </c>
      <c r="E300" s="132" t="str">
        <f aca="false">IF('Matt Motyka'!$B20="","",'Matt Motyka'!$E20)</f>
        <v/>
      </c>
      <c r="F300" s="132" t="str">
        <f aca="false">IF('Matt Motyka'!$B20="","",'Matt Motyka'!$F20)</f>
        <v/>
      </c>
      <c r="G300" s="132" t="str">
        <f aca="false">IF('Matt Motyka'!$B20="","",'Matt Motyka'!$G20)</f>
        <v/>
      </c>
      <c r="H300" s="131" t="str">
        <f aca="false">IF('Matt Motyka'!$B20="","",'Matt Motyka'!$H20)</f>
        <v/>
      </c>
      <c r="I300" s="131" t="str">
        <f aca="false">IF('Matt Motyka'!$B20="","",'Matt Motyka'!$I20)</f>
        <v/>
      </c>
      <c r="J300" s="133" t="str">
        <f aca="false">IF('Matt Motyka'!$B20="","",'Matt Motyka'!$J20)</f>
        <v/>
      </c>
      <c r="K300" s="134" t="str">
        <f aca="false">IF('Matt Motyka'!$B20="","",'Matt Motyka'!$K20)</f>
        <v/>
      </c>
      <c r="L300" s="134" t="str">
        <f aca="false">IF('Matt Motyka'!$B20="","",'Matt Motyka'!$L20)</f>
        <v/>
      </c>
      <c r="M300" s="132" t="str">
        <f aca="false">IF('Matt Motyka'!$B20="","",'Matt Motyka'!$M20)</f>
        <v/>
      </c>
      <c r="N300" s="132" t="str">
        <f aca="false">IF('Matt Motyka'!$B20="","",'Matt Motyka'!$N20)</f>
        <v/>
      </c>
      <c r="O300" s="134" t="str">
        <f aca="false">IF('Matt Motyka'!$B20="","",'Matt Motyka'!$O20)</f>
        <v/>
      </c>
      <c r="P300" s="132" t="str">
        <f aca="false">IF('Matt Motyka'!$B20="","",'Matt Motyka'!$P20)</f>
        <v/>
      </c>
      <c r="Q300" s="131" t="str">
        <f aca="false">IF('Matt Motyka'!$B20="","","Matt Motyka")</f>
        <v/>
      </c>
      <c r="R300" s="131" t="n">
        <f aca="true">IF(OR($B300="",$I300="Complete",$L300=""),0,IF($L300&lt;TODAY(),1,0))</f>
        <v>0</v>
      </c>
      <c r="S300" s="131" t="n">
        <f aca="true">IF(OR($B300="",$I300="Complete",$L300=""),0,IF(AND($L300&gt;=TODAY(),$L300&lt;=TODAY()+7),1,0))</f>
        <v>0</v>
      </c>
      <c r="T300" s="131" t="str">
        <f aca="true">IF(OR($B300="",$L300=""),"",$L300-TODAY())</f>
        <v/>
      </c>
      <c r="U300" s="135" t="str">
        <f aca="false">IF($B300="","",IF($I300="Complete",1,IF($J300="",0,$J300)))</f>
        <v/>
      </c>
      <c r="V300" s="131" t="n">
        <f aca="false">IF($B300="",0,IF($N300="",0,1))</f>
        <v>0</v>
      </c>
      <c r="W300" s="131" t="n">
        <f aca="false">IF($B300="",0,1)</f>
        <v>0</v>
      </c>
    </row>
    <row r="301" customFormat="false" ht="15" hidden="false" customHeight="false" outlineLevel="0" collapsed="false">
      <c r="A301" s="131" t="str">
        <f aca="false">IF('Matt Motyka'!$B21="","",'Matt Motyka'!$A21)</f>
        <v/>
      </c>
      <c r="B301" s="131" t="str">
        <f aca="false">IF('Matt Motyka'!$B21="","",'Matt Motyka'!$B21)</f>
        <v/>
      </c>
      <c r="C301" s="132" t="str">
        <f aca="false">IF('Matt Motyka'!$B21="","",'Matt Motyka'!$C21)</f>
        <v/>
      </c>
      <c r="D301" s="132" t="str">
        <f aca="false">IF('Matt Motyka'!$B21="","",'Matt Motyka'!$D21)</f>
        <v/>
      </c>
      <c r="E301" s="132" t="str">
        <f aca="false">IF('Matt Motyka'!$B21="","",'Matt Motyka'!$E21)</f>
        <v/>
      </c>
      <c r="F301" s="132" t="str">
        <f aca="false">IF('Matt Motyka'!$B21="","",'Matt Motyka'!$F21)</f>
        <v/>
      </c>
      <c r="G301" s="132" t="str">
        <f aca="false">IF('Matt Motyka'!$B21="","",'Matt Motyka'!$G21)</f>
        <v/>
      </c>
      <c r="H301" s="131" t="str">
        <f aca="false">IF('Matt Motyka'!$B21="","",'Matt Motyka'!$H21)</f>
        <v/>
      </c>
      <c r="I301" s="131" t="str">
        <f aca="false">IF('Matt Motyka'!$B21="","",'Matt Motyka'!$I21)</f>
        <v/>
      </c>
      <c r="J301" s="133" t="str">
        <f aca="false">IF('Matt Motyka'!$B21="","",'Matt Motyka'!$J21)</f>
        <v/>
      </c>
      <c r="K301" s="134" t="str">
        <f aca="false">IF('Matt Motyka'!$B21="","",'Matt Motyka'!$K21)</f>
        <v/>
      </c>
      <c r="L301" s="134" t="str">
        <f aca="false">IF('Matt Motyka'!$B21="","",'Matt Motyka'!$L21)</f>
        <v/>
      </c>
      <c r="M301" s="132" t="str">
        <f aca="false">IF('Matt Motyka'!$B21="","",'Matt Motyka'!$M21)</f>
        <v/>
      </c>
      <c r="N301" s="132" t="str">
        <f aca="false">IF('Matt Motyka'!$B21="","",'Matt Motyka'!$N21)</f>
        <v/>
      </c>
      <c r="O301" s="134" t="str">
        <f aca="false">IF('Matt Motyka'!$B21="","",'Matt Motyka'!$O21)</f>
        <v/>
      </c>
      <c r="P301" s="132" t="str">
        <f aca="false">IF('Matt Motyka'!$B21="","",'Matt Motyka'!$P21)</f>
        <v/>
      </c>
      <c r="Q301" s="131" t="str">
        <f aca="false">IF('Matt Motyka'!$B21="","","Matt Motyka")</f>
        <v/>
      </c>
      <c r="R301" s="131" t="n">
        <f aca="true">IF(OR($B301="",$I301="Complete",$L301=""),0,IF($L301&lt;TODAY(),1,0))</f>
        <v>0</v>
      </c>
      <c r="S301" s="131" t="n">
        <f aca="true">IF(OR($B301="",$I301="Complete",$L301=""),0,IF(AND($L301&gt;=TODAY(),$L301&lt;=TODAY()+7),1,0))</f>
        <v>0</v>
      </c>
      <c r="T301" s="131" t="str">
        <f aca="true">IF(OR($B301="",$L301=""),"",$L301-TODAY())</f>
        <v/>
      </c>
      <c r="U301" s="135" t="str">
        <f aca="false">IF($B301="","",IF($I301="Complete",1,IF($J301="",0,$J301)))</f>
        <v/>
      </c>
      <c r="V301" s="131" t="n">
        <f aca="false">IF($B301="",0,IF($N301="",0,1))</f>
        <v>0</v>
      </c>
      <c r="W301" s="131" t="n">
        <f aca="false">IF($B301="",0,1)</f>
        <v>0</v>
      </c>
    </row>
    <row r="302" customFormat="false" ht="15" hidden="false" customHeight="false" outlineLevel="0" collapsed="false">
      <c r="A302" s="131" t="str">
        <f aca="false">IF('Matt Motyka'!$B22="","",'Matt Motyka'!$A22)</f>
        <v/>
      </c>
      <c r="B302" s="131" t="str">
        <f aca="false">IF('Matt Motyka'!$B22="","",'Matt Motyka'!$B22)</f>
        <v/>
      </c>
      <c r="C302" s="132" t="str">
        <f aca="false">IF('Matt Motyka'!$B22="","",'Matt Motyka'!$C22)</f>
        <v/>
      </c>
      <c r="D302" s="132" t="str">
        <f aca="false">IF('Matt Motyka'!$B22="","",'Matt Motyka'!$D22)</f>
        <v/>
      </c>
      <c r="E302" s="132" t="str">
        <f aca="false">IF('Matt Motyka'!$B22="","",'Matt Motyka'!$E22)</f>
        <v/>
      </c>
      <c r="F302" s="132" t="str">
        <f aca="false">IF('Matt Motyka'!$B22="","",'Matt Motyka'!$F22)</f>
        <v/>
      </c>
      <c r="G302" s="132" t="str">
        <f aca="false">IF('Matt Motyka'!$B22="","",'Matt Motyka'!$G22)</f>
        <v/>
      </c>
      <c r="H302" s="131" t="str">
        <f aca="false">IF('Matt Motyka'!$B22="","",'Matt Motyka'!$H22)</f>
        <v/>
      </c>
      <c r="I302" s="131" t="str">
        <f aca="false">IF('Matt Motyka'!$B22="","",'Matt Motyka'!$I22)</f>
        <v/>
      </c>
      <c r="J302" s="133" t="str">
        <f aca="false">IF('Matt Motyka'!$B22="","",'Matt Motyka'!$J22)</f>
        <v/>
      </c>
      <c r="K302" s="134" t="str">
        <f aca="false">IF('Matt Motyka'!$B22="","",'Matt Motyka'!$K22)</f>
        <v/>
      </c>
      <c r="L302" s="134" t="str">
        <f aca="false">IF('Matt Motyka'!$B22="","",'Matt Motyka'!$L22)</f>
        <v/>
      </c>
      <c r="M302" s="132" t="str">
        <f aca="false">IF('Matt Motyka'!$B22="","",'Matt Motyka'!$M22)</f>
        <v/>
      </c>
      <c r="N302" s="132" t="str">
        <f aca="false">IF('Matt Motyka'!$B22="","",'Matt Motyka'!$N22)</f>
        <v/>
      </c>
      <c r="O302" s="134" t="str">
        <f aca="false">IF('Matt Motyka'!$B22="","",'Matt Motyka'!$O22)</f>
        <v/>
      </c>
      <c r="P302" s="132" t="str">
        <f aca="false">IF('Matt Motyka'!$B22="","",'Matt Motyka'!$P22)</f>
        <v/>
      </c>
      <c r="Q302" s="131" t="str">
        <f aca="false">IF('Matt Motyka'!$B22="","","Matt Motyka")</f>
        <v/>
      </c>
      <c r="R302" s="131" t="n">
        <f aca="true">IF(OR($B302="",$I302="Complete",$L302=""),0,IF($L302&lt;TODAY(),1,0))</f>
        <v>0</v>
      </c>
      <c r="S302" s="131" t="n">
        <f aca="true">IF(OR($B302="",$I302="Complete",$L302=""),0,IF(AND($L302&gt;=TODAY(),$L302&lt;=TODAY()+7),1,0))</f>
        <v>0</v>
      </c>
      <c r="T302" s="131" t="str">
        <f aca="true">IF(OR($B302="",$L302=""),"",$L302-TODAY())</f>
        <v/>
      </c>
      <c r="U302" s="135" t="str">
        <f aca="false">IF($B302="","",IF($I302="Complete",1,IF($J302="",0,$J302)))</f>
        <v/>
      </c>
      <c r="V302" s="131" t="n">
        <f aca="false">IF($B302="",0,IF($N302="",0,1))</f>
        <v>0</v>
      </c>
      <c r="W302" s="131" t="n">
        <f aca="false">IF($B302="",0,1)</f>
        <v>0</v>
      </c>
    </row>
    <row r="303" customFormat="false" ht="15" hidden="false" customHeight="false" outlineLevel="0" collapsed="false">
      <c r="A303" s="131" t="str">
        <f aca="false">IF('Matt Motyka'!$B23="","",'Matt Motyka'!$A23)</f>
        <v/>
      </c>
      <c r="B303" s="131" t="str">
        <f aca="false">IF('Matt Motyka'!$B23="","",'Matt Motyka'!$B23)</f>
        <v/>
      </c>
      <c r="C303" s="132" t="str">
        <f aca="false">IF('Matt Motyka'!$B23="","",'Matt Motyka'!$C23)</f>
        <v/>
      </c>
      <c r="D303" s="132" t="str">
        <f aca="false">IF('Matt Motyka'!$B23="","",'Matt Motyka'!$D23)</f>
        <v/>
      </c>
      <c r="E303" s="132" t="str">
        <f aca="false">IF('Matt Motyka'!$B23="","",'Matt Motyka'!$E23)</f>
        <v/>
      </c>
      <c r="F303" s="132" t="str">
        <f aca="false">IF('Matt Motyka'!$B23="","",'Matt Motyka'!$F23)</f>
        <v/>
      </c>
      <c r="G303" s="132" t="str">
        <f aca="false">IF('Matt Motyka'!$B23="","",'Matt Motyka'!$G23)</f>
        <v/>
      </c>
      <c r="H303" s="131" t="str">
        <f aca="false">IF('Matt Motyka'!$B23="","",'Matt Motyka'!$H23)</f>
        <v/>
      </c>
      <c r="I303" s="131" t="str">
        <f aca="false">IF('Matt Motyka'!$B23="","",'Matt Motyka'!$I23)</f>
        <v/>
      </c>
      <c r="J303" s="133" t="str">
        <f aca="false">IF('Matt Motyka'!$B23="","",'Matt Motyka'!$J23)</f>
        <v/>
      </c>
      <c r="K303" s="134" t="str">
        <f aca="false">IF('Matt Motyka'!$B23="","",'Matt Motyka'!$K23)</f>
        <v/>
      </c>
      <c r="L303" s="134" t="str">
        <f aca="false">IF('Matt Motyka'!$B23="","",'Matt Motyka'!$L23)</f>
        <v/>
      </c>
      <c r="M303" s="132" t="str">
        <f aca="false">IF('Matt Motyka'!$B23="","",'Matt Motyka'!$M23)</f>
        <v/>
      </c>
      <c r="N303" s="132" t="str">
        <f aca="false">IF('Matt Motyka'!$B23="","",'Matt Motyka'!$N23)</f>
        <v/>
      </c>
      <c r="O303" s="134" t="str">
        <f aca="false">IF('Matt Motyka'!$B23="","",'Matt Motyka'!$O23)</f>
        <v/>
      </c>
      <c r="P303" s="132" t="str">
        <f aca="false">IF('Matt Motyka'!$B23="","",'Matt Motyka'!$P23)</f>
        <v/>
      </c>
      <c r="Q303" s="131" t="str">
        <f aca="false">IF('Matt Motyka'!$B23="","","Matt Motyka")</f>
        <v/>
      </c>
      <c r="R303" s="131" t="n">
        <f aca="true">IF(OR($B303="",$I303="Complete",$L303=""),0,IF($L303&lt;TODAY(),1,0))</f>
        <v>0</v>
      </c>
      <c r="S303" s="131" t="n">
        <f aca="true">IF(OR($B303="",$I303="Complete",$L303=""),0,IF(AND($L303&gt;=TODAY(),$L303&lt;=TODAY()+7),1,0))</f>
        <v>0</v>
      </c>
      <c r="T303" s="131" t="str">
        <f aca="true">IF(OR($B303="",$L303=""),"",$L303-TODAY())</f>
        <v/>
      </c>
      <c r="U303" s="135" t="str">
        <f aca="false">IF($B303="","",IF($I303="Complete",1,IF($J303="",0,$J303)))</f>
        <v/>
      </c>
      <c r="V303" s="131" t="n">
        <f aca="false">IF($B303="",0,IF($N303="",0,1))</f>
        <v>0</v>
      </c>
      <c r="W303" s="131" t="n">
        <f aca="false">IF($B303="",0,1)</f>
        <v>0</v>
      </c>
    </row>
    <row r="304" customFormat="false" ht="15" hidden="false" customHeight="false" outlineLevel="0" collapsed="false">
      <c r="A304" s="131" t="str">
        <f aca="false">IF('Matt Motyka'!$B24="","",'Matt Motyka'!$A24)</f>
        <v/>
      </c>
      <c r="B304" s="131" t="str">
        <f aca="false">IF('Matt Motyka'!$B24="","",'Matt Motyka'!$B24)</f>
        <v/>
      </c>
      <c r="C304" s="132" t="str">
        <f aca="false">IF('Matt Motyka'!$B24="","",'Matt Motyka'!$C24)</f>
        <v/>
      </c>
      <c r="D304" s="132" t="str">
        <f aca="false">IF('Matt Motyka'!$B24="","",'Matt Motyka'!$D24)</f>
        <v/>
      </c>
      <c r="E304" s="132" t="str">
        <f aca="false">IF('Matt Motyka'!$B24="","",'Matt Motyka'!$E24)</f>
        <v/>
      </c>
      <c r="F304" s="132" t="str">
        <f aca="false">IF('Matt Motyka'!$B24="","",'Matt Motyka'!$F24)</f>
        <v/>
      </c>
      <c r="G304" s="132" t="str">
        <f aca="false">IF('Matt Motyka'!$B24="","",'Matt Motyka'!$G24)</f>
        <v/>
      </c>
      <c r="H304" s="131" t="str">
        <f aca="false">IF('Matt Motyka'!$B24="","",'Matt Motyka'!$H24)</f>
        <v/>
      </c>
      <c r="I304" s="131" t="str">
        <f aca="false">IF('Matt Motyka'!$B24="","",'Matt Motyka'!$I24)</f>
        <v/>
      </c>
      <c r="J304" s="133" t="str">
        <f aca="false">IF('Matt Motyka'!$B24="","",'Matt Motyka'!$J24)</f>
        <v/>
      </c>
      <c r="K304" s="134" t="str">
        <f aca="false">IF('Matt Motyka'!$B24="","",'Matt Motyka'!$K24)</f>
        <v/>
      </c>
      <c r="L304" s="134" t="str">
        <f aca="false">IF('Matt Motyka'!$B24="","",'Matt Motyka'!$L24)</f>
        <v/>
      </c>
      <c r="M304" s="132" t="str">
        <f aca="false">IF('Matt Motyka'!$B24="","",'Matt Motyka'!$M24)</f>
        <v/>
      </c>
      <c r="N304" s="132" t="str">
        <f aca="false">IF('Matt Motyka'!$B24="","",'Matt Motyka'!$N24)</f>
        <v/>
      </c>
      <c r="O304" s="134" t="str">
        <f aca="false">IF('Matt Motyka'!$B24="","",'Matt Motyka'!$O24)</f>
        <v/>
      </c>
      <c r="P304" s="132" t="str">
        <f aca="false">IF('Matt Motyka'!$B24="","",'Matt Motyka'!$P24)</f>
        <v/>
      </c>
      <c r="Q304" s="131" t="str">
        <f aca="false">IF('Matt Motyka'!$B24="","","Matt Motyka")</f>
        <v/>
      </c>
      <c r="R304" s="131" t="n">
        <f aca="true">IF(OR($B304="",$I304="Complete",$L304=""),0,IF($L304&lt;TODAY(),1,0))</f>
        <v>0</v>
      </c>
      <c r="S304" s="131" t="n">
        <f aca="true">IF(OR($B304="",$I304="Complete",$L304=""),0,IF(AND($L304&gt;=TODAY(),$L304&lt;=TODAY()+7),1,0))</f>
        <v>0</v>
      </c>
      <c r="T304" s="131" t="str">
        <f aca="true">IF(OR($B304="",$L304=""),"",$L304-TODAY())</f>
        <v/>
      </c>
      <c r="U304" s="135" t="str">
        <f aca="false">IF($B304="","",IF($I304="Complete",1,IF($J304="",0,$J304)))</f>
        <v/>
      </c>
      <c r="V304" s="131" t="n">
        <f aca="false">IF($B304="",0,IF($N304="",0,1))</f>
        <v>0</v>
      </c>
      <c r="W304" s="131" t="n">
        <f aca="false">IF($B304="",0,1)</f>
        <v>0</v>
      </c>
    </row>
    <row r="305" customFormat="false" ht="15" hidden="false" customHeight="false" outlineLevel="0" collapsed="false">
      <c r="A305" s="131" t="str">
        <f aca="false">IF('Matt Motyka'!$B25="","",'Matt Motyka'!$A25)</f>
        <v/>
      </c>
      <c r="B305" s="131" t="str">
        <f aca="false">IF('Matt Motyka'!$B25="","",'Matt Motyka'!$B25)</f>
        <v/>
      </c>
      <c r="C305" s="132" t="str">
        <f aca="false">IF('Matt Motyka'!$B25="","",'Matt Motyka'!$C25)</f>
        <v/>
      </c>
      <c r="D305" s="132" t="str">
        <f aca="false">IF('Matt Motyka'!$B25="","",'Matt Motyka'!$D25)</f>
        <v/>
      </c>
      <c r="E305" s="132" t="str">
        <f aca="false">IF('Matt Motyka'!$B25="","",'Matt Motyka'!$E25)</f>
        <v/>
      </c>
      <c r="F305" s="132" t="str">
        <f aca="false">IF('Matt Motyka'!$B25="","",'Matt Motyka'!$F25)</f>
        <v/>
      </c>
      <c r="G305" s="132" t="str">
        <f aca="false">IF('Matt Motyka'!$B25="","",'Matt Motyka'!$G25)</f>
        <v/>
      </c>
      <c r="H305" s="131" t="str">
        <f aca="false">IF('Matt Motyka'!$B25="","",'Matt Motyka'!$H25)</f>
        <v/>
      </c>
      <c r="I305" s="131" t="str">
        <f aca="false">IF('Matt Motyka'!$B25="","",'Matt Motyka'!$I25)</f>
        <v/>
      </c>
      <c r="J305" s="133" t="str">
        <f aca="false">IF('Matt Motyka'!$B25="","",'Matt Motyka'!$J25)</f>
        <v/>
      </c>
      <c r="K305" s="134" t="str">
        <f aca="false">IF('Matt Motyka'!$B25="","",'Matt Motyka'!$K25)</f>
        <v/>
      </c>
      <c r="L305" s="134" t="str">
        <f aca="false">IF('Matt Motyka'!$B25="","",'Matt Motyka'!$L25)</f>
        <v/>
      </c>
      <c r="M305" s="132" t="str">
        <f aca="false">IF('Matt Motyka'!$B25="","",'Matt Motyka'!$M25)</f>
        <v/>
      </c>
      <c r="N305" s="132" t="str">
        <f aca="false">IF('Matt Motyka'!$B25="","",'Matt Motyka'!$N25)</f>
        <v/>
      </c>
      <c r="O305" s="134" t="str">
        <f aca="false">IF('Matt Motyka'!$B25="","",'Matt Motyka'!$O25)</f>
        <v/>
      </c>
      <c r="P305" s="132" t="str">
        <f aca="false">IF('Matt Motyka'!$B25="","",'Matt Motyka'!$P25)</f>
        <v/>
      </c>
      <c r="Q305" s="131" t="str">
        <f aca="false">IF('Matt Motyka'!$B25="","","Matt Motyka")</f>
        <v/>
      </c>
      <c r="R305" s="131" t="n">
        <f aca="true">IF(OR($B305="",$I305="Complete",$L305=""),0,IF($L305&lt;TODAY(),1,0))</f>
        <v>0</v>
      </c>
      <c r="S305" s="131" t="n">
        <f aca="true">IF(OR($B305="",$I305="Complete",$L305=""),0,IF(AND($L305&gt;=TODAY(),$L305&lt;=TODAY()+7),1,0))</f>
        <v>0</v>
      </c>
      <c r="T305" s="131" t="str">
        <f aca="true">IF(OR($B305="",$L305=""),"",$L305-TODAY())</f>
        <v/>
      </c>
      <c r="U305" s="135" t="str">
        <f aca="false">IF($B305="","",IF($I305="Complete",1,IF($J305="",0,$J305)))</f>
        <v/>
      </c>
      <c r="V305" s="131" t="n">
        <f aca="false">IF($B305="",0,IF($N305="",0,1))</f>
        <v>0</v>
      </c>
      <c r="W305" s="131" t="n">
        <f aca="false">IF($B305="",0,1)</f>
        <v>0</v>
      </c>
    </row>
    <row r="306" customFormat="false" ht="15" hidden="false" customHeight="false" outlineLevel="0" collapsed="false">
      <c r="A306" s="131" t="str">
        <f aca="false">IF('Matt Motyka'!$B26="","",'Matt Motyka'!$A26)</f>
        <v/>
      </c>
      <c r="B306" s="131" t="str">
        <f aca="false">IF('Matt Motyka'!$B26="","",'Matt Motyka'!$B26)</f>
        <v/>
      </c>
      <c r="C306" s="132" t="str">
        <f aca="false">IF('Matt Motyka'!$B26="","",'Matt Motyka'!$C26)</f>
        <v/>
      </c>
      <c r="D306" s="132" t="str">
        <f aca="false">IF('Matt Motyka'!$B26="","",'Matt Motyka'!$D26)</f>
        <v/>
      </c>
      <c r="E306" s="132" t="str">
        <f aca="false">IF('Matt Motyka'!$B26="","",'Matt Motyka'!$E26)</f>
        <v/>
      </c>
      <c r="F306" s="132" t="str">
        <f aca="false">IF('Matt Motyka'!$B26="","",'Matt Motyka'!$F26)</f>
        <v/>
      </c>
      <c r="G306" s="132" t="str">
        <f aca="false">IF('Matt Motyka'!$B26="","",'Matt Motyka'!$G26)</f>
        <v/>
      </c>
      <c r="H306" s="131" t="str">
        <f aca="false">IF('Matt Motyka'!$B26="","",'Matt Motyka'!$H26)</f>
        <v/>
      </c>
      <c r="I306" s="131" t="str">
        <f aca="false">IF('Matt Motyka'!$B26="","",'Matt Motyka'!$I26)</f>
        <v/>
      </c>
      <c r="J306" s="133" t="str">
        <f aca="false">IF('Matt Motyka'!$B26="","",'Matt Motyka'!$J26)</f>
        <v/>
      </c>
      <c r="K306" s="134" t="str">
        <f aca="false">IF('Matt Motyka'!$B26="","",'Matt Motyka'!$K26)</f>
        <v/>
      </c>
      <c r="L306" s="134" t="str">
        <f aca="false">IF('Matt Motyka'!$B26="","",'Matt Motyka'!$L26)</f>
        <v/>
      </c>
      <c r="M306" s="132" t="str">
        <f aca="false">IF('Matt Motyka'!$B26="","",'Matt Motyka'!$M26)</f>
        <v/>
      </c>
      <c r="N306" s="132" t="str">
        <f aca="false">IF('Matt Motyka'!$B26="","",'Matt Motyka'!$N26)</f>
        <v/>
      </c>
      <c r="O306" s="134" t="str">
        <f aca="false">IF('Matt Motyka'!$B26="","",'Matt Motyka'!$O26)</f>
        <v/>
      </c>
      <c r="P306" s="132" t="str">
        <f aca="false">IF('Matt Motyka'!$B26="","",'Matt Motyka'!$P26)</f>
        <v/>
      </c>
      <c r="Q306" s="131" t="str">
        <f aca="false">IF('Matt Motyka'!$B26="","","Matt Motyka")</f>
        <v/>
      </c>
      <c r="R306" s="131" t="n">
        <f aca="true">IF(OR($B306="",$I306="Complete",$L306=""),0,IF($L306&lt;TODAY(),1,0))</f>
        <v>0</v>
      </c>
      <c r="S306" s="131" t="n">
        <f aca="true">IF(OR($B306="",$I306="Complete",$L306=""),0,IF(AND($L306&gt;=TODAY(),$L306&lt;=TODAY()+7),1,0))</f>
        <v>0</v>
      </c>
      <c r="T306" s="131" t="str">
        <f aca="true">IF(OR($B306="",$L306=""),"",$L306-TODAY())</f>
        <v/>
      </c>
      <c r="U306" s="135" t="str">
        <f aca="false">IF($B306="","",IF($I306="Complete",1,IF($J306="",0,$J306)))</f>
        <v/>
      </c>
      <c r="V306" s="131" t="n">
        <f aca="false">IF($B306="",0,IF($N306="",0,1))</f>
        <v>0</v>
      </c>
      <c r="W306" s="131" t="n">
        <f aca="false">IF($B306="",0,1)</f>
        <v>0</v>
      </c>
    </row>
    <row r="307" customFormat="false" ht="15" hidden="false" customHeight="false" outlineLevel="0" collapsed="false">
      <c r="A307" s="131" t="str">
        <f aca="false">IF('Matt Motyka'!$B27="","",'Matt Motyka'!$A27)</f>
        <v/>
      </c>
      <c r="B307" s="131" t="str">
        <f aca="false">IF('Matt Motyka'!$B27="","",'Matt Motyka'!$B27)</f>
        <v/>
      </c>
      <c r="C307" s="132" t="str">
        <f aca="false">IF('Matt Motyka'!$B27="","",'Matt Motyka'!$C27)</f>
        <v/>
      </c>
      <c r="D307" s="132" t="str">
        <f aca="false">IF('Matt Motyka'!$B27="","",'Matt Motyka'!$D27)</f>
        <v/>
      </c>
      <c r="E307" s="132" t="str">
        <f aca="false">IF('Matt Motyka'!$B27="","",'Matt Motyka'!$E27)</f>
        <v/>
      </c>
      <c r="F307" s="132" t="str">
        <f aca="false">IF('Matt Motyka'!$B27="","",'Matt Motyka'!$F27)</f>
        <v/>
      </c>
      <c r="G307" s="132" t="str">
        <f aca="false">IF('Matt Motyka'!$B27="","",'Matt Motyka'!$G27)</f>
        <v/>
      </c>
      <c r="H307" s="131" t="str">
        <f aca="false">IF('Matt Motyka'!$B27="","",'Matt Motyka'!$H27)</f>
        <v/>
      </c>
      <c r="I307" s="131" t="str">
        <f aca="false">IF('Matt Motyka'!$B27="","",'Matt Motyka'!$I27)</f>
        <v/>
      </c>
      <c r="J307" s="133" t="str">
        <f aca="false">IF('Matt Motyka'!$B27="","",'Matt Motyka'!$J27)</f>
        <v/>
      </c>
      <c r="K307" s="134" t="str">
        <f aca="false">IF('Matt Motyka'!$B27="","",'Matt Motyka'!$K27)</f>
        <v/>
      </c>
      <c r="L307" s="134" t="str">
        <f aca="false">IF('Matt Motyka'!$B27="","",'Matt Motyka'!$L27)</f>
        <v/>
      </c>
      <c r="M307" s="132" t="str">
        <f aca="false">IF('Matt Motyka'!$B27="","",'Matt Motyka'!$M27)</f>
        <v/>
      </c>
      <c r="N307" s="132" t="str">
        <f aca="false">IF('Matt Motyka'!$B27="","",'Matt Motyka'!$N27)</f>
        <v/>
      </c>
      <c r="O307" s="134" t="str">
        <f aca="false">IF('Matt Motyka'!$B27="","",'Matt Motyka'!$O27)</f>
        <v/>
      </c>
      <c r="P307" s="132" t="str">
        <f aca="false">IF('Matt Motyka'!$B27="","",'Matt Motyka'!$P27)</f>
        <v/>
      </c>
      <c r="Q307" s="131" t="str">
        <f aca="false">IF('Matt Motyka'!$B27="","","Matt Motyka")</f>
        <v/>
      </c>
      <c r="R307" s="131" t="n">
        <f aca="true">IF(OR($B307="",$I307="Complete",$L307=""),0,IF($L307&lt;TODAY(),1,0))</f>
        <v>0</v>
      </c>
      <c r="S307" s="131" t="n">
        <f aca="true">IF(OR($B307="",$I307="Complete",$L307=""),0,IF(AND($L307&gt;=TODAY(),$L307&lt;=TODAY()+7),1,0))</f>
        <v>0</v>
      </c>
      <c r="T307" s="131" t="str">
        <f aca="true">IF(OR($B307="",$L307=""),"",$L307-TODAY())</f>
        <v/>
      </c>
      <c r="U307" s="135" t="str">
        <f aca="false">IF($B307="","",IF($I307="Complete",1,IF($J307="",0,$J307)))</f>
        <v/>
      </c>
      <c r="V307" s="131" t="n">
        <f aca="false">IF($B307="",0,IF($N307="",0,1))</f>
        <v>0</v>
      </c>
      <c r="W307" s="131" t="n">
        <f aca="false">IF($B307="",0,1)</f>
        <v>0</v>
      </c>
    </row>
    <row r="308" customFormat="false" ht="15" hidden="false" customHeight="false" outlineLevel="0" collapsed="false">
      <c r="A308" s="131" t="str">
        <f aca="false">IF('Matt Motyka'!$B28="","",'Matt Motyka'!$A28)</f>
        <v/>
      </c>
      <c r="B308" s="131" t="str">
        <f aca="false">IF('Matt Motyka'!$B28="","",'Matt Motyka'!$B28)</f>
        <v/>
      </c>
      <c r="C308" s="132" t="str">
        <f aca="false">IF('Matt Motyka'!$B28="","",'Matt Motyka'!$C28)</f>
        <v/>
      </c>
      <c r="D308" s="132" t="str">
        <f aca="false">IF('Matt Motyka'!$B28="","",'Matt Motyka'!$D28)</f>
        <v/>
      </c>
      <c r="E308" s="132" t="str">
        <f aca="false">IF('Matt Motyka'!$B28="","",'Matt Motyka'!$E28)</f>
        <v/>
      </c>
      <c r="F308" s="132" t="str">
        <f aca="false">IF('Matt Motyka'!$B28="","",'Matt Motyka'!$F28)</f>
        <v/>
      </c>
      <c r="G308" s="132" t="str">
        <f aca="false">IF('Matt Motyka'!$B28="","",'Matt Motyka'!$G28)</f>
        <v/>
      </c>
      <c r="H308" s="131" t="str">
        <f aca="false">IF('Matt Motyka'!$B28="","",'Matt Motyka'!$H28)</f>
        <v/>
      </c>
      <c r="I308" s="131" t="str">
        <f aca="false">IF('Matt Motyka'!$B28="","",'Matt Motyka'!$I28)</f>
        <v/>
      </c>
      <c r="J308" s="133" t="str">
        <f aca="false">IF('Matt Motyka'!$B28="","",'Matt Motyka'!$J28)</f>
        <v/>
      </c>
      <c r="K308" s="134" t="str">
        <f aca="false">IF('Matt Motyka'!$B28="","",'Matt Motyka'!$K28)</f>
        <v/>
      </c>
      <c r="L308" s="134" t="str">
        <f aca="false">IF('Matt Motyka'!$B28="","",'Matt Motyka'!$L28)</f>
        <v/>
      </c>
      <c r="M308" s="132" t="str">
        <f aca="false">IF('Matt Motyka'!$B28="","",'Matt Motyka'!$M28)</f>
        <v/>
      </c>
      <c r="N308" s="132" t="str">
        <f aca="false">IF('Matt Motyka'!$B28="","",'Matt Motyka'!$N28)</f>
        <v/>
      </c>
      <c r="O308" s="134" t="str">
        <f aca="false">IF('Matt Motyka'!$B28="","",'Matt Motyka'!$O28)</f>
        <v/>
      </c>
      <c r="P308" s="132" t="str">
        <f aca="false">IF('Matt Motyka'!$B28="","",'Matt Motyka'!$P28)</f>
        <v/>
      </c>
      <c r="Q308" s="131" t="str">
        <f aca="false">IF('Matt Motyka'!$B28="","","Matt Motyka")</f>
        <v/>
      </c>
      <c r="R308" s="131" t="n">
        <f aca="true">IF(OR($B308="",$I308="Complete",$L308=""),0,IF($L308&lt;TODAY(),1,0))</f>
        <v>0</v>
      </c>
      <c r="S308" s="131" t="n">
        <f aca="true">IF(OR($B308="",$I308="Complete",$L308=""),0,IF(AND($L308&gt;=TODAY(),$L308&lt;=TODAY()+7),1,0))</f>
        <v>0</v>
      </c>
      <c r="T308" s="131" t="str">
        <f aca="true">IF(OR($B308="",$L308=""),"",$L308-TODAY())</f>
        <v/>
      </c>
      <c r="U308" s="135" t="str">
        <f aca="false">IF($B308="","",IF($I308="Complete",1,IF($J308="",0,$J308)))</f>
        <v/>
      </c>
      <c r="V308" s="131" t="n">
        <f aca="false">IF($B308="",0,IF($N308="",0,1))</f>
        <v>0</v>
      </c>
      <c r="W308" s="131" t="n">
        <f aca="false">IF($B308="",0,1)</f>
        <v>0</v>
      </c>
    </row>
    <row r="309" customFormat="false" ht="15" hidden="false" customHeight="false" outlineLevel="0" collapsed="false">
      <c r="A309" s="131" t="str">
        <f aca="false">IF('Matt Motyka'!$B29="","",'Matt Motyka'!$A29)</f>
        <v/>
      </c>
      <c r="B309" s="131" t="str">
        <f aca="false">IF('Matt Motyka'!$B29="","",'Matt Motyka'!$B29)</f>
        <v/>
      </c>
      <c r="C309" s="132" t="str">
        <f aca="false">IF('Matt Motyka'!$B29="","",'Matt Motyka'!$C29)</f>
        <v/>
      </c>
      <c r="D309" s="132" t="str">
        <f aca="false">IF('Matt Motyka'!$B29="","",'Matt Motyka'!$D29)</f>
        <v/>
      </c>
      <c r="E309" s="132" t="str">
        <f aca="false">IF('Matt Motyka'!$B29="","",'Matt Motyka'!$E29)</f>
        <v/>
      </c>
      <c r="F309" s="132" t="str">
        <f aca="false">IF('Matt Motyka'!$B29="","",'Matt Motyka'!$F29)</f>
        <v/>
      </c>
      <c r="G309" s="132" t="str">
        <f aca="false">IF('Matt Motyka'!$B29="","",'Matt Motyka'!$G29)</f>
        <v/>
      </c>
      <c r="H309" s="131" t="str">
        <f aca="false">IF('Matt Motyka'!$B29="","",'Matt Motyka'!$H29)</f>
        <v/>
      </c>
      <c r="I309" s="131" t="str">
        <f aca="false">IF('Matt Motyka'!$B29="","",'Matt Motyka'!$I29)</f>
        <v/>
      </c>
      <c r="J309" s="133" t="str">
        <f aca="false">IF('Matt Motyka'!$B29="","",'Matt Motyka'!$J29)</f>
        <v/>
      </c>
      <c r="K309" s="134" t="str">
        <f aca="false">IF('Matt Motyka'!$B29="","",'Matt Motyka'!$K29)</f>
        <v/>
      </c>
      <c r="L309" s="134" t="str">
        <f aca="false">IF('Matt Motyka'!$B29="","",'Matt Motyka'!$L29)</f>
        <v/>
      </c>
      <c r="M309" s="132" t="str">
        <f aca="false">IF('Matt Motyka'!$B29="","",'Matt Motyka'!$M29)</f>
        <v/>
      </c>
      <c r="N309" s="132" t="str">
        <f aca="false">IF('Matt Motyka'!$B29="","",'Matt Motyka'!$N29)</f>
        <v/>
      </c>
      <c r="O309" s="134" t="str">
        <f aca="false">IF('Matt Motyka'!$B29="","",'Matt Motyka'!$O29)</f>
        <v/>
      </c>
      <c r="P309" s="132" t="str">
        <f aca="false">IF('Matt Motyka'!$B29="","",'Matt Motyka'!$P29)</f>
        <v/>
      </c>
      <c r="Q309" s="131" t="str">
        <f aca="false">IF('Matt Motyka'!$B29="","","Matt Motyka")</f>
        <v/>
      </c>
      <c r="R309" s="131" t="n">
        <f aca="true">IF(OR($B309="",$I309="Complete",$L309=""),0,IF($L309&lt;TODAY(),1,0))</f>
        <v>0</v>
      </c>
      <c r="S309" s="131" t="n">
        <f aca="true">IF(OR($B309="",$I309="Complete",$L309=""),0,IF(AND($L309&gt;=TODAY(),$L309&lt;=TODAY()+7),1,0))</f>
        <v>0</v>
      </c>
      <c r="T309" s="131" t="str">
        <f aca="true">IF(OR($B309="",$L309=""),"",$L309-TODAY())</f>
        <v/>
      </c>
      <c r="U309" s="135" t="str">
        <f aca="false">IF($B309="","",IF($I309="Complete",1,IF($J309="",0,$J309)))</f>
        <v/>
      </c>
      <c r="V309" s="131" t="n">
        <f aca="false">IF($B309="",0,IF($N309="",0,1))</f>
        <v>0</v>
      </c>
      <c r="W309" s="131" t="n">
        <f aca="false">IF($B309="",0,1)</f>
        <v>0</v>
      </c>
    </row>
    <row r="310" customFormat="false" ht="15" hidden="false" customHeight="false" outlineLevel="0" collapsed="false">
      <c r="A310" s="131" t="str">
        <f aca="false">IF('Matt Motyka'!$B30="","",'Matt Motyka'!$A30)</f>
        <v/>
      </c>
      <c r="B310" s="131" t="str">
        <f aca="false">IF('Matt Motyka'!$B30="","",'Matt Motyka'!$B30)</f>
        <v/>
      </c>
      <c r="C310" s="132" t="str">
        <f aca="false">IF('Matt Motyka'!$B30="","",'Matt Motyka'!$C30)</f>
        <v/>
      </c>
      <c r="D310" s="132" t="str">
        <f aca="false">IF('Matt Motyka'!$B30="","",'Matt Motyka'!$D30)</f>
        <v/>
      </c>
      <c r="E310" s="132" t="str">
        <f aca="false">IF('Matt Motyka'!$B30="","",'Matt Motyka'!$E30)</f>
        <v/>
      </c>
      <c r="F310" s="132" t="str">
        <f aca="false">IF('Matt Motyka'!$B30="","",'Matt Motyka'!$F30)</f>
        <v/>
      </c>
      <c r="G310" s="132" t="str">
        <f aca="false">IF('Matt Motyka'!$B30="","",'Matt Motyka'!$G30)</f>
        <v/>
      </c>
      <c r="H310" s="131" t="str">
        <f aca="false">IF('Matt Motyka'!$B30="","",'Matt Motyka'!$H30)</f>
        <v/>
      </c>
      <c r="I310" s="131" t="str">
        <f aca="false">IF('Matt Motyka'!$B30="","",'Matt Motyka'!$I30)</f>
        <v/>
      </c>
      <c r="J310" s="133" t="str">
        <f aca="false">IF('Matt Motyka'!$B30="","",'Matt Motyka'!$J30)</f>
        <v/>
      </c>
      <c r="K310" s="134" t="str">
        <f aca="false">IF('Matt Motyka'!$B30="","",'Matt Motyka'!$K30)</f>
        <v/>
      </c>
      <c r="L310" s="134" t="str">
        <f aca="false">IF('Matt Motyka'!$B30="","",'Matt Motyka'!$L30)</f>
        <v/>
      </c>
      <c r="M310" s="132" t="str">
        <f aca="false">IF('Matt Motyka'!$B30="","",'Matt Motyka'!$M30)</f>
        <v/>
      </c>
      <c r="N310" s="132" t="str">
        <f aca="false">IF('Matt Motyka'!$B30="","",'Matt Motyka'!$N30)</f>
        <v/>
      </c>
      <c r="O310" s="134" t="str">
        <f aca="false">IF('Matt Motyka'!$B30="","",'Matt Motyka'!$O30)</f>
        <v/>
      </c>
      <c r="P310" s="132" t="str">
        <f aca="false">IF('Matt Motyka'!$B30="","",'Matt Motyka'!$P30)</f>
        <v/>
      </c>
      <c r="Q310" s="131" t="str">
        <f aca="false">IF('Matt Motyka'!$B30="","","Matt Motyka")</f>
        <v/>
      </c>
      <c r="R310" s="131" t="n">
        <f aca="true">IF(OR($B310="",$I310="Complete",$L310=""),0,IF($L310&lt;TODAY(),1,0))</f>
        <v>0</v>
      </c>
      <c r="S310" s="131" t="n">
        <f aca="true">IF(OR($B310="",$I310="Complete",$L310=""),0,IF(AND($L310&gt;=TODAY(),$L310&lt;=TODAY()+7),1,0))</f>
        <v>0</v>
      </c>
      <c r="T310" s="131" t="str">
        <f aca="true">IF(OR($B310="",$L310=""),"",$L310-TODAY())</f>
        <v/>
      </c>
      <c r="U310" s="135" t="str">
        <f aca="false">IF($B310="","",IF($I310="Complete",1,IF($J310="",0,$J310)))</f>
        <v/>
      </c>
      <c r="V310" s="131" t="n">
        <f aca="false">IF($B310="",0,IF($N310="",0,1))</f>
        <v>0</v>
      </c>
      <c r="W310" s="131" t="n">
        <f aca="false">IF($B310="",0,1)</f>
        <v>0</v>
      </c>
    </row>
    <row r="311" customFormat="false" ht="15" hidden="false" customHeight="false" outlineLevel="0" collapsed="false">
      <c r="A311" s="131" t="str">
        <f aca="false">IF('Matt Motyka'!$B31="","",'Matt Motyka'!$A31)</f>
        <v/>
      </c>
      <c r="B311" s="131" t="str">
        <f aca="false">IF('Matt Motyka'!$B31="","",'Matt Motyka'!$B31)</f>
        <v/>
      </c>
      <c r="C311" s="132" t="str">
        <f aca="false">IF('Matt Motyka'!$B31="","",'Matt Motyka'!$C31)</f>
        <v/>
      </c>
      <c r="D311" s="132" t="str">
        <f aca="false">IF('Matt Motyka'!$B31="","",'Matt Motyka'!$D31)</f>
        <v/>
      </c>
      <c r="E311" s="132" t="str">
        <f aca="false">IF('Matt Motyka'!$B31="","",'Matt Motyka'!$E31)</f>
        <v/>
      </c>
      <c r="F311" s="132" t="str">
        <f aca="false">IF('Matt Motyka'!$B31="","",'Matt Motyka'!$F31)</f>
        <v/>
      </c>
      <c r="G311" s="132" t="str">
        <f aca="false">IF('Matt Motyka'!$B31="","",'Matt Motyka'!$G31)</f>
        <v/>
      </c>
      <c r="H311" s="131" t="str">
        <f aca="false">IF('Matt Motyka'!$B31="","",'Matt Motyka'!$H31)</f>
        <v/>
      </c>
      <c r="I311" s="131" t="str">
        <f aca="false">IF('Matt Motyka'!$B31="","",'Matt Motyka'!$I31)</f>
        <v/>
      </c>
      <c r="J311" s="133" t="str">
        <f aca="false">IF('Matt Motyka'!$B31="","",'Matt Motyka'!$J31)</f>
        <v/>
      </c>
      <c r="K311" s="134" t="str">
        <f aca="false">IF('Matt Motyka'!$B31="","",'Matt Motyka'!$K31)</f>
        <v/>
      </c>
      <c r="L311" s="134" t="str">
        <f aca="false">IF('Matt Motyka'!$B31="","",'Matt Motyka'!$L31)</f>
        <v/>
      </c>
      <c r="M311" s="132" t="str">
        <f aca="false">IF('Matt Motyka'!$B31="","",'Matt Motyka'!$M31)</f>
        <v/>
      </c>
      <c r="N311" s="132" t="str">
        <f aca="false">IF('Matt Motyka'!$B31="","",'Matt Motyka'!$N31)</f>
        <v/>
      </c>
      <c r="O311" s="134" t="str">
        <f aca="false">IF('Matt Motyka'!$B31="","",'Matt Motyka'!$O31)</f>
        <v/>
      </c>
      <c r="P311" s="132" t="str">
        <f aca="false">IF('Matt Motyka'!$B31="","",'Matt Motyka'!$P31)</f>
        <v/>
      </c>
      <c r="Q311" s="131" t="str">
        <f aca="false">IF('Matt Motyka'!$B31="","","Matt Motyka")</f>
        <v/>
      </c>
      <c r="R311" s="131" t="n">
        <f aca="true">IF(OR($B311="",$I311="Complete",$L311=""),0,IF($L311&lt;TODAY(),1,0))</f>
        <v>0</v>
      </c>
      <c r="S311" s="131" t="n">
        <f aca="true">IF(OR($B311="",$I311="Complete",$L311=""),0,IF(AND($L311&gt;=TODAY(),$L311&lt;=TODAY()+7),1,0))</f>
        <v>0</v>
      </c>
      <c r="T311" s="131" t="str">
        <f aca="true">IF(OR($B311="",$L311=""),"",$L311-TODAY())</f>
        <v/>
      </c>
      <c r="U311" s="135" t="str">
        <f aca="false">IF($B311="","",IF($I311="Complete",1,IF($J311="",0,$J311)))</f>
        <v/>
      </c>
      <c r="V311" s="131" t="n">
        <f aca="false">IF($B311="",0,IF($N311="",0,1))</f>
        <v>0</v>
      </c>
      <c r="W311" s="131" t="n">
        <f aca="false">IF($B311="",0,1)</f>
        <v>0</v>
      </c>
    </row>
    <row r="312" customFormat="false" ht="15" hidden="false" customHeight="false" outlineLevel="0" collapsed="false">
      <c r="A312" s="131" t="str">
        <f aca="false">IF('Matt Motyka'!$B32="","",'Matt Motyka'!$A32)</f>
        <v/>
      </c>
      <c r="B312" s="131" t="str">
        <f aca="false">IF('Matt Motyka'!$B32="","",'Matt Motyka'!$B32)</f>
        <v/>
      </c>
      <c r="C312" s="132" t="str">
        <f aca="false">IF('Matt Motyka'!$B32="","",'Matt Motyka'!$C32)</f>
        <v/>
      </c>
      <c r="D312" s="132" t="str">
        <f aca="false">IF('Matt Motyka'!$B32="","",'Matt Motyka'!$D32)</f>
        <v/>
      </c>
      <c r="E312" s="132" t="str">
        <f aca="false">IF('Matt Motyka'!$B32="","",'Matt Motyka'!$E32)</f>
        <v/>
      </c>
      <c r="F312" s="132" t="str">
        <f aca="false">IF('Matt Motyka'!$B32="","",'Matt Motyka'!$F32)</f>
        <v/>
      </c>
      <c r="G312" s="132" t="str">
        <f aca="false">IF('Matt Motyka'!$B32="","",'Matt Motyka'!$G32)</f>
        <v/>
      </c>
      <c r="H312" s="131" t="str">
        <f aca="false">IF('Matt Motyka'!$B32="","",'Matt Motyka'!$H32)</f>
        <v/>
      </c>
      <c r="I312" s="131" t="str">
        <f aca="false">IF('Matt Motyka'!$B32="","",'Matt Motyka'!$I32)</f>
        <v/>
      </c>
      <c r="J312" s="133" t="str">
        <f aca="false">IF('Matt Motyka'!$B32="","",'Matt Motyka'!$J32)</f>
        <v/>
      </c>
      <c r="K312" s="134" t="str">
        <f aca="false">IF('Matt Motyka'!$B32="","",'Matt Motyka'!$K32)</f>
        <v/>
      </c>
      <c r="L312" s="134" t="str">
        <f aca="false">IF('Matt Motyka'!$B32="","",'Matt Motyka'!$L32)</f>
        <v/>
      </c>
      <c r="M312" s="132" t="str">
        <f aca="false">IF('Matt Motyka'!$B32="","",'Matt Motyka'!$M32)</f>
        <v/>
      </c>
      <c r="N312" s="132" t="str">
        <f aca="false">IF('Matt Motyka'!$B32="","",'Matt Motyka'!$N32)</f>
        <v/>
      </c>
      <c r="O312" s="134" t="str">
        <f aca="false">IF('Matt Motyka'!$B32="","",'Matt Motyka'!$O32)</f>
        <v/>
      </c>
      <c r="P312" s="132" t="str">
        <f aca="false">IF('Matt Motyka'!$B32="","",'Matt Motyka'!$P32)</f>
        <v/>
      </c>
      <c r="Q312" s="131" t="str">
        <f aca="false">IF('Matt Motyka'!$B32="","","Matt Motyka")</f>
        <v/>
      </c>
      <c r="R312" s="131" t="n">
        <f aca="true">IF(OR($B312="",$I312="Complete",$L312=""),0,IF($L312&lt;TODAY(),1,0))</f>
        <v>0</v>
      </c>
      <c r="S312" s="131" t="n">
        <f aca="true">IF(OR($B312="",$I312="Complete",$L312=""),0,IF(AND($L312&gt;=TODAY(),$L312&lt;=TODAY()+7),1,0))</f>
        <v>0</v>
      </c>
      <c r="T312" s="131" t="str">
        <f aca="true">IF(OR($B312="",$L312=""),"",$L312-TODAY())</f>
        <v/>
      </c>
      <c r="U312" s="135" t="str">
        <f aca="false">IF($B312="","",IF($I312="Complete",1,IF($J312="",0,$J312)))</f>
        <v/>
      </c>
      <c r="V312" s="131" t="n">
        <f aca="false">IF($B312="",0,IF($N312="",0,1))</f>
        <v>0</v>
      </c>
      <c r="W312" s="131" t="n">
        <f aca="false">IF($B312="",0,1)</f>
        <v>0</v>
      </c>
    </row>
    <row r="313" customFormat="false" ht="15" hidden="false" customHeight="false" outlineLevel="0" collapsed="false">
      <c r="A313" s="131" t="str">
        <f aca="false">IF('Matt Motyka'!$B33="","",'Matt Motyka'!$A33)</f>
        <v/>
      </c>
      <c r="B313" s="131" t="str">
        <f aca="false">IF('Matt Motyka'!$B33="","",'Matt Motyka'!$B33)</f>
        <v/>
      </c>
      <c r="C313" s="132" t="str">
        <f aca="false">IF('Matt Motyka'!$B33="","",'Matt Motyka'!$C33)</f>
        <v/>
      </c>
      <c r="D313" s="132" t="str">
        <f aca="false">IF('Matt Motyka'!$B33="","",'Matt Motyka'!$D33)</f>
        <v/>
      </c>
      <c r="E313" s="132" t="str">
        <f aca="false">IF('Matt Motyka'!$B33="","",'Matt Motyka'!$E33)</f>
        <v/>
      </c>
      <c r="F313" s="132" t="str">
        <f aca="false">IF('Matt Motyka'!$B33="","",'Matt Motyka'!$F33)</f>
        <v/>
      </c>
      <c r="G313" s="132" t="str">
        <f aca="false">IF('Matt Motyka'!$B33="","",'Matt Motyka'!$G33)</f>
        <v/>
      </c>
      <c r="H313" s="131" t="str">
        <f aca="false">IF('Matt Motyka'!$B33="","",'Matt Motyka'!$H33)</f>
        <v/>
      </c>
      <c r="I313" s="131" t="str">
        <f aca="false">IF('Matt Motyka'!$B33="","",'Matt Motyka'!$I33)</f>
        <v/>
      </c>
      <c r="J313" s="133" t="str">
        <f aca="false">IF('Matt Motyka'!$B33="","",'Matt Motyka'!$J33)</f>
        <v/>
      </c>
      <c r="K313" s="134" t="str">
        <f aca="false">IF('Matt Motyka'!$B33="","",'Matt Motyka'!$K33)</f>
        <v/>
      </c>
      <c r="L313" s="134" t="str">
        <f aca="false">IF('Matt Motyka'!$B33="","",'Matt Motyka'!$L33)</f>
        <v/>
      </c>
      <c r="M313" s="132" t="str">
        <f aca="false">IF('Matt Motyka'!$B33="","",'Matt Motyka'!$M33)</f>
        <v/>
      </c>
      <c r="N313" s="132" t="str">
        <f aca="false">IF('Matt Motyka'!$B33="","",'Matt Motyka'!$N33)</f>
        <v/>
      </c>
      <c r="O313" s="134" t="str">
        <f aca="false">IF('Matt Motyka'!$B33="","",'Matt Motyka'!$O33)</f>
        <v/>
      </c>
      <c r="P313" s="132" t="str">
        <f aca="false">IF('Matt Motyka'!$B33="","",'Matt Motyka'!$P33)</f>
        <v/>
      </c>
      <c r="Q313" s="131" t="str">
        <f aca="false">IF('Matt Motyka'!$B33="","","Matt Motyka")</f>
        <v/>
      </c>
      <c r="R313" s="131" t="n">
        <f aca="true">IF(OR($B313="",$I313="Complete",$L313=""),0,IF($L313&lt;TODAY(),1,0))</f>
        <v>0</v>
      </c>
      <c r="S313" s="131" t="n">
        <f aca="true">IF(OR($B313="",$I313="Complete",$L313=""),0,IF(AND($L313&gt;=TODAY(),$L313&lt;=TODAY()+7),1,0))</f>
        <v>0</v>
      </c>
      <c r="T313" s="131" t="str">
        <f aca="true">IF(OR($B313="",$L313=""),"",$L313-TODAY())</f>
        <v/>
      </c>
      <c r="U313" s="135" t="str">
        <f aca="false">IF($B313="","",IF($I313="Complete",1,IF($J313="",0,$J313)))</f>
        <v/>
      </c>
      <c r="V313" s="131" t="n">
        <f aca="false">IF($B313="",0,IF($N313="",0,1))</f>
        <v>0</v>
      </c>
      <c r="W313" s="131" t="n">
        <f aca="false">IF($B313="",0,1)</f>
        <v>0</v>
      </c>
    </row>
    <row r="314" customFormat="false" ht="15" hidden="false" customHeight="false" outlineLevel="0" collapsed="false">
      <c r="A314" s="131" t="str">
        <f aca="false">IF('Matt Motyka'!$B34="","",'Matt Motyka'!$A34)</f>
        <v/>
      </c>
      <c r="B314" s="131" t="str">
        <f aca="false">IF('Matt Motyka'!$B34="","",'Matt Motyka'!$B34)</f>
        <v/>
      </c>
      <c r="C314" s="132" t="str">
        <f aca="false">IF('Matt Motyka'!$B34="","",'Matt Motyka'!$C34)</f>
        <v/>
      </c>
      <c r="D314" s="132" t="str">
        <f aca="false">IF('Matt Motyka'!$B34="","",'Matt Motyka'!$D34)</f>
        <v/>
      </c>
      <c r="E314" s="132" t="str">
        <f aca="false">IF('Matt Motyka'!$B34="","",'Matt Motyka'!$E34)</f>
        <v/>
      </c>
      <c r="F314" s="132" t="str">
        <f aca="false">IF('Matt Motyka'!$B34="","",'Matt Motyka'!$F34)</f>
        <v/>
      </c>
      <c r="G314" s="132" t="str">
        <f aca="false">IF('Matt Motyka'!$B34="","",'Matt Motyka'!$G34)</f>
        <v/>
      </c>
      <c r="H314" s="131" t="str">
        <f aca="false">IF('Matt Motyka'!$B34="","",'Matt Motyka'!$H34)</f>
        <v/>
      </c>
      <c r="I314" s="131" t="str">
        <f aca="false">IF('Matt Motyka'!$B34="","",'Matt Motyka'!$I34)</f>
        <v/>
      </c>
      <c r="J314" s="133" t="str">
        <f aca="false">IF('Matt Motyka'!$B34="","",'Matt Motyka'!$J34)</f>
        <v/>
      </c>
      <c r="K314" s="134" t="str">
        <f aca="false">IF('Matt Motyka'!$B34="","",'Matt Motyka'!$K34)</f>
        <v/>
      </c>
      <c r="L314" s="134" t="str">
        <f aca="false">IF('Matt Motyka'!$B34="","",'Matt Motyka'!$L34)</f>
        <v/>
      </c>
      <c r="M314" s="132" t="str">
        <f aca="false">IF('Matt Motyka'!$B34="","",'Matt Motyka'!$M34)</f>
        <v/>
      </c>
      <c r="N314" s="132" t="str">
        <f aca="false">IF('Matt Motyka'!$B34="","",'Matt Motyka'!$N34)</f>
        <v/>
      </c>
      <c r="O314" s="134" t="str">
        <f aca="false">IF('Matt Motyka'!$B34="","",'Matt Motyka'!$O34)</f>
        <v/>
      </c>
      <c r="P314" s="132" t="str">
        <f aca="false">IF('Matt Motyka'!$B34="","",'Matt Motyka'!$P34)</f>
        <v/>
      </c>
      <c r="Q314" s="131" t="str">
        <f aca="false">IF('Matt Motyka'!$B34="","","Matt Motyka")</f>
        <v/>
      </c>
      <c r="R314" s="131" t="n">
        <f aca="true">IF(OR($B314="",$I314="Complete",$L314=""),0,IF($L314&lt;TODAY(),1,0))</f>
        <v>0</v>
      </c>
      <c r="S314" s="131" t="n">
        <f aca="true">IF(OR($B314="",$I314="Complete",$L314=""),0,IF(AND($L314&gt;=TODAY(),$L314&lt;=TODAY()+7),1,0))</f>
        <v>0</v>
      </c>
      <c r="T314" s="131" t="str">
        <f aca="true">IF(OR($B314="",$L314=""),"",$L314-TODAY())</f>
        <v/>
      </c>
      <c r="U314" s="135" t="str">
        <f aca="false">IF($B314="","",IF($I314="Complete",1,IF($J314="",0,$J314)))</f>
        <v/>
      </c>
      <c r="V314" s="131" t="n">
        <f aca="false">IF($B314="",0,IF($N314="",0,1))</f>
        <v>0</v>
      </c>
      <c r="W314" s="131" t="n">
        <f aca="false">IF($B314="",0,1)</f>
        <v>0</v>
      </c>
    </row>
    <row r="315" customFormat="false" ht="15" hidden="false" customHeight="false" outlineLevel="0" collapsed="false">
      <c r="A315" s="131" t="str">
        <f aca="false">IF('Matt Motyka'!$B35="","",'Matt Motyka'!$A35)</f>
        <v/>
      </c>
      <c r="B315" s="131" t="str">
        <f aca="false">IF('Matt Motyka'!$B35="","",'Matt Motyka'!$B35)</f>
        <v/>
      </c>
      <c r="C315" s="132" t="str">
        <f aca="false">IF('Matt Motyka'!$B35="","",'Matt Motyka'!$C35)</f>
        <v/>
      </c>
      <c r="D315" s="132" t="str">
        <f aca="false">IF('Matt Motyka'!$B35="","",'Matt Motyka'!$D35)</f>
        <v/>
      </c>
      <c r="E315" s="132" t="str">
        <f aca="false">IF('Matt Motyka'!$B35="","",'Matt Motyka'!$E35)</f>
        <v/>
      </c>
      <c r="F315" s="132" t="str">
        <f aca="false">IF('Matt Motyka'!$B35="","",'Matt Motyka'!$F35)</f>
        <v/>
      </c>
      <c r="G315" s="132" t="str">
        <f aca="false">IF('Matt Motyka'!$B35="","",'Matt Motyka'!$G35)</f>
        <v/>
      </c>
      <c r="H315" s="131" t="str">
        <f aca="false">IF('Matt Motyka'!$B35="","",'Matt Motyka'!$H35)</f>
        <v/>
      </c>
      <c r="I315" s="131" t="str">
        <f aca="false">IF('Matt Motyka'!$B35="","",'Matt Motyka'!$I35)</f>
        <v/>
      </c>
      <c r="J315" s="133" t="str">
        <f aca="false">IF('Matt Motyka'!$B35="","",'Matt Motyka'!$J35)</f>
        <v/>
      </c>
      <c r="K315" s="134" t="str">
        <f aca="false">IF('Matt Motyka'!$B35="","",'Matt Motyka'!$K35)</f>
        <v/>
      </c>
      <c r="L315" s="134" t="str">
        <f aca="false">IF('Matt Motyka'!$B35="","",'Matt Motyka'!$L35)</f>
        <v/>
      </c>
      <c r="M315" s="132" t="str">
        <f aca="false">IF('Matt Motyka'!$B35="","",'Matt Motyka'!$M35)</f>
        <v/>
      </c>
      <c r="N315" s="132" t="str">
        <f aca="false">IF('Matt Motyka'!$B35="","",'Matt Motyka'!$N35)</f>
        <v/>
      </c>
      <c r="O315" s="134" t="str">
        <f aca="false">IF('Matt Motyka'!$B35="","",'Matt Motyka'!$O35)</f>
        <v/>
      </c>
      <c r="P315" s="132" t="str">
        <f aca="false">IF('Matt Motyka'!$B35="","",'Matt Motyka'!$P35)</f>
        <v/>
      </c>
      <c r="Q315" s="131" t="str">
        <f aca="false">IF('Matt Motyka'!$B35="","","Matt Motyka")</f>
        <v/>
      </c>
      <c r="R315" s="131" t="n">
        <f aca="true">IF(OR($B315="",$I315="Complete",$L315=""),0,IF($L315&lt;TODAY(),1,0))</f>
        <v>0</v>
      </c>
      <c r="S315" s="131" t="n">
        <f aca="true">IF(OR($B315="",$I315="Complete",$L315=""),0,IF(AND($L315&gt;=TODAY(),$L315&lt;=TODAY()+7),1,0))</f>
        <v>0</v>
      </c>
      <c r="T315" s="131" t="str">
        <f aca="true">IF(OR($B315="",$L315=""),"",$L315-TODAY())</f>
        <v/>
      </c>
      <c r="U315" s="135" t="str">
        <f aca="false">IF($B315="","",IF($I315="Complete",1,IF($J315="",0,$J315)))</f>
        <v/>
      </c>
      <c r="V315" s="131" t="n">
        <f aca="false">IF($B315="",0,IF($N315="",0,1))</f>
        <v>0</v>
      </c>
      <c r="W315" s="131" t="n">
        <f aca="false">IF($B315="",0,1)</f>
        <v>0</v>
      </c>
    </row>
    <row r="316" customFormat="false" ht="15" hidden="false" customHeight="false" outlineLevel="0" collapsed="false">
      <c r="A316" s="131" t="str">
        <f aca="false">IF('Matt Motyka'!$B36="","",'Matt Motyka'!$A36)</f>
        <v/>
      </c>
      <c r="B316" s="131" t="str">
        <f aca="false">IF('Matt Motyka'!$B36="","",'Matt Motyka'!$B36)</f>
        <v/>
      </c>
      <c r="C316" s="132" t="str">
        <f aca="false">IF('Matt Motyka'!$B36="","",'Matt Motyka'!$C36)</f>
        <v/>
      </c>
      <c r="D316" s="132" t="str">
        <f aca="false">IF('Matt Motyka'!$B36="","",'Matt Motyka'!$D36)</f>
        <v/>
      </c>
      <c r="E316" s="132" t="str">
        <f aca="false">IF('Matt Motyka'!$B36="","",'Matt Motyka'!$E36)</f>
        <v/>
      </c>
      <c r="F316" s="132" t="str">
        <f aca="false">IF('Matt Motyka'!$B36="","",'Matt Motyka'!$F36)</f>
        <v/>
      </c>
      <c r="G316" s="132" t="str">
        <f aca="false">IF('Matt Motyka'!$B36="","",'Matt Motyka'!$G36)</f>
        <v/>
      </c>
      <c r="H316" s="131" t="str">
        <f aca="false">IF('Matt Motyka'!$B36="","",'Matt Motyka'!$H36)</f>
        <v/>
      </c>
      <c r="I316" s="131" t="str">
        <f aca="false">IF('Matt Motyka'!$B36="","",'Matt Motyka'!$I36)</f>
        <v/>
      </c>
      <c r="J316" s="133" t="str">
        <f aca="false">IF('Matt Motyka'!$B36="","",'Matt Motyka'!$J36)</f>
        <v/>
      </c>
      <c r="K316" s="134" t="str">
        <f aca="false">IF('Matt Motyka'!$B36="","",'Matt Motyka'!$K36)</f>
        <v/>
      </c>
      <c r="L316" s="134" t="str">
        <f aca="false">IF('Matt Motyka'!$B36="","",'Matt Motyka'!$L36)</f>
        <v/>
      </c>
      <c r="M316" s="132" t="str">
        <f aca="false">IF('Matt Motyka'!$B36="","",'Matt Motyka'!$M36)</f>
        <v/>
      </c>
      <c r="N316" s="132" t="str">
        <f aca="false">IF('Matt Motyka'!$B36="","",'Matt Motyka'!$N36)</f>
        <v/>
      </c>
      <c r="O316" s="134" t="str">
        <f aca="false">IF('Matt Motyka'!$B36="","",'Matt Motyka'!$O36)</f>
        <v/>
      </c>
      <c r="P316" s="132" t="str">
        <f aca="false">IF('Matt Motyka'!$B36="","",'Matt Motyka'!$P36)</f>
        <v/>
      </c>
      <c r="Q316" s="131" t="str">
        <f aca="false">IF('Matt Motyka'!$B36="","","Matt Motyka")</f>
        <v/>
      </c>
      <c r="R316" s="131" t="n">
        <f aca="true">IF(OR($B316="",$I316="Complete",$L316=""),0,IF($L316&lt;TODAY(),1,0))</f>
        <v>0</v>
      </c>
      <c r="S316" s="131" t="n">
        <f aca="true">IF(OR($B316="",$I316="Complete",$L316=""),0,IF(AND($L316&gt;=TODAY(),$L316&lt;=TODAY()+7),1,0))</f>
        <v>0</v>
      </c>
      <c r="T316" s="131" t="str">
        <f aca="true">IF(OR($B316="",$L316=""),"",$L316-TODAY())</f>
        <v/>
      </c>
      <c r="U316" s="135" t="str">
        <f aca="false">IF($B316="","",IF($I316="Complete",1,IF($J316="",0,$J316)))</f>
        <v/>
      </c>
      <c r="V316" s="131" t="n">
        <f aca="false">IF($B316="",0,IF($N316="",0,1))</f>
        <v>0</v>
      </c>
      <c r="W316" s="131" t="n">
        <f aca="false">IF($B316="",0,1)</f>
        <v>0</v>
      </c>
    </row>
    <row r="317" customFormat="false" ht="15" hidden="false" customHeight="false" outlineLevel="0" collapsed="false">
      <c r="A317" s="131" t="str">
        <f aca="false">IF('Matt Motyka'!$B37="","",'Matt Motyka'!$A37)</f>
        <v/>
      </c>
      <c r="B317" s="131" t="str">
        <f aca="false">IF('Matt Motyka'!$B37="","",'Matt Motyka'!$B37)</f>
        <v/>
      </c>
      <c r="C317" s="132" t="str">
        <f aca="false">IF('Matt Motyka'!$B37="","",'Matt Motyka'!$C37)</f>
        <v/>
      </c>
      <c r="D317" s="132" t="str">
        <f aca="false">IF('Matt Motyka'!$B37="","",'Matt Motyka'!$D37)</f>
        <v/>
      </c>
      <c r="E317" s="132" t="str">
        <f aca="false">IF('Matt Motyka'!$B37="","",'Matt Motyka'!$E37)</f>
        <v/>
      </c>
      <c r="F317" s="132" t="str">
        <f aca="false">IF('Matt Motyka'!$B37="","",'Matt Motyka'!$F37)</f>
        <v/>
      </c>
      <c r="G317" s="132" t="str">
        <f aca="false">IF('Matt Motyka'!$B37="","",'Matt Motyka'!$G37)</f>
        <v/>
      </c>
      <c r="H317" s="131" t="str">
        <f aca="false">IF('Matt Motyka'!$B37="","",'Matt Motyka'!$H37)</f>
        <v/>
      </c>
      <c r="I317" s="131" t="str">
        <f aca="false">IF('Matt Motyka'!$B37="","",'Matt Motyka'!$I37)</f>
        <v/>
      </c>
      <c r="J317" s="133" t="str">
        <f aca="false">IF('Matt Motyka'!$B37="","",'Matt Motyka'!$J37)</f>
        <v/>
      </c>
      <c r="K317" s="134" t="str">
        <f aca="false">IF('Matt Motyka'!$B37="","",'Matt Motyka'!$K37)</f>
        <v/>
      </c>
      <c r="L317" s="134" t="str">
        <f aca="false">IF('Matt Motyka'!$B37="","",'Matt Motyka'!$L37)</f>
        <v/>
      </c>
      <c r="M317" s="132" t="str">
        <f aca="false">IF('Matt Motyka'!$B37="","",'Matt Motyka'!$M37)</f>
        <v/>
      </c>
      <c r="N317" s="132" t="str">
        <f aca="false">IF('Matt Motyka'!$B37="","",'Matt Motyka'!$N37)</f>
        <v/>
      </c>
      <c r="O317" s="134" t="str">
        <f aca="false">IF('Matt Motyka'!$B37="","",'Matt Motyka'!$O37)</f>
        <v/>
      </c>
      <c r="P317" s="132" t="str">
        <f aca="false">IF('Matt Motyka'!$B37="","",'Matt Motyka'!$P37)</f>
        <v/>
      </c>
      <c r="Q317" s="131" t="str">
        <f aca="false">IF('Matt Motyka'!$B37="","","Matt Motyka")</f>
        <v/>
      </c>
      <c r="R317" s="131" t="n">
        <f aca="true">IF(OR($B317="",$I317="Complete",$L317=""),0,IF($L317&lt;TODAY(),1,0))</f>
        <v>0</v>
      </c>
      <c r="S317" s="131" t="n">
        <f aca="true">IF(OR($B317="",$I317="Complete",$L317=""),0,IF(AND($L317&gt;=TODAY(),$L317&lt;=TODAY()+7),1,0))</f>
        <v>0</v>
      </c>
      <c r="T317" s="131" t="str">
        <f aca="true">IF(OR($B317="",$L317=""),"",$L317-TODAY())</f>
        <v/>
      </c>
      <c r="U317" s="135" t="str">
        <f aca="false">IF($B317="","",IF($I317="Complete",1,IF($J317="",0,$J317)))</f>
        <v/>
      </c>
      <c r="V317" s="131" t="n">
        <f aca="false">IF($B317="",0,IF($N317="",0,1))</f>
        <v>0</v>
      </c>
      <c r="W317" s="131" t="n">
        <f aca="false">IF($B317="",0,1)</f>
        <v>0</v>
      </c>
    </row>
    <row r="318" customFormat="false" ht="15" hidden="false" customHeight="false" outlineLevel="0" collapsed="false">
      <c r="A318" s="131" t="str">
        <f aca="false">IF('Matt Motyka'!$B38="","",'Matt Motyka'!$A38)</f>
        <v/>
      </c>
      <c r="B318" s="131" t="str">
        <f aca="false">IF('Matt Motyka'!$B38="","",'Matt Motyka'!$B38)</f>
        <v/>
      </c>
      <c r="C318" s="132" t="str">
        <f aca="false">IF('Matt Motyka'!$B38="","",'Matt Motyka'!$C38)</f>
        <v/>
      </c>
      <c r="D318" s="132" t="str">
        <f aca="false">IF('Matt Motyka'!$B38="","",'Matt Motyka'!$D38)</f>
        <v/>
      </c>
      <c r="E318" s="132" t="str">
        <f aca="false">IF('Matt Motyka'!$B38="","",'Matt Motyka'!$E38)</f>
        <v/>
      </c>
      <c r="F318" s="132" t="str">
        <f aca="false">IF('Matt Motyka'!$B38="","",'Matt Motyka'!$F38)</f>
        <v/>
      </c>
      <c r="G318" s="132" t="str">
        <f aca="false">IF('Matt Motyka'!$B38="","",'Matt Motyka'!$G38)</f>
        <v/>
      </c>
      <c r="H318" s="131" t="str">
        <f aca="false">IF('Matt Motyka'!$B38="","",'Matt Motyka'!$H38)</f>
        <v/>
      </c>
      <c r="I318" s="131" t="str">
        <f aca="false">IF('Matt Motyka'!$B38="","",'Matt Motyka'!$I38)</f>
        <v/>
      </c>
      <c r="J318" s="133" t="str">
        <f aca="false">IF('Matt Motyka'!$B38="","",'Matt Motyka'!$J38)</f>
        <v/>
      </c>
      <c r="K318" s="134" t="str">
        <f aca="false">IF('Matt Motyka'!$B38="","",'Matt Motyka'!$K38)</f>
        <v/>
      </c>
      <c r="L318" s="134" t="str">
        <f aca="false">IF('Matt Motyka'!$B38="","",'Matt Motyka'!$L38)</f>
        <v/>
      </c>
      <c r="M318" s="132" t="str">
        <f aca="false">IF('Matt Motyka'!$B38="","",'Matt Motyka'!$M38)</f>
        <v/>
      </c>
      <c r="N318" s="132" t="str">
        <f aca="false">IF('Matt Motyka'!$B38="","",'Matt Motyka'!$N38)</f>
        <v/>
      </c>
      <c r="O318" s="134" t="str">
        <f aca="false">IF('Matt Motyka'!$B38="","",'Matt Motyka'!$O38)</f>
        <v/>
      </c>
      <c r="P318" s="132" t="str">
        <f aca="false">IF('Matt Motyka'!$B38="","",'Matt Motyka'!$P38)</f>
        <v/>
      </c>
      <c r="Q318" s="131" t="str">
        <f aca="false">IF('Matt Motyka'!$B38="","","Matt Motyka")</f>
        <v/>
      </c>
      <c r="R318" s="131" t="n">
        <f aca="true">IF(OR($B318="",$I318="Complete",$L318=""),0,IF($L318&lt;TODAY(),1,0))</f>
        <v>0</v>
      </c>
      <c r="S318" s="131" t="n">
        <f aca="true">IF(OR($B318="",$I318="Complete",$L318=""),0,IF(AND($L318&gt;=TODAY(),$L318&lt;=TODAY()+7),1,0))</f>
        <v>0</v>
      </c>
      <c r="T318" s="131" t="str">
        <f aca="true">IF(OR($B318="",$L318=""),"",$L318-TODAY())</f>
        <v/>
      </c>
      <c r="U318" s="135" t="str">
        <f aca="false">IF($B318="","",IF($I318="Complete",1,IF($J318="",0,$J318)))</f>
        <v/>
      </c>
      <c r="V318" s="131" t="n">
        <f aca="false">IF($B318="",0,IF($N318="",0,1))</f>
        <v>0</v>
      </c>
      <c r="W318" s="131" t="n">
        <f aca="false">IF($B318="",0,1)</f>
        <v>0</v>
      </c>
    </row>
    <row r="319" customFormat="false" ht="15" hidden="false" customHeight="false" outlineLevel="0" collapsed="false">
      <c r="A319" s="131" t="str">
        <f aca="false">IF('Matt Motyka'!$B39="","",'Matt Motyka'!$A39)</f>
        <v/>
      </c>
      <c r="B319" s="131" t="str">
        <f aca="false">IF('Matt Motyka'!$B39="","",'Matt Motyka'!$B39)</f>
        <v/>
      </c>
      <c r="C319" s="132" t="str">
        <f aca="false">IF('Matt Motyka'!$B39="","",'Matt Motyka'!$C39)</f>
        <v/>
      </c>
      <c r="D319" s="132" t="str">
        <f aca="false">IF('Matt Motyka'!$B39="","",'Matt Motyka'!$D39)</f>
        <v/>
      </c>
      <c r="E319" s="132" t="str">
        <f aca="false">IF('Matt Motyka'!$B39="","",'Matt Motyka'!$E39)</f>
        <v/>
      </c>
      <c r="F319" s="132" t="str">
        <f aca="false">IF('Matt Motyka'!$B39="","",'Matt Motyka'!$F39)</f>
        <v/>
      </c>
      <c r="G319" s="132" t="str">
        <f aca="false">IF('Matt Motyka'!$B39="","",'Matt Motyka'!$G39)</f>
        <v/>
      </c>
      <c r="H319" s="131" t="str">
        <f aca="false">IF('Matt Motyka'!$B39="","",'Matt Motyka'!$H39)</f>
        <v/>
      </c>
      <c r="I319" s="131" t="str">
        <f aca="false">IF('Matt Motyka'!$B39="","",'Matt Motyka'!$I39)</f>
        <v/>
      </c>
      <c r="J319" s="133" t="str">
        <f aca="false">IF('Matt Motyka'!$B39="","",'Matt Motyka'!$J39)</f>
        <v/>
      </c>
      <c r="K319" s="134" t="str">
        <f aca="false">IF('Matt Motyka'!$B39="","",'Matt Motyka'!$K39)</f>
        <v/>
      </c>
      <c r="L319" s="134" t="str">
        <f aca="false">IF('Matt Motyka'!$B39="","",'Matt Motyka'!$L39)</f>
        <v/>
      </c>
      <c r="M319" s="132" t="str">
        <f aca="false">IF('Matt Motyka'!$B39="","",'Matt Motyka'!$M39)</f>
        <v/>
      </c>
      <c r="N319" s="132" t="str">
        <f aca="false">IF('Matt Motyka'!$B39="","",'Matt Motyka'!$N39)</f>
        <v/>
      </c>
      <c r="O319" s="134" t="str">
        <f aca="false">IF('Matt Motyka'!$B39="","",'Matt Motyka'!$O39)</f>
        <v/>
      </c>
      <c r="P319" s="132" t="str">
        <f aca="false">IF('Matt Motyka'!$B39="","",'Matt Motyka'!$P39)</f>
        <v/>
      </c>
      <c r="Q319" s="131" t="str">
        <f aca="false">IF('Matt Motyka'!$B39="","","Matt Motyka")</f>
        <v/>
      </c>
      <c r="R319" s="131" t="n">
        <f aca="true">IF(OR($B319="",$I319="Complete",$L319=""),0,IF($L319&lt;TODAY(),1,0))</f>
        <v>0</v>
      </c>
      <c r="S319" s="131" t="n">
        <f aca="true">IF(OR($B319="",$I319="Complete",$L319=""),0,IF(AND($L319&gt;=TODAY(),$L319&lt;=TODAY()+7),1,0))</f>
        <v>0</v>
      </c>
      <c r="T319" s="131" t="str">
        <f aca="true">IF(OR($B319="",$L319=""),"",$L319-TODAY())</f>
        <v/>
      </c>
      <c r="U319" s="135" t="str">
        <f aca="false">IF($B319="","",IF($I319="Complete",1,IF($J319="",0,$J319)))</f>
        <v/>
      </c>
      <c r="V319" s="131" t="n">
        <f aca="false">IF($B319="",0,IF($N319="",0,1))</f>
        <v>0</v>
      </c>
      <c r="W319" s="131" t="n">
        <f aca="false">IF($B319="",0,1)</f>
        <v>0</v>
      </c>
    </row>
    <row r="320" customFormat="false" ht="15" hidden="false" customHeight="false" outlineLevel="0" collapsed="false">
      <c r="A320" s="131" t="str">
        <f aca="false">IF('Matt Motyka'!$B40="","",'Matt Motyka'!$A40)</f>
        <v/>
      </c>
      <c r="B320" s="131" t="str">
        <f aca="false">IF('Matt Motyka'!$B40="","",'Matt Motyka'!$B40)</f>
        <v/>
      </c>
      <c r="C320" s="132" t="str">
        <f aca="false">IF('Matt Motyka'!$B40="","",'Matt Motyka'!$C40)</f>
        <v/>
      </c>
      <c r="D320" s="132" t="str">
        <f aca="false">IF('Matt Motyka'!$B40="","",'Matt Motyka'!$D40)</f>
        <v/>
      </c>
      <c r="E320" s="132" t="str">
        <f aca="false">IF('Matt Motyka'!$B40="","",'Matt Motyka'!$E40)</f>
        <v/>
      </c>
      <c r="F320" s="132" t="str">
        <f aca="false">IF('Matt Motyka'!$B40="","",'Matt Motyka'!$F40)</f>
        <v/>
      </c>
      <c r="G320" s="132" t="str">
        <f aca="false">IF('Matt Motyka'!$B40="","",'Matt Motyka'!$G40)</f>
        <v/>
      </c>
      <c r="H320" s="131" t="str">
        <f aca="false">IF('Matt Motyka'!$B40="","",'Matt Motyka'!$H40)</f>
        <v/>
      </c>
      <c r="I320" s="131" t="str">
        <f aca="false">IF('Matt Motyka'!$B40="","",'Matt Motyka'!$I40)</f>
        <v/>
      </c>
      <c r="J320" s="133" t="str">
        <f aca="false">IF('Matt Motyka'!$B40="","",'Matt Motyka'!$J40)</f>
        <v/>
      </c>
      <c r="K320" s="134" t="str">
        <f aca="false">IF('Matt Motyka'!$B40="","",'Matt Motyka'!$K40)</f>
        <v/>
      </c>
      <c r="L320" s="134" t="str">
        <f aca="false">IF('Matt Motyka'!$B40="","",'Matt Motyka'!$L40)</f>
        <v/>
      </c>
      <c r="M320" s="132" t="str">
        <f aca="false">IF('Matt Motyka'!$B40="","",'Matt Motyka'!$M40)</f>
        <v/>
      </c>
      <c r="N320" s="132" t="str">
        <f aca="false">IF('Matt Motyka'!$B40="","",'Matt Motyka'!$N40)</f>
        <v/>
      </c>
      <c r="O320" s="134" t="str">
        <f aca="false">IF('Matt Motyka'!$B40="","",'Matt Motyka'!$O40)</f>
        <v/>
      </c>
      <c r="P320" s="132" t="str">
        <f aca="false">IF('Matt Motyka'!$B40="","",'Matt Motyka'!$P40)</f>
        <v/>
      </c>
      <c r="Q320" s="131" t="str">
        <f aca="false">IF('Matt Motyka'!$B40="","","Matt Motyka")</f>
        <v/>
      </c>
      <c r="R320" s="131" t="n">
        <f aca="true">IF(OR($B320="",$I320="Complete",$L320=""),0,IF($L320&lt;TODAY(),1,0))</f>
        <v>0</v>
      </c>
      <c r="S320" s="131" t="n">
        <f aca="true">IF(OR($B320="",$I320="Complete",$L320=""),0,IF(AND($L320&gt;=TODAY(),$L320&lt;=TODAY()+7),1,0))</f>
        <v>0</v>
      </c>
      <c r="T320" s="131" t="str">
        <f aca="true">IF(OR($B320="",$L320=""),"",$L320-TODAY())</f>
        <v/>
      </c>
      <c r="U320" s="135" t="str">
        <f aca="false">IF($B320="","",IF($I320="Complete",1,IF($J320="",0,$J320)))</f>
        <v/>
      </c>
      <c r="V320" s="131" t="n">
        <f aca="false">IF($B320="",0,IF($N320="",0,1))</f>
        <v>0</v>
      </c>
      <c r="W320" s="131" t="n">
        <f aca="false">IF($B320="",0,1)</f>
        <v>0</v>
      </c>
    </row>
    <row r="321" customFormat="false" ht="15" hidden="false" customHeight="false" outlineLevel="0" collapsed="false">
      <c r="A321" s="131" t="str">
        <f aca="false">IF('Matt Motyka'!$B41="","",'Matt Motyka'!$A41)</f>
        <v/>
      </c>
      <c r="B321" s="131" t="str">
        <f aca="false">IF('Matt Motyka'!$B41="","",'Matt Motyka'!$B41)</f>
        <v/>
      </c>
      <c r="C321" s="132" t="str">
        <f aca="false">IF('Matt Motyka'!$B41="","",'Matt Motyka'!$C41)</f>
        <v/>
      </c>
      <c r="D321" s="132" t="str">
        <f aca="false">IF('Matt Motyka'!$B41="","",'Matt Motyka'!$D41)</f>
        <v/>
      </c>
      <c r="E321" s="132" t="str">
        <f aca="false">IF('Matt Motyka'!$B41="","",'Matt Motyka'!$E41)</f>
        <v/>
      </c>
      <c r="F321" s="132" t="str">
        <f aca="false">IF('Matt Motyka'!$B41="","",'Matt Motyka'!$F41)</f>
        <v/>
      </c>
      <c r="G321" s="132" t="str">
        <f aca="false">IF('Matt Motyka'!$B41="","",'Matt Motyka'!$G41)</f>
        <v/>
      </c>
      <c r="H321" s="131" t="str">
        <f aca="false">IF('Matt Motyka'!$B41="","",'Matt Motyka'!$H41)</f>
        <v/>
      </c>
      <c r="I321" s="131" t="str">
        <f aca="false">IF('Matt Motyka'!$B41="","",'Matt Motyka'!$I41)</f>
        <v/>
      </c>
      <c r="J321" s="133" t="str">
        <f aca="false">IF('Matt Motyka'!$B41="","",'Matt Motyka'!$J41)</f>
        <v/>
      </c>
      <c r="K321" s="134" t="str">
        <f aca="false">IF('Matt Motyka'!$B41="","",'Matt Motyka'!$K41)</f>
        <v/>
      </c>
      <c r="L321" s="134" t="str">
        <f aca="false">IF('Matt Motyka'!$B41="","",'Matt Motyka'!$L41)</f>
        <v/>
      </c>
      <c r="M321" s="132" t="str">
        <f aca="false">IF('Matt Motyka'!$B41="","",'Matt Motyka'!$M41)</f>
        <v/>
      </c>
      <c r="N321" s="132" t="str">
        <f aca="false">IF('Matt Motyka'!$B41="","",'Matt Motyka'!$N41)</f>
        <v/>
      </c>
      <c r="O321" s="134" t="str">
        <f aca="false">IF('Matt Motyka'!$B41="","",'Matt Motyka'!$O41)</f>
        <v/>
      </c>
      <c r="P321" s="132" t="str">
        <f aca="false">IF('Matt Motyka'!$B41="","",'Matt Motyka'!$P41)</f>
        <v/>
      </c>
      <c r="Q321" s="131" t="str">
        <f aca="false">IF('Matt Motyka'!$B41="","","Matt Motyka")</f>
        <v/>
      </c>
      <c r="R321" s="131" t="n">
        <f aca="true">IF(OR($B321="",$I321="Complete",$L321=""),0,IF($L321&lt;TODAY(),1,0))</f>
        <v>0</v>
      </c>
      <c r="S321" s="131" t="n">
        <f aca="true">IF(OR($B321="",$I321="Complete",$L321=""),0,IF(AND($L321&gt;=TODAY(),$L321&lt;=TODAY()+7),1,0))</f>
        <v>0</v>
      </c>
      <c r="T321" s="131" t="str">
        <f aca="true">IF(OR($B321="",$L321=""),"",$L321-TODAY())</f>
        <v/>
      </c>
      <c r="U321" s="135" t="str">
        <f aca="false">IF($B321="","",IF($I321="Complete",1,IF($J321="",0,$J321)))</f>
        <v/>
      </c>
      <c r="V321" s="131" t="n">
        <f aca="false">IF($B321="",0,IF($N321="",0,1))</f>
        <v>0</v>
      </c>
      <c r="W321" s="131" t="n">
        <f aca="false">IF($B321="",0,1)</f>
        <v>0</v>
      </c>
    </row>
    <row r="322" customFormat="false" ht="15" hidden="false" customHeight="false" outlineLevel="0" collapsed="false">
      <c r="A322" s="131" t="str">
        <f aca="false">IF('Matt Motyka'!$B42="","",'Matt Motyka'!$A42)</f>
        <v/>
      </c>
      <c r="B322" s="131" t="str">
        <f aca="false">IF('Matt Motyka'!$B42="","",'Matt Motyka'!$B42)</f>
        <v/>
      </c>
      <c r="C322" s="132" t="str">
        <f aca="false">IF('Matt Motyka'!$B42="","",'Matt Motyka'!$C42)</f>
        <v/>
      </c>
      <c r="D322" s="132" t="str">
        <f aca="false">IF('Matt Motyka'!$B42="","",'Matt Motyka'!$D42)</f>
        <v/>
      </c>
      <c r="E322" s="132" t="str">
        <f aca="false">IF('Matt Motyka'!$B42="","",'Matt Motyka'!$E42)</f>
        <v/>
      </c>
      <c r="F322" s="132" t="str">
        <f aca="false">IF('Matt Motyka'!$B42="","",'Matt Motyka'!$F42)</f>
        <v/>
      </c>
      <c r="G322" s="132" t="str">
        <f aca="false">IF('Matt Motyka'!$B42="","",'Matt Motyka'!$G42)</f>
        <v/>
      </c>
      <c r="H322" s="131" t="str">
        <f aca="false">IF('Matt Motyka'!$B42="","",'Matt Motyka'!$H42)</f>
        <v/>
      </c>
      <c r="I322" s="131" t="str">
        <f aca="false">IF('Matt Motyka'!$B42="","",'Matt Motyka'!$I42)</f>
        <v/>
      </c>
      <c r="J322" s="133" t="str">
        <f aca="false">IF('Matt Motyka'!$B42="","",'Matt Motyka'!$J42)</f>
        <v/>
      </c>
      <c r="K322" s="134" t="str">
        <f aca="false">IF('Matt Motyka'!$B42="","",'Matt Motyka'!$K42)</f>
        <v/>
      </c>
      <c r="L322" s="134" t="str">
        <f aca="false">IF('Matt Motyka'!$B42="","",'Matt Motyka'!$L42)</f>
        <v/>
      </c>
      <c r="M322" s="132" t="str">
        <f aca="false">IF('Matt Motyka'!$B42="","",'Matt Motyka'!$M42)</f>
        <v/>
      </c>
      <c r="N322" s="132" t="str">
        <f aca="false">IF('Matt Motyka'!$B42="","",'Matt Motyka'!$N42)</f>
        <v/>
      </c>
      <c r="O322" s="134" t="str">
        <f aca="false">IF('Matt Motyka'!$B42="","",'Matt Motyka'!$O42)</f>
        <v/>
      </c>
      <c r="P322" s="132" t="str">
        <f aca="false">IF('Matt Motyka'!$B42="","",'Matt Motyka'!$P42)</f>
        <v/>
      </c>
      <c r="Q322" s="131" t="str">
        <f aca="false">IF('Matt Motyka'!$B42="","","Matt Motyka")</f>
        <v/>
      </c>
      <c r="R322" s="131" t="n">
        <f aca="true">IF(OR($B322="",$I322="Complete",$L322=""),0,IF($L322&lt;TODAY(),1,0))</f>
        <v>0</v>
      </c>
      <c r="S322" s="131" t="n">
        <f aca="true">IF(OR($B322="",$I322="Complete",$L322=""),0,IF(AND($L322&gt;=TODAY(),$L322&lt;=TODAY()+7),1,0))</f>
        <v>0</v>
      </c>
      <c r="T322" s="131" t="str">
        <f aca="true">IF(OR($B322="",$L322=""),"",$L322-TODAY())</f>
        <v/>
      </c>
      <c r="U322" s="135" t="str">
        <f aca="false">IF($B322="","",IF($I322="Complete",1,IF($J322="",0,$J322)))</f>
        <v/>
      </c>
      <c r="V322" s="131" t="n">
        <f aca="false">IF($B322="",0,IF($N322="",0,1))</f>
        <v>0</v>
      </c>
      <c r="W322" s="131" t="n">
        <f aca="false">IF($B322="",0,1)</f>
        <v>0</v>
      </c>
    </row>
    <row r="323" customFormat="false" ht="15" hidden="false" customHeight="false" outlineLevel="0" collapsed="false">
      <c r="A323" s="131" t="str">
        <f aca="false">IF('Matt Motyka'!$B43="","",'Matt Motyka'!$A43)</f>
        <v/>
      </c>
      <c r="B323" s="131" t="str">
        <f aca="false">IF('Matt Motyka'!$B43="","",'Matt Motyka'!$B43)</f>
        <v/>
      </c>
      <c r="C323" s="132" t="str">
        <f aca="false">IF('Matt Motyka'!$B43="","",'Matt Motyka'!$C43)</f>
        <v/>
      </c>
      <c r="D323" s="132" t="str">
        <f aca="false">IF('Matt Motyka'!$B43="","",'Matt Motyka'!$D43)</f>
        <v/>
      </c>
      <c r="E323" s="132" t="str">
        <f aca="false">IF('Matt Motyka'!$B43="","",'Matt Motyka'!$E43)</f>
        <v/>
      </c>
      <c r="F323" s="132" t="str">
        <f aca="false">IF('Matt Motyka'!$B43="","",'Matt Motyka'!$F43)</f>
        <v/>
      </c>
      <c r="G323" s="132" t="str">
        <f aca="false">IF('Matt Motyka'!$B43="","",'Matt Motyka'!$G43)</f>
        <v/>
      </c>
      <c r="H323" s="131" t="str">
        <f aca="false">IF('Matt Motyka'!$B43="","",'Matt Motyka'!$H43)</f>
        <v/>
      </c>
      <c r="I323" s="131" t="str">
        <f aca="false">IF('Matt Motyka'!$B43="","",'Matt Motyka'!$I43)</f>
        <v/>
      </c>
      <c r="J323" s="133" t="str">
        <f aca="false">IF('Matt Motyka'!$B43="","",'Matt Motyka'!$J43)</f>
        <v/>
      </c>
      <c r="K323" s="134" t="str">
        <f aca="false">IF('Matt Motyka'!$B43="","",'Matt Motyka'!$K43)</f>
        <v/>
      </c>
      <c r="L323" s="134" t="str">
        <f aca="false">IF('Matt Motyka'!$B43="","",'Matt Motyka'!$L43)</f>
        <v/>
      </c>
      <c r="M323" s="132" t="str">
        <f aca="false">IF('Matt Motyka'!$B43="","",'Matt Motyka'!$M43)</f>
        <v/>
      </c>
      <c r="N323" s="132" t="str">
        <f aca="false">IF('Matt Motyka'!$B43="","",'Matt Motyka'!$N43)</f>
        <v/>
      </c>
      <c r="O323" s="134" t="str">
        <f aca="false">IF('Matt Motyka'!$B43="","",'Matt Motyka'!$O43)</f>
        <v/>
      </c>
      <c r="P323" s="132" t="str">
        <f aca="false">IF('Matt Motyka'!$B43="","",'Matt Motyka'!$P43)</f>
        <v/>
      </c>
      <c r="Q323" s="131" t="str">
        <f aca="false">IF('Matt Motyka'!$B43="","","Matt Motyka")</f>
        <v/>
      </c>
      <c r="R323" s="131" t="n">
        <f aca="true">IF(OR($B323="",$I323="Complete",$L323=""),0,IF($L323&lt;TODAY(),1,0))</f>
        <v>0</v>
      </c>
      <c r="S323" s="131" t="n">
        <f aca="true">IF(OR($B323="",$I323="Complete",$L323=""),0,IF(AND($L323&gt;=TODAY(),$L323&lt;=TODAY()+7),1,0))</f>
        <v>0</v>
      </c>
      <c r="T323" s="131" t="str">
        <f aca="true">IF(OR($B323="",$L323=""),"",$L323-TODAY())</f>
        <v/>
      </c>
      <c r="U323" s="135" t="str">
        <f aca="false">IF($B323="","",IF($I323="Complete",1,IF($J323="",0,$J323)))</f>
        <v/>
      </c>
      <c r="V323" s="131" t="n">
        <f aca="false">IF($B323="",0,IF($N323="",0,1))</f>
        <v>0</v>
      </c>
      <c r="W323" s="131" t="n">
        <f aca="false">IF($B323="",0,1)</f>
        <v>0</v>
      </c>
    </row>
    <row r="324" customFormat="false" ht="15" hidden="false" customHeight="false" outlineLevel="0" collapsed="false">
      <c r="A324" s="131" t="str">
        <f aca="false">IF('Matt Motyka'!$B44="","",'Matt Motyka'!$A44)</f>
        <v/>
      </c>
      <c r="B324" s="131" t="str">
        <f aca="false">IF('Matt Motyka'!$B44="","",'Matt Motyka'!$B44)</f>
        <v/>
      </c>
      <c r="C324" s="132" t="str">
        <f aca="false">IF('Matt Motyka'!$B44="","",'Matt Motyka'!$C44)</f>
        <v/>
      </c>
      <c r="D324" s="132" t="str">
        <f aca="false">IF('Matt Motyka'!$B44="","",'Matt Motyka'!$D44)</f>
        <v/>
      </c>
      <c r="E324" s="132" t="str">
        <f aca="false">IF('Matt Motyka'!$B44="","",'Matt Motyka'!$E44)</f>
        <v/>
      </c>
      <c r="F324" s="132" t="str">
        <f aca="false">IF('Matt Motyka'!$B44="","",'Matt Motyka'!$F44)</f>
        <v/>
      </c>
      <c r="G324" s="132" t="str">
        <f aca="false">IF('Matt Motyka'!$B44="","",'Matt Motyka'!$G44)</f>
        <v/>
      </c>
      <c r="H324" s="131" t="str">
        <f aca="false">IF('Matt Motyka'!$B44="","",'Matt Motyka'!$H44)</f>
        <v/>
      </c>
      <c r="I324" s="131" t="str">
        <f aca="false">IF('Matt Motyka'!$B44="","",'Matt Motyka'!$I44)</f>
        <v/>
      </c>
      <c r="J324" s="133" t="str">
        <f aca="false">IF('Matt Motyka'!$B44="","",'Matt Motyka'!$J44)</f>
        <v/>
      </c>
      <c r="K324" s="134" t="str">
        <f aca="false">IF('Matt Motyka'!$B44="","",'Matt Motyka'!$K44)</f>
        <v/>
      </c>
      <c r="L324" s="134" t="str">
        <f aca="false">IF('Matt Motyka'!$B44="","",'Matt Motyka'!$L44)</f>
        <v/>
      </c>
      <c r="M324" s="132" t="str">
        <f aca="false">IF('Matt Motyka'!$B44="","",'Matt Motyka'!$M44)</f>
        <v/>
      </c>
      <c r="N324" s="132" t="str">
        <f aca="false">IF('Matt Motyka'!$B44="","",'Matt Motyka'!$N44)</f>
        <v/>
      </c>
      <c r="O324" s="134" t="str">
        <f aca="false">IF('Matt Motyka'!$B44="","",'Matt Motyka'!$O44)</f>
        <v/>
      </c>
      <c r="P324" s="132" t="str">
        <f aca="false">IF('Matt Motyka'!$B44="","",'Matt Motyka'!$P44)</f>
        <v/>
      </c>
      <c r="Q324" s="131" t="str">
        <f aca="false">IF('Matt Motyka'!$B44="","","Matt Motyka")</f>
        <v/>
      </c>
      <c r="R324" s="131" t="n">
        <f aca="true">IF(OR($B324="",$I324="Complete",$L324=""),0,IF($L324&lt;TODAY(),1,0))</f>
        <v>0</v>
      </c>
      <c r="S324" s="131" t="n">
        <f aca="true">IF(OR($B324="",$I324="Complete",$L324=""),0,IF(AND($L324&gt;=TODAY(),$L324&lt;=TODAY()+7),1,0))</f>
        <v>0</v>
      </c>
      <c r="T324" s="131" t="str">
        <f aca="true">IF(OR($B324="",$L324=""),"",$L324-TODAY())</f>
        <v/>
      </c>
      <c r="U324" s="135" t="str">
        <f aca="false">IF($B324="","",IF($I324="Complete",1,IF($J324="",0,$J324)))</f>
        <v/>
      </c>
      <c r="V324" s="131" t="n">
        <f aca="false">IF($B324="",0,IF($N324="",0,1))</f>
        <v>0</v>
      </c>
      <c r="W324" s="131" t="n">
        <f aca="false">IF($B324="",0,1)</f>
        <v>0</v>
      </c>
    </row>
    <row r="325" customFormat="false" ht="19.4" hidden="false" customHeight="false" outlineLevel="0" collapsed="false">
      <c r="A325" s="131" t="str">
        <f aca="false">IF('Alvaro Leal'!$B5="","",'Alvaro Leal'!$A5)</f>
        <v>AL-001</v>
      </c>
      <c r="B325" s="131" t="str">
        <f aca="false">IF('Alvaro Leal'!$B5="","",'Alvaro Leal'!$B5)</f>
        <v>P2-3</v>
      </c>
      <c r="C325" s="132" t="str">
        <f aca="false">IF('Alvaro Leal'!$B5="","",'Alvaro Leal'!$C5)</f>
        <v>2 – Top-of-Funnel Lead Gen</v>
      </c>
      <c r="D325" s="132" t="str">
        <f aca="false">IF('Alvaro Leal'!$B5="","",'Alvaro Leal'!$D5)</f>
        <v>Build video-first funnel</v>
      </c>
      <c r="E325" s="132" t="str">
        <f aca="false">IF('Alvaro Leal'!$B5="","",'Alvaro Leal'!$E5)</f>
        <v>Alvaro Leal</v>
      </c>
      <c r="F325" s="132" t="str">
        <f aca="false">IF('Alvaro Leal'!$B5="","",'Alvaro Leal'!$F5)</f>
        <v>Contributor</v>
      </c>
      <c r="G325" s="132" t="str">
        <f aca="false">IF('Alvaro Leal'!$B5="","",'Alvaro Leal'!$G5)</f>
        <v>Video Coordination with Madsen Anderson</v>
      </c>
      <c r="H325" s="131" t="str">
        <f aca="false">IF('Alvaro Leal'!$B5="","",'Alvaro Leal'!$H5)</f>
        <v>High</v>
      </c>
      <c r="I325" s="131" t="str">
        <f aca="false">IF('Alvaro Leal'!$B5="","",'Alvaro Leal'!$I5)</f>
        <v>In Progress</v>
      </c>
      <c r="J325" s="133" t="n">
        <f aca="false">IF('Alvaro Leal'!$B5="","",'Alvaro Leal'!$J5)</f>
        <v>0.3</v>
      </c>
      <c r="K325" s="134" t="n">
        <f aca="false">IF('Alvaro Leal'!$B5="","",'Alvaro Leal'!$K5)</f>
        <v>46157</v>
      </c>
      <c r="L325" s="134" t="n">
        <f aca="false">IF('Alvaro Leal'!$B5="","",'Alvaro Leal'!$L5)</f>
        <v>46193</v>
      </c>
      <c r="M325" s="132" t="n">
        <f aca="false">IF('Alvaro Leal'!$B5="","",'Alvaro Leal'!$M5)</f>
        <v>0</v>
      </c>
      <c r="N325" s="132" t="n">
        <f aca="false">IF('Alvaro Leal'!$B5="","",'Alvaro Leal'!$N5)</f>
        <v>0</v>
      </c>
      <c r="O325" s="134" t="str">
        <f aca="false">IF('Alvaro Leal'!$B5="","",'Alvaro Leal'!$O5)</f>
        <v>Coordinating with Chadwick</v>
      </c>
      <c r="P325" s="132" t="str">
        <f aca="false">IF('Alvaro Leal'!$B5="","",'Alvaro Leal'!$P5)</f>
        <v>Align on shot list</v>
      </c>
      <c r="Q325" s="131" t="str">
        <f aca="false">IF('Alvaro Leal'!$B5="","","Alvaro Leal")</f>
        <v>Alvaro Leal</v>
      </c>
      <c r="R325" s="131" t="n">
        <f aca="true">IF(OR($B325="",$I325="Complete",$L325=""),0,IF($L325&lt;TODAY(),1,0))</f>
        <v>0</v>
      </c>
      <c r="S325" s="131" t="n">
        <f aca="true">IF(OR($B325="",$I325="Complete",$L325=""),0,IF(AND($L325&gt;=TODAY(),$L325&lt;=TODAY()+7),1,0))</f>
        <v>0</v>
      </c>
      <c r="T325" s="131" t="n">
        <f aca="true">IF(OR($B325="",$L325=""),"",$L325-TODAY())</f>
        <v>23</v>
      </c>
      <c r="U325" s="135" t="n">
        <f aca="false">IF($B325="","",IF($I325="Complete",1,IF($J325="",0,$J325)))</f>
        <v>0.3</v>
      </c>
      <c r="V325" s="131" t="n">
        <f aca="false">IF($B325="",0,IF($N325="",0,1))</f>
        <v>0</v>
      </c>
      <c r="W325" s="131" t="n">
        <f aca="false">IF($B325="",0,1)</f>
        <v>1</v>
      </c>
    </row>
    <row r="326" customFormat="false" ht="19.4" hidden="false" customHeight="false" outlineLevel="0" collapsed="false">
      <c r="A326" s="131" t="str">
        <f aca="false">IF('Alvaro Leal'!$B6="","",'Alvaro Leal'!$A6)</f>
        <v>AL-002</v>
      </c>
      <c r="B326" s="131" t="str">
        <f aca="false">IF('Alvaro Leal'!$B6="","",'Alvaro Leal'!$B6)</f>
        <v>P1-1</v>
      </c>
      <c r="C326" s="132" t="str">
        <f aca="false">IF('Alvaro Leal'!$B6="","",'Alvaro Leal'!$C6)</f>
        <v>1 – Unified Development System</v>
      </c>
      <c r="D326" s="132" t="str">
        <f aca="false">IF('Alvaro Leal'!$B6="","",'Alvaro Leal'!$D6)</f>
        <v>Implement standardized Mutual Evaluation Process (MEP) across all brands</v>
      </c>
      <c r="E326" s="132" t="str">
        <f aca="false">IF('Alvaro Leal'!$B6="","",'Alvaro Leal'!$E6)</f>
        <v>Alvaro Leal</v>
      </c>
      <c r="F326" s="132" t="str">
        <f aca="false">IF('Alvaro Leal'!$B6="","",'Alvaro Leal'!$F6)</f>
        <v>Contributor</v>
      </c>
      <c r="G326" s="132" t="str">
        <f aca="false">IF('Alvaro Leal'!$B6="","",'Alvaro Leal'!$G6)</f>
        <v>Training Section 1-3 in Fran Dev 101</v>
      </c>
      <c r="H326" s="131" t="str">
        <f aca="false">IF('Alvaro Leal'!$B6="","",'Alvaro Leal'!$H6)</f>
        <v>Medium</v>
      </c>
      <c r="I326" s="131" t="str">
        <f aca="false">IF('Alvaro Leal'!$B6="","",'Alvaro Leal'!$I6)</f>
        <v>In Progress</v>
      </c>
      <c r="J326" s="133" t="n">
        <f aca="false">IF('Alvaro Leal'!$B6="","",'Alvaro Leal'!$J6)</f>
        <v>0.5</v>
      </c>
      <c r="K326" s="134" t="n">
        <f aca="false">IF('Alvaro Leal'!$B6="","",'Alvaro Leal'!$K6)</f>
        <v>46162</v>
      </c>
      <c r="L326" s="134" t="n">
        <f aca="false">IF('Alvaro Leal'!$B6="","",'Alvaro Leal'!$L6)</f>
        <v>46186</v>
      </c>
      <c r="M326" s="132" t="n">
        <f aca="false">IF('Alvaro Leal'!$B6="","",'Alvaro Leal'!$M6)</f>
        <v>0</v>
      </c>
      <c r="N326" s="132" t="n">
        <f aca="false">IF('Alvaro Leal'!$B6="","",'Alvaro Leal'!$N6)</f>
        <v>0</v>
      </c>
      <c r="O326" s="134" t="str">
        <f aca="false">IF('Alvaro Leal'!$B6="","",'Alvaro Leal'!$O6)</f>
        <v>Assigned 5/20</v>
      </c>
      <c r="P326" s="132" t="str">
        <f aca="false">IF('Alvaro Leal'!$B6="","",'Alvaro Leal'!$P6)</f>
        <v>Complete sections 2-3</v>
      </c>
      <c r="Q326" s="131" t="str">
        <f aca="false">IF('Alvaro Leal'!$B6="","","Alvaro Leal")</f>
        <v>Alvaro Leal</v>
      </c>
      <c r="R326" s="131" t="n">
        <f aca="true">IF(OR($B326="",$I326="Complete",$L326=""),0,IF($L326&lt;TODAY(),1,0))</f>
        <v>0</v>
      </c>
      <c r="S326" s="131" t="n">
        <f aca="true">IF(OR($B326="",$I326="Complete",$L326=""),0,IF(AND($L326&gt;=TODAY(),$L326&lt;=TODAY()+7),1,0))</f>
        <v>0</v>
      </c>
      <c r="T326" s="131" t="n">
        <f aca="true">IF(OR($B326="",$L326=""),"",$L326-TODAY())</f>
        <v>16</v>
      </c>
      <c r="U326" s="135" t="n">
        <f aca="false">IF($B326="","",IF($I326="Complete",1,IF($J326="",0,$J326)))</f>
        <v>0.5</v>
      </c>
      <c r="V326" s="131" t="n">
        <f aca="false">IF($B326="",0,IF($N326="",0,1))</f>
        <v>0</v>
      </c>
      <c r="W326" s="131" t="n">
        <f aca="false">IF($B326="",0,1)</f>
        <v>1</v>
      </c>
    </row>
    <row r="327" customFormat="false" ht="15" hidden="false" customHeight="false" outlineLevel="0" collapsed="false">
      <c r="A327" s="131" t="str">
        <f aca="false">IF('Alvaro Leal'!$B7="","",'Alvaro Leal'!$A7)</f>
        <v>AL-003</v>
      </c>
      <c r="B327" s="131" t="str">
        <f aca="false">IF('Alvaro Leal'!$B7="","",'Alvaro Leal'!$B7)</f>
        <v>P6-1</v>
      </c>
      <c r="C327" s="132" t="str">
        <f aca="false">IF('Alvaro Leal'!$B7="","",'Alvaro Leal'!$C7)</f>
        <v>6 – Automation &amp; Content</v>
      </c>
      <c r="D327" s="132" t="str">
        <f aca="false">IF('Alvaro Leal'!$B7="","",'Alvaro Leal'!$D7)</f>
        <v>Develop standardized brand overview videos</v>
      </c>
      <c r="E327" s="132" t="str">
        <f aca="false">IF('Alvaro Leal'!$B7="","",'Alvaro Leal'!$E7)</f>
        <v>Alvaro Leal</v>
      </c>
      <c r="F327" s="132" t="str">
        <f aca="false">IF('Alvaro Leal'!$B7="","",'Alvaro Leal'!$F7)</f>
        <v>Owner</v>
      </c>
      <c r="G327" s="132" t="str">
        <f aca="false">IF('Alvaro Leal'!$B7="","",'Alvaro Leal'!$G7)</f>
        <v>Video Project (Signature 7 – 1-Tom)</v>
      </c>
      <c r="H327" s="131" t="str">
        <f aca="false">IF('Alvaro Leal'!$B7="","",'Alvaro Leal'!$H7)</f>
        <v>High</v>
      </c>
      <c r="I327" s="131" t="str">
        <f aca="false">IF('Alvaro Leal'!$B7="","",'Alvaro Leal'!$I7)</f>
        <v>Complete</v>
      </c>
      <c r="J327" s="133" t="n">
        <f aca="false">IF('Alvaro Leal'!$B7="","",'Alvaro Leal'!$J7)</f>
        <v>1</v>
      </c>
      <c r="K327" s="134" t="n">
        <f aca="false">IF('Alvaro Leal'!$B7="","",'Alvaro Leal'!$K7)</f>
        <v>46143</v>
      </c>
      <c r="L327" s="134" t="n">
        <f aca="false">IF('Alvaro Leal'!$B7="","",'Alvaro Leal'!$L7)</f>
        <v>46162</v>
      </c>
      <c r="M327" s="132" t="n">
        <f aca="false">IF('Alvaro Leal'!$B7="","",'Alvaro Leal'!$M7)</f>
        <v>0</v>
      </c>
      <c r="N327" s="132" t="n">
        <f aca="false">IF('Alvaro Leal'!$B7="","",'Alvaro Leal'!$N7)</f>
        <v>0</v>
      </c>
      <c r="O327" s="134" t="str">
        <f aca="false">IF('Alvaro Leal'!$B7="","",'Alvaro Leal'!$O7)</f>
        <v>Complete</v>
      </c>
      <c r="P327" s="132" t="str">
        <f aca="false">IF('Alvaro Leal'!$B7="","",'Alvaro Leal'!$P7)</f>
        <v>Hand off final cut to library</v>
      </c>
      <c r="Q327" s="131" t="str">
        <f aca="false">IF('Alvaro Leal'!$B7="","","Alvaro Leal")</f>
        <v>Alvaro Leal</v>
      </c>
      <c r="R327" s="131" t="n">
        <f aca="true">IF(OR($B327="",$I327="Complete",$L327=""),0,IF($L327&lt;TODAY(),1,0))</f>
        <v>0</v>
      </c>
      <c r="S327" s="131" t="n">
        <f aca="true">IF(OR($B327="",$I327="Complete",$L327=""),0,IF(AND($L327&gt;=TODAY(),$L327&lt;=TODAY()+7),1,0))</f>
        <v>0</v>
      </c>
      <c r="T327" s="131" t="n">
        <f aca="true">IF(OR($B327="",$L327=""),"",$L327-TODAY())</f>
        <v>-8</v>
      </c>
      <c r="U327" s="135" t="n">
        <f aca="false">IF($B327="","",IF($I327="Complete",1,IF($J327="",0,$J327)))</f>
        <v>1</v>
      </c>
      <c r="V327" s="131" t="n">
        <f aca="false">IF($B327="",0,IF($N327="",0,1))</f>
        <v>0</v>
      </c>
      <c r="W327" s="131" t="n">
        <f aca="false">IF($B327="",0,1)</f>
        <v>1</v>
      </c>
    </row>
    <row r="328" customFormat="false" ht="15" hidden="false" customHeight="false" outlineLevel="0" collapsed="false">
      <c r="A328" s="131" t="str">
        <f aca="false">IF('Alvaro Leal'!$B8="","",'Alvaro Leal'!$A8)</f>
        <v/>
      </c>
      <c r="B328" s="131" t="str">
        <f aca="false">IF('Alvaro Leal'!$B8="","",'Alvaro Leal'!$B8)</f>
        <v/>
      </c>
      <c r="C328" s="132" t="str">
        <f aca="false">IF('Alvaro Leal'!$B8="","",'Alvaro Leal'!$C8)</f>
        <v/>
      </c>
      <c r="D328" s="132" t="str">
        <f aca="false">IF('Alvaro Leal'!$B8="","",'Alvaro Leal'!$D8)</f>
        <v/>
      </c>
      <c r="E328" s="132" t="str">
        <f aca="false">IF('Alvaro Leal'!$B8="","",'Alvaro Leal'!$E8)</f>
        <v/>
      </c>
      <c r="F328" s="132" t="str">
        <f aca="false">IF('Alvaro Leal'!$B8="","",'Alvaro Leal'!$F8)</f>
        <v/>
      </c>
      <c r="G328" s="132" t="str">
        <f aca="false">IF('Alvaro Leal'!$B8="","",'Alvaro Leal'!$G8)</f>
        <v/>
      </c>
      <c r="H328" s="131" t="str">
        <f aca="false">IF('Alvaro Leal'!$B8="","",'Alvaro Leal'!$H8)</f>
        <v/>
      </c>
      <c r="I328" s="131" t="str">
        <f aca="false">IF('Alvaro Leal'!$B8="","",'Alvaro Leal'!$I8)</f>
        <v/>
      </c>
      <c r="J328" s="133" t="str">
        <f aca="false">IF('Alvaro Leal'!$B8="","",'Alvaro Leal'!$J8)</f>
        <v/>
      </c>
      <c r="K328" s="134" t="str">
        <f aca="false">IF('Alvaro Leal'!$B8="","",'Alvaro Leal'!$K8)</f>
        <v/>
      </c>
      <c r="L328" s="134" t="str">
        <f aca="false">IF('Alvaro Leal'!$B8="","",'Alvaro Leal'!$L8)</f>
        <v/>
      </c>
      <c r="M328" s="132" t="str">
        <f aca="false">IF('Alvaro Leal'!$B8="","",'Alvaro Leal'!$M8)</f>
        <v/>
      </c>
      <c r="N328" s="132" t="str">
        <f aca="false">IF('Alvaro Leal'!$B8="","",'Alvaro Leal'!$N8)</f>
        <v/>
      </c>
      <c r="O328" s="134" t="str">
        <f aca="false">IF('Alvaro Leal'!$B8="","",'Alvaro Leal'!$O8)</f>
        <v/>
      </c>
      <c r="P328" s="132" t="str">
        <f aca="false">IF('Alvaro Leal'!$B8="","",'Alvaro Leal'!$P8)</f>
        <v/>
      </c>
      <c r="Q328" s="131" t="str">
        <f aca="false">IF('Alvaro Leal'!$B8="","","Alvaro Leal")</f>
        <v/>
      </c>
      <c r="R328" s="131" t="n">
        <f aca="true">IF(OR($B328="",$I328="Complete",$L328=""),0,IF($L328&lt;TODAY(),1,0))</f>
        <v>0</v>
      </c>
      <c r="S328" s="131" t="n">
        <f aca="true">IF(OR($B328="",$I328="Complete",$L328=""),0,IF(AND($L328&gt;=TODAY(),$L328&lt;=TODAY()+7),1,0))</f>
        <v>0</v>
      </c>
      <c r="T328" s="131" t="str">
        <f aca="true">IF(OR($B328="",$L328=""),"",$L328-TODAY())</f>
        <v/>
      </c>
      <c r="U328" s="135" t="str">
        <f aca="false">IF($B328="","",IF($I328="Complete",1,IF($J328="",0,$J328)))</f>
        <v/>
      </c>
      <c r="V328" s="131" t="n">
        <f aca="false">IF($B328="",0,IF($N328="",0,1))</f>
        <v>0</v>
      </c>
      <c r="W328" s="131" t="n">
        <f aca="false">IF($B328="",0,1)</f>
        <v>0</v>
      </c>
    </row>
    <row r="329" customFormat="false" ht="15" hidden="false" customHeight="false" outlineLevel="0" collapsed="false">
      <c r="A329" s="131" t="str">
        <f aca="false">IF('Alvaro Leal'!$B9="","",'Alvaro Leal'!$A9)</f>
        <v/>
      </c>
      <c r="B329" s="131" t="str">
        <f aca="false">IF('Alvaro Leal'!$B9="","",'Alvaro Leal'!$B9)</f>
        <v/>
      </c>
      <c r="C329" s="132" t="str">
        <f aca="false">IF('Alvaro Leal'!$B9="","",'Alvaro Leal'!$C9)</f>
        <v/>
      </c>
      <c r="D329" s="132" t="str">
        <f aca="false">IF('Alvaro Leal'!$B9="","",'Alvaro Leal'!$D9)</f>
        <v/>
      </c>
      <c r="E329" s="132" t="str">
        <f aca="false">IF('Alvaro Leal'!$B9="","",'Alvaro Leal'!$E9)</f>
        <v/>
      </c>
      <c r="F329" s="132" t="str">
        <f aca="false">IF('Alvaro Leal'!$B9="","",'Alvaro Leal'!$F9)</f>
        <v/>
      </c>
      <c r="G329" s="132" t="str">
        <f aca="false">IF('Alvaro Leal'!$B9="","",'Alvaro Leal'!$G9)</f>
        <v/>
      </c>
      <c r="H329" s="131" t="str">
        <f aca="false">IF('Alvaro Leal'!$B9="","",'Alvaro Leal'!$H9)</f>
        <v/>
      </c>
      <c r="I329" s="131" t="str">
        <f aca="false">IF('Alvaro Leal'!$B9="","",'Alvaro Leal'!$I9)</f>
        <v/>
      </c>
      <c r="J329" s="133" t="str">
        <f aca="false">IF('Alvaro Leal'!$B9="","",'Alvaro Leal'!$J9)</f>
        <v/>
      </c>
      <c r="K329" s="134" t="str">
        <f aca="false">IF('Alvaro Leal'!$B9="","",'Alvaro Leal'!$K9)</f>
        <v/>
      </c>
      <c r="L329" s="134" t="str">
        <f aca="false">IF('Alvaro Leal'!$B9="","",'Alvaro Leal'!$L9)</f>
        <v/>
      </c>
      <c r="M329" s="132" t="str">
        <f aca="false">IF('Alvaro Leal'!$B9="","",'Alvaro Leal'!$M9)</f>
        <v/>
      </c>
      <c r="N329" s="132" t="str">
        <f aca="false">IF('Alvaro Leal'!$B9="","",'Alvaro Leal'!$N9)</f>
        <v/>
      </c>
      <c r="O329" s="134" t="str">
        <f aca="false">IF('Alvaro Leal'!$B9="","",'Alvaro Leal'!$O9)</f>
        <v/>
      </c>
      <c r="P329" s="132" t="str">
        <f aca="false">IF('Alvaro Leal'!$B9="","",'Alvaro Leal'!$P9)</f>
        <v/>
      </c>
      <c r="Q329" s="131" t="str">
        <f aca="false">IF('Alvaro Leal'!$B9="","","Alvaro Leal")</f>
        <v/>
      </c>
      <c r="R329" s="131" t="n">
        <f aca="true">IF(OR($B329="",$I329="Complete",$L329=""),0,IF($L329&lt;TODAY(),1,0))</f>
        <v>0</v>
      </c>
      <c r="S329" s="131" t="n">
        <f aca="true">IF(OR($B329="",$I329="Complete",$L329=""),0,IF(AND($L329&gt;=TODAY(),$L329&lt;=TODAY()+7),1,0))</f>
        <v>0</v>
      </c>
      <c r="T329" s="131" t="str">
        <f aca="true">IF(OR($B329="",$L329=""),"",$L329-TODAY())</f>
        <v/>
      </c>
      <c r="U329" s="135" t="str">
        <f aca="false">IF($B329="","",IF($I329="Complete",1,IF($J329="",0,$J329)))</f>
        <v/>
      </c>
      <c r="V329" s="131" t="n">
        <f aca="false">IF($B329="",0,IF($N329="",0,1))</f>
        <v>0</v>
      </c>
      <c r="W329" s="131" t="n">
        <f aca="false">IF($B329="",0,1)</f>
        <v>0</v>
      </c>
    </row>
    <row r="330" customFormat="false" ht="15" hidden="false" customHeight="false" outlineLevel="0" collapsed="false">
      <c r="A330" s="131" t="str">
        <f aca="false">IF('Alvaro Leal'!$B10="","",'Alvaro Leal'!$A10)</f>
        <v/>
      </c>
      <c r="B330" s="131" t="str">
        <f aca="false">IF('Alvaro Leal'!$B10="","",'Alvaro Leal'!$B10)</f>
        <v/>
      </c>
      <c r="C330" s="132" t="str">
        <f aca="false">IF('Alvaro Leal'!$B10="","",'Alvaro Leal'!$C10)</f>
        <v/>
      </c>
      <c r="D330" s="132" t="str">
        <f aca="false">IF('Alvaro Leal'!$B10="","",'Alvaro Leal'!$D10)</f>
        <v/>
      </c>
      <c r="E330" s="132" t="str">
        <f aca="false">IF('Alvaro Leal'!$B10="","",'Alvaro Leal'!$E10)</f>
        <v/>
      </c>
      <c r="F330" s="132" t="str">
        <f aca="false">IF('Alvaro Leal'!$B10="","",'Alvaro Leal'!$F10)</f>
        <v/>
      </c>
      <c r="G330" s="132" t="str">
        <f aca="false">IF('Alvaro Leal'!$B10="","",'Alvaro Leal'!$G10)</f>
        <v/>
      </c>
      <c r="H330" s="131" t="str">
        <f aca="false">IF('Alvaro Leal'!$B10="","",'Alvaro Leal'!$H10)</f>
        <v/>
      </c>
      <c r="I330" s="131" t="str">
        <f aca="false">IF('Alvaro Leal'!$B10="","",'Alvaro Leal'!$I10)</f>
        <v/>
      </c>
      <c r="J330" s="133" t="str">
        <f aca="false">IF('Alvaro Leal'!$B10="","",'Alvaro Leal'!$J10)</f>
        <v/>
      </c>
      <c r="K330" s="134" t="str">
        <f aca="false">IF('Alvaro Leal'!$B10="","",'Alvaro Leal'!$K10)</f>
        <v/>
      </c>
      <c r="L330" s="134" t="str">
        <f aca="false">IF('Alvaro Leal'!$B10="","",'Alvaro Leal'!$L10)</f>
        <v/>
      </c>
      <c r="M330" s="132" t="str">
        <f aca="false">IF('Alvaro Leal'!$B10="","",'Alvaro Leal'!$M10)</f>
        <v/>
      </c>
      <c r="N330" s="132" t="str">
        <f aca="false">IF('Alvaro Leal'!$B10="","",'Alvaro Leal'!$N10)</f>
        <v/>
      </c>
      <c r="O330" s="134" t="str">
        <f aca="false">IF('Alvaro Leal'!$B10="","",'Alvaro Leal'!$O10)</f>
        <v/>
      </c>
      <c r="P330" s="132" t="str">
        <f aca="false">IF('Alvaro Leal'!$B10="","",'Alvaro Leal'!$P10)</f>
        <v/>
      </c>
      <c r="Q330" s="131" t="str">
        <f aca="false">IF('Alvaro Leal'!$B10="","","Alvaro Leal")</f>
        <v/>
      </c>
      <c r="R330" s="131" t="n">
        <f aca="true">IF(OR($B330="",$I330="Complete",$L330=""),0,IF($L330&lt;TODAY(),1,0))</f>
        <v>0</v>
      </c>
      <c r="S330" s="131" t="n">
        <f aca="true">IF(OR($B330="",$I330="Complete",$L330=""),0,IF(AND($L330&gt;=TODAY(),$L330&lt;=TODAY()+7),1,0))</f>
        <v>0</v>
      </c>
      <c r="T330" s="131" t="str">
        <f aca="true">IF(OR($B330="",$L330=""),"",$L330-TODAY())</f>
        <v/>
      </c>
      <c r="U330" s="135" t="str">
        <f aca="false">IF($B330="","",IF($I330="Complete",1,IF($J330="",0,$J330)))</f>
        <v/>
      </c>
      <c r="V330" s="131" t="n">
        <f aca="false">IF($B330="",0,IF($N330="",0,1))</f>
        <v>0</v>
      </c>
      <c r="W330" s="131" t="n">
        <f aca="false">IF($B330="",0,1)</f>
        <v>0</v>
      </c>
    </row>
    <row r="331" customFormat="false" ht="15" hidden="false" customHeight="false" outlineLevel="0" collapsed="false">
      <c r="A331" s="131" t="str">
        <f aca="false">IF('Alvaro Leal'!$B11="","",'Alvaro Leal'!$A11)</f>
        <v/>
      </c>
      <c r="B331" s="131" t="str">
        <f aca="false">IF('Alvaro Leal'!$B11="","",'Alvaro Leal'!$B11)</f>
        <v/>
      </c>
      <c r="C331" s="132" t="str">
        <f aca="false">IF('Alvaro Leal'!$B11="","",'Alvaro Leal'!$C11)</f>
        <v/>
      </c>
      <c r="D331" s="132" t="str">
        <f aca="false">IF('Alvaro Leal'!$B11="","",'Alvaro Leal'!$D11)</f>
        <v/>
      </c>
      <c r="E331" s="132" t="str">
        <f aca="false">IF('Alvaro Leal'!$B11="","",'Alvaro Leal'!$E11)</f>
        <v/>
      </c>
      <c r="F331" s="132" t="str">
        <f aca="false">IF('Alvaro Leal'!$B11="","",'Alvaro Leal'!$F11)</f>
        <v/>
      </c>
      <c r="G331" s="132" t="str">
        <f aca="false">IF('Alvaro Leal'!$B11="","",'Alvaro Leal'!$G11)</f>
        <v/>
      </c>
      <c r="H331" s="131" t="str">
        <f aca="false">IF('Alvaro Leal'!$B11="","",'Alvaro Leal'!$H11)</f>
        <v/>
      </c>
      <c r="I331" s="131" t="str">
        <f aca="false">IF('Alvaro Leal'!$B11="","",'Alvaro Leal'!$I11)</f>
        <v/>
      </c>
      <c r="J331" s="133" t="str">
        <f aca="false">IF('Alvaro Leal'!$B11="","",'Alvaro Leal'!$J11)</f>
        <v/>
      </c>
      <c r="K331" s="134" t="str">
        <f aca="false">IF('Alvaro Leal'!$B11="","",'Alvaro Leal'!$K11)</f>
        <v/>
      </c>
      <c r="L331" s="134" t="str">
        <f aca="false">IF('Alvaro Leal'!$B11="","",'Alvaro Leal'!$L11)</f>
        <v/>
      </c>
      <c r="M331" s="132" t="str">
        <f aca="false">IF('Alvaro Leal'!$B11="","",'Alvaro Leal'!$M11)</f>
        <v/>
      </c>
      <c r="N331" s="132" t="str">
        <f aca="false">IF('Alvaro Leal'!$B11="","",'Alvaro Leal'!$N11)</f>
        <v/>
      </c>
      <c r="O331" s="134" t="str">
        <f aca="false">IF('Alvaro Leal'!$B11="","",'Alvaro Leal'!$O11)</f>
        <v/>
      </c>
      <c r="P331" s="132" t="str">
        <f aca="false">IF('Alvaro Leal'!$B11="","",'Alvaro Leal'!$P11)</f>
        <v/>
      </c>
      <c r="Q331" s="131" t="str">
        <f aca="false">IF('Alvaro Leal'!$B11="","","Alvaro Leal")</f>
        <v/>
      </c>
      <c r="R331" s="131" t="n">
        <f aca="true">IF(OR($B331="",$I331="Complete",$L331=""),0,IF($L331&lt;TODAY(),1,0))</f>
        <v>0</v>
      </c>
      <c r="S331" s="131" t="n">
        <f aca="true">IF(OR($B331="",$I331="Complete",$L331=""),0,IF(AND($L331&gt;=TODAY(),$L331&lt;=TODAY()+7),1,0))</f>
        <v>0</v>
      </c>
      <c r="T331" s="131" t="str">
        <f aca="true">IF(OR($B331="",$L331=""),"",$L331-TODAY())</f>
        <v/>
      </c>
      <c r="U331" s="135" t="str">
        <f aca="false">IF($B331="","",IF($I331="Complete",1,IF($J331="",0,$J331)))</f>
        <v/>
      </c>
      <c r="V331" s="131" t="n">
        <f aca="false">IF($B331="",0,IF($N331="",0,1))</f>
        <v>0</v>
      </c>
      <c r="W331" s="131" t="n">
        <f aca="false">IF($B331="",0,1)</f>
        <v>0</v>
      </c>
    </row>
    <row r="332" customFormat="false" ht="15" hidden="false" customHeight="false" outlineLevel="0" collapsed="false">
      <c r="A332" s="131" t="str">
        <f aca="false">IF('Alvaro Leal'!$B12="","",'Alvaro Leal'!$A12)</f>
        <v/>
      </c>
      <c r="B332" s="131" t="str">
        <f aca="false">IF('Alvaro Leal'!$B12="","",'Alvaro Leal'!$B12)</f>
        <v/>
      </c>
      <c r="C332" s="132" t="str">
        <f aca="false">IF('Alvaro Leal'!$B12="","",'Alvaro Leal'!$C12)</f>
        <v/>
      </c>
      <c r="D332" s="132" t="str">
        <f aca="false">IF('Alvaro Leal'!$B12="","",'Alvaro Leal'!$D12)</f>
        <v/>
      </c>
      <c r="E332" s="132" t="str">
        <f aca="false">IF('Alvaro Leal'!$B12="","",'Alvaro Leal'!$E12)</f>
        <v/>
      </c>
      <c r="F332" s="132" t="str">
        <f aca="false">IF('Alvaro Leal'!$B12="","",'Alvaro Leal'!$F12)</f>
        <v/>
      </c>
      <c r="G332" s="132" t="str">
        <f aca="false">IF('Alvaro Leal'!$B12="","",'Alvaro Leal'!$G12)</f>
        <v/>
      </c>
      <c r="H332" s="131" t="str">
        <f aca="false">IF('Alvaro Leal'!$B12="","",'Alvaro Leal'!$H12)</f>
        <v/>
      </c>
      <c r="I332" s="131" t="str">
        <f aca="false">IF('Alvaro Leal'!$B12="","",'Alvaro Leal'!$I12)</f>
        <v/>
      </c>
      <c r="J332" s="133" t="str">
        <f aca="false">IF('Alvaro Leal'!$B12="","",'Alvaro Leal'!$J12)</f>
        <v/>
      </c>
      <c r="K332" s="134" t="str">
        <f aca="false">IF('Alvaro Leal'!$B12="","",'Alvaro Leal'!$K12)</f>
        <v/>
      </c>
      <c r="L332" s="134" t="str">
        <f aca="false">IF('Alvaro Leal'!$B12="","",'Alvaro Leal'!$L12)</f>
        <v/>
      </c>
      <c r="M332" s="132" t="str">
        <f aca="false">IF('Alvaro Leal'!$B12="","",'Alvaro Leal'!$M12)</f>
        <v/>
      </c>
      <c r="N332" s="132" t="str">
        <f aca="false">IF('Alvaro Leal'!$B12="","",'Alvaro Leal'!$N12)</f>
        <v/>
      </c>
      <c r="O332" s="134" t="str">
        <f aca="false">IF('Alvaro Leal'!$B12="","",'Alvaro Leal'!$O12)</f>
        <v/>
      </c>
      <c r="P332" s="132" t="str">
        <f aca="false">IF('Alvaro Leal'!$B12="","",'Alvaro Leal'!$P12)</f>
        <v/>
      </c>
      <c r="Q332" s="131" t="str">
        <f aca="false">IF('Alvaro Leal'!$B12="","","Alvaro Leal")</f>
        <v/>
      </c>
      <c r="R332" s="131" t="n">
        <f aca="true">IF(OR($B332="",$I332="Complete",$L332=""),0,IF($L332&lt;TODAY(),1,0))</f>
        <v>0</v>
      </c>
      <c r="S332" s="131" t="n">
        <f aca="true">IF(OR($B332="",$I332="Complete",$L332=""),0,IF(AND($L332&gt;=TODAY(),$L332&lt;=TODAY()+7),1,0))</f>
        <v>0</v>
      </c>
      <c r="T332" s="131" t="str">
        <f aca="true">IF(OR($B332="",$L332=""),"",$L332-TODAY())</f>
        <v/>
      </c>
      <c r="U332" s="135" t="str">
        <f aca="false">IF($B332="","",IF($I332="Complete",1,IF($J332="",0,$J332)))</f>
        <v/>
      </c>
      <c r="V332" s="131" t="n">
        <f aca="false">IF($B332="",0,IF($N332="",0,1))</f>
        <v>0</v>
      </c>
      <c r="W332" s="131" t="n">
        <f aca="false">IF($B332="",0,1)</f>
        <v>0</v>
      </c>
    </row>
    <row r="333" customFormat="false" ht="15" hidden="false" customHeight="false" outlineLevel="0" collapsed="false">
      <c r="A333" s="131" t="str">
        <f aca="false">IF('Alvaro Leal'!$B13="","",'Alvaro Leal'!$A13)</f>
        <v/>
      </c>
      <c r="B333" s="131" t="str">
        <f aca="false">IF('Alvaro Leal'!$B13="","",'Alvaro Leal'!$B13)</f>
        <v/>
      </c>
      <c r="C333" s="132" t="str">
        <f aca="false">IF('Alvaro Leal'!$B13="","",'Alvaro Leal'!$C13)</f>
        <v/>
      </c>
      <c r="D333" s="132" t="str">
        <f aca="false">IF('Alvaro Leal'!$B13="","",'Alvaro Leal'!$D13)</f>
        <v/>
      </c>
      <c r="E333" s="132" t="str">
        <f aca="false">IF('Alvaro Leal'!$B13="","",'Alvaro Leal'!$E13)</f>
        <v/>
      </c>
      <c r="F333" s="132" t="str">
        <f aca="false">IF('Alvaro Leal'!$B13="","",'Alvaro Leal'!$F13)</f>
        <v/>
      </c>
      <c r="G333" s="132" t="str">
        <f aca="false">IF('Alvaro Leal'!$B13="","",'Alvaro Leal'!$G13)</f>
        <v/>
      </c>
      <c r="H333" s="131" t="str">
        <f aca="false">IF('Alvaro Leal'!$B13="","",'Alvaro Leal'!$H13)</f>
        <v/>
      </c>
      <c r="I333" s="131" t="str">
        <f aca="false">IF('Alvaro Leal'!$B13="","",'Alvaro Leal'!$I13)</f>
        <v/>
      </c>
      <c r="J333" s="133" t="str">
        <f aca="false">IF('Alvaro Leal'!$B13="","",'Alvaro Leal'!$J13)</f>
        <v/>
      </c>
      <c r="K333" s="134" t="str">
        <f aca="false">IF('Alvaro Leal'!$B13="","",'Alvaro Leal'!$K13)</f>
        <v/>
      </c>
      <c r="L333" s="134" t="str">
        <f aca="false">IF('Alvaro Leal'!$B13="","",'Alvaro Leal'!$L13)</f>
        <v/>
      </c>
      <c r="M333" s="132" t="str">
        <f aca="false">IF('Alvaro Leal'!$B13="","",'Alvaro Leal'!$M13)</f>
        <v/>
      </c>
      <c r="N333" s="132" t="str">
        <f aca="false">IF('Alvaro Leal'!$B13="","",'Alvaro Leal'!$N13)</f>
        <v/>
      </c>
      <c r="O333" s="134" t="str">
        <f aca="false">IF('Alvaro Leal'!$B13="","",'Alvaro Leal'!$O13)</f>
        <v/>
      </c>
      <c r="P333" s="132" t="str">
        <f aca="false">IF('Alvaro Leal'!$B13="","",'Alvaro Leal'!$P13)</f>
        <v/>
      </c>
      <c r="Q333" s="131" t="str">
        <f aca="false">IF('Alvaro Leal'!$B13="","","Alvaro Leal")</f>
        <v/>
      </c>
      <c r="R333" s="131" t="n">
        <f aca="true">IF(OR($B333="",$I333="Complete",$L333=""),0,IF($L333&lt;TODAY(),1,0))</f>
        <v>0</v>
      </c>
      <c r="S333" s="131" t="n">
        <f aca="true">IF(OR($B333="",$I333="Complete",$L333=""),0,IF(AND($L333&gt;=TODAY(),$L333&lt;=TODAY()+7),1,0))</f>
        <v>0</v>
      </c>
      <c r="T333" s="131" t="str">
        <f aca="true">IF(OR($B333="",$L333=""),"",$L333-TODAY())</f>
        <v/>
      </c>
      <c r="U333" s="135" t="str">
        <f aca="false">IF($B333="","",IF($I333="Complete",1,IF($J333="",0,$J333)))</f>
        <v/>
      </c>
      <c r="V333" s="131" t="n">
        <f aca="false">IF($B333="",0,IF($N333="",0,1))</f>
        <v>0</v>
      </c>
      <c r="W333" s="131" t="n">
        <f aca="false">IF($B333="",0,1)</f>
        <v>0</v>
      </c>
    </row>
    <row r="334" customFormat="false" ht="15" hidden="false" customHeight="false" outlineLevel="0" collapsed="false">
      <c r="A334" s="131" t="str">
        <f aca="false">IF('Alvaro Leal'!$B14="","",'Alvaro Leal'!$A14)</f>
        <v/>
      </c>
      <c r="B334" s="131" t="str">
        <f aca="false">IF('Alvaro Leal'!$B14="","",'Alvaro Leal'!$B14)</f>
        <v/>
      </c>
      <c r="C334" s="132" t="str">
        <f aca="false">IF('Alvaro Leal'!$B14="","",'Alvaro Leal'!$C14)</f>
        <v/>
      </c>
      <c r="D334" s="132" t="str">
        <f aca="false">IF('Alvaro Leal'!$B14="","",'Alvaro Leal'!$D14)</f>
        <v/>
      </c>
      <c r="E334" s="132" t="str">
        <f aca="false">IF('Alvaro Leal'!$B14="","",'Alvaro Leal'!$E14)</f>
        <v/>
      </c>
      <c r="F334" s="132" t="str">
        <f aca="false">IF('Alvaro Leal'!$B14="","",'Alvaro Leal'!$F14)</f>
        <v/>
      </c>
      <c r="G334" s="132" t="str">
        <f aca="false">IF('Alvaro Leal'!$B14="","",'Alvaro Leal'!$G14)</f>
        <v/>
      </c>
      <c r="H334" s="131" t="str">
        <f aca="false">IF('Alvaro Leal'!$B14="","",'Alvaro Leal'!$H14)</f>
        <v/>
      </c>
      <c r="I334" s="131" t="str">
        <f aca="false">IF('Alvaro Leal'!$B14="","",'Alvaro Leal'!$I14)</f>
        <v/>
      </c>
      <c r="J334" s="133" t="str">
        <f aca="false">IF('Alvaro Leal'!$B14="","",'Alvaro Leal'!$J14)</f>
        <v/>
      </c>
      <c r="K334" s="134" t="str">
        <f aca="false">IF('Alvaro Leal'!$B14="","",'Alvaro Leal'!$K14)</f>
        <v/>
      </c>
      <c r="L334" s="134" t="str">
        <f aca="false">IF('Alvaro Leal'!$B14="","",'Alvaro Leal'!$L14)</f>
        <v/>
      </c>
      <c r="M334" s="132" t="str">
        <f aca="false">IF('Alvaro Leal'!$B14="","",'Alvaro Leal'!$M14)</f>
        <v/>
      </c>
      <c r="N334" s="132" t="str">
        <f aca="false">IF('Alvaro Leal'!$B14="","",'Alvaro Leal'!$N14)</f>
        <v/>
      </c>
      <c r="O334" s="134" t="str">
        <f aca="false">IF('Alvaro Leal'!$B14="","",'Alvaro Leal'!$O14)</f>
        <v/>
      </c>
      <c r="P334" s="132" t="str">
        <f aca="false">IF('Alvaro Leal'!$B14="","",'Alvaro Leal'!$P14)</f>
        <v/>
      </c>
      <c r="Q334" s="131" t="str">
        <f aca="false">IF('Alvaro Leal'!$B14="","","Alvaro Leal")</f>
        <v/>
      </c>
      <c r="R334" s="131" t="n">
        <f aca="true">IF(OR($B334="",$I334="Complete",$L334=""),0,IF($L334&lt;TODAY(),1,0))</f>
        <v>0</v>
      </c>
      <c r="S334" s="131" t="n">
        <f aca="true">IF(OR($B334="",$I334="Complete",$L334=""),0,IF(AND($L334&gt;=TODAY(),$L334&lt;=TODAY()+7),1,0))</f>
        <v>0</v>
      </c>
      <c r="T334" s="131" t="str">
        <f aca="true">IF(OR($B334="",$L334=""),"",$L334-TODAY())</f>
        <v/>
      </c>
      <c r="U334" s="135" t="str">
        <f aca="false">IF($B334="","",IF($I334="Complete",1,IF($J334="",0,$J334)))</f>
        <v/>
      </c>
      <c r="V334" s="131" t="n">
        <f aca="false">IF($B334="",0,IF($N334="",0,1))</f>
        <v>0</v>
      </c>
      <c r="W334" s="131" t="n">
        <f aca="false">IF($B334="",0,1)</f>
        <v>0</v>
      </c>
    </row>
    <row r="335" customFormat="false" ht="15" hidden="false" customHeight="false" outlineLevel="0" collapsed="false">
      <c r="A335" s="131" t="str">
        <f aca="false">IF('Alvaro Leal'!$B15="","",'Alvaro Leal'!$A15)</f>
        <v/>
      </c>
      <c r="B335" s="131" t="str">
        <f aca="false">IF('Alvaro Leal'!$B15="","",'Alvaro Leal'!$B15)</f>
        <v/>
      </c>
      <c r="C335" s="132" t="str">
        <f aca="false">IF('Alvaro Leal'!$B15="","",'Alvaro Leal'!$C15)</f>
        <v/>
      </c>
      <c r="D335" s="132" t="str">
        <f aca="false">IF('Alvaro Leal'!$B15="","",'Alvaro Leal'!$D15)</f>
        <v/>
      </c>
      <c r="E335" s="132" t="str">
        <f aca="false">IF('Alvaro Leal'!$B15="","",'Alvaro Leal'!$E15)</f>
        <v/>
      </c>
      <c r="F335" s="132" t="str">
        <f aca="false">IF('Alvaro Leal'!$B15="","",'Alvaro Leal'!$F15)</f>
        <v/>
      </c>
      <c r="G335" s="132" t="str">
        <f aca="false">IF('Alvaro Leal'!$B15="","",'Alvaro Leal'!$G15)</f>
        <v/>
      </c>
      <c r="H335" s="131" t="str">
        <f aca="false">IF('Alvaro Leal'!$B15="","",'Alvaro Leal'!$H15)</f>
        <v/>
      </c>
      <c r="I335" s="131" t="str">
        <f aca="false">IF('Alvaro Leal'!$B15="","",'Alvaro Leal'!$I15)</f>
        <v/>
      </c>
      <c r="J335" s="133" t="str">
        <f aca="false">IF('Alvaro Leal'!$B15="","",'Alvaro Leal'!$J15)</f>
        <v/>
      </c>
      <c r="K335" s="134" t="str">
        <f aca="false">IF('Alvaro Leal'!$B15="","",'Alvaro Leal'!$K15)</f>
        <v/>
      </c>
      <c r="L335" s="134" t="str">
        <f aca="false">IF('Alvaro Leal'!$B15="","",'Alvaro Leal'!$L15)</f>
        <v/>
      </c>
      <c r="M335" s="132" t="str">
        <f aca="false">IF('Alvaro Leal'!$B15="","",'Alvaro Leal'!$M15)</f>
        <v/>
      </c>
      <c r="N335" s="132" t="str">
        <f aca="false">IF('Alvaro Leal'!$B15="","",'Alvaro Leal'!$N15)</f>
        <v/>
      </c>
      <c r="O335" s="134" t="str">
        <f aca="false">IF('Alvaro Leal'!$B15="","",'Alvaro Leal'!$O15)</f>
        <v/>
      </c>
      <c r="P335" s="132" t="str">
        <f aca="false">IF('Alvaro Leal'!$B15="","",'Alvaro Leal'!$P15)</f>
        <v/>
      </c>
      <c r="Q335" s="131" t="str">
        <f aca="false">IF('Alvaro Leal'!$B15="","","Alvaro Leal")</f>
        <v/>
      </c>
      <c r="R335" s="131" t="n">
        <f aca="true">IF(OR($B335="",$I335="Complete",$L335=""),0,IF($L335&lt;TODAY(),1,0))</f>
        <v>0</v>
      </c>
      <c r="S335" s="131" t="n">
        <f aca="true">IF(OR($B335="",$I335="Complete",$L335=""),0,IF(AND($L335&gt;=TODAY(),$L335&lt;=TODAY()+7),1,0))</f>
        <v>0</v>
      </c>
      <c r="T335" s="131" t="str">
        <f aca="true">IF(OR($B335="",$L335=""),"",$L335-TODAY())</f>
        <v/>
      </c>
      <c r="U335" s="135" t="str">
        <f aca="false">IF($B335="","",IF($I335="Complete",1,IF($J335="",0,$J335)))</f>
        <v/>
      </c>
      <c r="V335" s="131" t="n">
        <f aca="false">IF($B335="",0,IF($N335="",0,1))</f>
        <v>0</v>
      </c>
      <c r="W335" s="131" t="n">
        <f aca="false">IF($B335="",0,1)</f>
        <v>0</v>
      </c>
    </row>
    <row r="336" customFormat="false" ht="15" hidden="false" customHeight="false" outlineLevel="0" collapsed="false">
      <c r="A336" s="131" t="str">
        <f aca="false">IF('Alvaro Leal'!$B16="","",'Alvaro Leal'!$A16)</f>
        <v/>
      </c>
      <c r="B336" s="131" t="str">
        <f aca="false">IF('Alvaro Leal'!$B16="","",'Alvaro Leal'!$B16)</f>
        <v/>
      </c>
      <c r="C336" s="132" t="str">
        <f aca="false">IF('Alvaro Leal'!$B16="","",'Alvaro Leal'!$C16)</f>
        <v/>
      </c>
      <c r="D336" s="132" t="str">
        <f aca="false">IF('Alvaro Leal'!$B16="","",'Alvaro Leal'!$D16)</f>
        <v/>
      </c>
      <c r="E336" s="132" t="str">
        <f aca="false">IF('Alvaro Leal'!$B16="","",'Alvaro Leal'!$E16)</f>
        <v/>
      </c>
      <c r="F336" s="132" t="str">
        <f aca="false">IF('Alvaro Leal'!$B16="","",'Alvaro Leal'!$F16)</f>
        <v/>
      </c>
      <c r="G336" s="132" t="str">
        <f aca="false">IF('Alvaro Leal'!$B16="","",'Alvaro Leal'!$G16)</f>
        <v/>
      </c>
      <c r="H336" s="131" t="str">
        <f aca="false">IF('Alvaro Leal'!$B16="","",'Alvaro Leal'!$H16)</f>
        <v/>
      </c>
      <c r="I336" s="131" t="str">
        <f aca="false">IF('Alvaro Leal'!$B16="","",'Alvaro Leal'!$I16)</f>
        <v/>
      </c>
      <c r="J336" s="133" t="str">
        <f aca="false">IF('Alvaro Leal'!$B16="","",'Alvaro Leal'!$J16)</f>
        <v/>
      </c>
      <c r="K336" s="134" t="str">
        <f aca="false">IF('Alvaro Leal'!$B16="","",'Alvaro Leal'!$K16)</f>
        <v/>
      </c>
      <c r="L336" s="134" t="str">
        <f aca="false">IF('Alvaro Leal'!$B16="","",'Alvaro Leal'!$L16)</f>
        <v/>
      </c>
      <c r="M336" s="132" t="str">
        <f aca="false">IF('Alvaro Leal'!$B16="","",'Alvaro Leal'!$M16)</f>
        <v/>
      </c>
      <c r="N336" s="132" t="str">
        <f aca="false">IF('Alvaro Leal'!$B16="","",'Alvaro Leal'!$N16)</f>
        <v/>
      </c>
      <c r="O336" s="134" t="str">
        <f aca="false">IF('Alvaro Leal'!$B16="","",'Alvaro Leal'!$O16)</f>
        <v/>
      </c>
      <c r="P336" s="132" t="str">
        <f aca="false">IF('Alvaro Leal'!$B16="","",'Alvaro Leal'!$P16)</f>
        <v/>
      </c>
      <c r="Q336" s="131" t="str">
        <f aca="false">IF('Alvaro Leal'!$B16="","","Alvaro Leal")</f>
        <v/>
      </c>
      <c r="R336" s="131" t="n">
        <f aca="true">IF(OR($B336="",$I336="Complete",$L336=""),0,IF($L336&lt;TODAY(),1,0))</f>
        <v>0</v>
      </c>
      <c r="S336" s="131" t="n">
        <f aca="true">IF(OR($B336="",$I336="Complete",$L336=""),0,IF(AND($L336&gt;=TODAY(),$L336&lt;=TODAY()+7),1,0))</f>
        <v>0</v>
      </c>
      <c r="T336" s="131" t="str">
        <f aca="true">IF(OR($B336="",$L336=""),"",$L336-TODAY())</f>
        <v/>
      </c>
      <c r="U336" s="135" t="str">
        <f aca="false">IF($B336="","",IF($I336="Complete",1,IF($J336="",0,$J336)))</f>
        <v/>
      </c>
      <c r="V336" s="131" t="n">
        <f aca="false">IF($B336="",0,IF($N336="",0,1))</f>
        <v>0</v>
      </c>
      <c r="W336" s="131" t="n">
        <f aca="false">IF($B336="",0,1)</f>
        <v>0</v>
      </c>
    </row>
    <row r="337" customFormat="false" ht="15" hidden="false" customHeight="false" outlineLevel="0" collapsed="false">
      <c r="A337" s="131" t="str">
        <f aca="false">IF('Alvaro Leal'!$B17="","",'Alvaro Leal'!$A17)</f>
        <v/>
      </c>
      <c r="B337" s="131" t="str">
        <f aca="false">IF('Alvaro Leal'!$B17="","",'Alvaro Leal'!$B17)</f>
        <v/>
      </c>
      <c r="C337" s="132" t="str">
        <f aca="false">IF('Alvaro Leal'!$B17="","",'Alvaro Leal'!$C17)</f>
        <v/>
      </c>
      <c r="D337" s="132" t="str">
        <f aca="false">IF('Alvaro Leal'!$B17="","",'Alvaro Leal'!$D17)</f>
        <v/>
      </c>
      <c r="E337" s="132" t="str">
        <f aca="false">IF('Alvaro Leal'!$B17="","",'Alvaro Leal'!$E17)</f>
        <v/>
      </c>
      <c r="F337" s="132" t="str">
        <f aca="false">IF('Alvaro Leal'!$B17="","",'Alvaro Leal'!$F17)</f>
        <v/>
      </c>
      <c r="G337" s="132" t="str">
        <f aca="false">IF('Alvaro Leal'!$B17="","",'Alvaro Leal'!$G17)</f>
        <v/>
      </c>
      <c r="H337" s="131" t="str">
        <f aca="false">IF('Alvaro Leal'!$B17="","",'Alvaro Leal'!$H17)</f>
        <v/>
      </c>
      <c r="I337" s="131" t="str">
        <f aca="false">IF('Alvaro Leal'!$B17="","",'Alvaro Leal'!$I17)</f>
        <v/>
      </c>
      <c r="J337" s="133" t="str">
        <f aca="false">IF('Alvaro Leal'!$B17="","",'Alvaro Leal'!$J17)</f>
        <v/>
      </c>
      <c r="K337" s="134" t="str">
        <f aca="false">IF('Alvaro Leal'!$B17="","",'Alvaro Leal'!$K17)</f>
        <v/>
      </c>
      <c r="L337" s="134" t="str">
        <f aca="false">IF('Alvaro Leal'!$B17="","",'Alvaro Leal'!$L17)</f>
        <v/>
      </c>
      <c r="M337" s="132" t="str">
        <f aca="false">IF('Alvaro Leal'!$B17="","",'Alvaro Leal'!$M17)</f>
        <v/>
      </c>
      <c r="N337" s="132" t="str">
        <f aca="false">IF('Alvaro Leal'!$B17="","",'Alvaro Leal'!$N17)</f>
        <v/>
      </c>
      <c r="O337" s="134" t="str">
        <f aca="false">IF('Alvaro Leal'!$B17="","",'Alvaro Leal'!$O17)</f>
        <v/>
      </c>
      <c r="P337" s="132" t="str">
        <f aca="false">IF('Alvaro Leal'!$B17="","",'Alvaro Leal'!$P17)</f>
        <v/>
      </c>
      <c r="Q337" s="131" t="str">
        <f aca="false">IF('Alvaro Leal'!$B17="","","Alvaro Leal")</f>
        <v/>
      </c>
      <c r="R337" s="131" t="n">
        <f aca="true">IF(OR($B337="",$I337="Complete",$L337=""),0,IF($L337&lt;TODAY(),1,0))</f>
        <v>0</v>
      </c>
      <c r="S337" s="131" t="n">
        <f aca="true">IF(OR($B337="",$I337="Complete",$L337=""),0,IF(AND($L337&gt;=TODAY(),$L337&lt;=TODAY()+7),1,0))</f>
        <v>0</v>
      </c>
      <c r="T337" s="131" t="str">
        <f aca="true">IF(OR($B337="",$L337=""),"",$L337-TODAY())</f>
        <v/>
      </c>
      <c r="U337" s="135" t="str">
        <f aca="false">IF($B337="","",IF($I337="Complete",1,IF($J337="",0,$J337)))</f>
        <v/>
      </c>
      <c r="V337" s="131" t="n">
        <f aca="false">IF($B337="",0,IF($N337="",0,1))</f>
        <v>0</v>
      </c>
      <c r="W337" s="131" t="n">
        <f aca="false">IF($B337="",0,1)</f>
        <v>0</v>
      </c>
    </row>
    <row r="338" customFormat="false" ht="15" hidden="false" customHeight="false" outlineLevel="0" collapsed="false">
      <c r="A338" s="131" t="str">
        <f aca="false">IF('Alvaro Leal'!$B18="","",'Alvaro Leal'!$A18)</f>
        <v/>
      </c>
      <c r="B338" s="131" t="str">
        <f aca="false">IF('Alvaro Leal'!$B18="","",'Alvaro Leal'!$B18)</f>
        <v/>
      </c>
      <c r="C338" s="132" t="str">
        <f aca="false">IF('Alvaro Leal'!$B18="","",'Alvaro Leal'!$C18)</f>
        <v/>
      </c>
      <c r="D338" s="132" t="str">
        <f aca="false">IF('Alvaro Leal'!$B18="","",'Alvaro Leal'!$D18)</f>
        <v/>
      </c>
      <c r="E338" s="132" t="str">
        <f aca="false">IF('Alvaro Leal'!$B18="","",'Alvaro Leal'!$E18)</f>
        <v/>
      </c>
      <c r="F338" s="132" t="str">
        <f aca="false">IF('Alvaro Leal'!$B18="","",'Alvaro Leal'!$F18)</f>
        <v/>
      </c>
      <c r="G338" s="132" t="str">
        <f aca="false">IF('Alvaro Leal'!$B18="","",'Alvaro Leal'!$G18)</f>
        <v/>
      </c>
      <c r="H338" s="131" t="str">
        <f aca="false">IF('Alvaro Leal'!$B18="","",'Alvaro Leal'!$H18)</f>
        <v/>
      </c>
      <c r="I338" s="131" t="str">
        <f aca="false">IF('Alvaro Leal'!$B18="","",'Alvaro Leal'!$I18)</f>
        <v/>
      </c>
      <c r="J338" s="133" t="str">
        <f aca="false">IF('Alvaro Leal'!$B18="","",'Alvaro Leal'!$J18)</f>
        <v/>
      </c>
      <c r="K338" s="134" t="str">
        <f aca="false">IF('Alvaro Leal'!$B18="","",'Alvaro Leal'!$K18)</f>
        <v/>
      </c>
      <c r="L338" s="134" t="str">
        <f aca="false">IF('Alvaro Leal'!$B18="","",'Alvaro Leal'!$L18)</f>
        <v/>
      </c>
      <c r="M338" s="132" t="str">
        <f aca="false">IF('Alvaro Leal'!$B18="","",'Alvaro Leal'!$M18)</f>
        <v/>
      </c>
      <c r="N338" s="132" t="str">
        <f aca="false">IF('Alvaro Leal'!$B18="","",'Alvaro Leal'!$N18)</f>
        <v/>
      </c>
      <c r="O338" s="134" t="str">
        <f aca="false">IF('Alvaro Leal'!$B18="","",'Alvaro Leal'!$O18)</f>
        <v/>
      </c>
      <c r="P338" s="132" t="str">
        <f aca="false">IF('Alvaro Leal'!$B18="","",'Alvaro Leal'!$P18)</f>
        <v/>
      </c>
      <c r="Q338" s="131" t="str">
        <f aca="false">IF('Alvaro Leal'!$B18="","","Alvaro Leal")</f>
        <v/>
      </c>
      <c r="R338" s="131" t="n">
        <f aca="true">IF(OR($B338="",$I338="Complete",$L338=""),0,IF($L338&lt;TODAY(),1,0))</f>
        <v>0</v>
      </c>
      <c r="S338" s="131" t="n">
        <f aca="true">IF(OR($B338="",$I338="Complete",$L338=""),0,IF(AND($L338&gt;=TODAY(),$L338&lt;=TODAY()+7),1,0))</f>
        <v>0</v>
      </c>
      <c r="T338" s="131" t="str">
        <f aca="true">IF(OR($B338="",$L338=""),"",$L338-TODAY())</f>
        <v/>
      </c>
      <c r="U338" s="135" t="str">
        <f aca="false">IF($B338="","",IF($I338="Complete",1,IF($J338="",0,$J338)))</f>
        <v/>
      </c>
      <c r="V338" s="131" t="n">
        <f aca="false">IF($B338="",0,IF($N338="",0,1))</f>
        <v>0</v>
      </c>
      <c r="W338" s="131" t="n">
        <f aca="false">IF($B338="",0,1)</f>
        <v>0</v>
      </c>
    </row>
    <row r="339" customFormat="false" ht="15" hidden="false" customHeight="false" outlineLevel="0" collapsed="false">
      <c r="A339" s="131" t="str">
        <f aca="false">IF('Alvaro Leal'!$B19="","",'Alvaro Leal'!$A19)</f>
        <v/>
      </c>
      <c r="B339" s="131" t="str">
        <f aca="false">IF('Alvaro Leal'!$B19="","",'Alvaro Leal'!$B19)</f>
        <v/>
      </c>
      <c r="C339" s="132" t="str">
        <f aca="false">IF('Alvaro Leal'!$B19="","",'Alvaro Leal'!$C19)</f>
        <v/>
      </c>
      <c r="D339" s="132" t="str">
        <f aca="false">IF('Alvaro Leal'!$B19="","",'Alvaro Leal'!$D19)</f>
        <v/>
      </c>
      <c r="E339" s="132" t="str">
        <f aca="false">IF('Alvaro Leal'!$B19="","",'Alvaro Leal'!$E19)</f>
        <v/>
      </c>
      <c r="F339" s="132" t="str">
        <f aca="false">IF('Alvaro Leal'!$B19="","",'Alvaro Leal'!$F19)</f>
        <v/>
      </c>
      <c r="G339" s="132" t="str">
        <f aca="false">IF('Alvaro Leal'!$B19="","",'Alvaro Leal'!$G19)</f>
        <v/>
      </c>
      <c r="H339" s="131" t="str">
        <f aca="false">IF('Alvaro Leal'!$B19="","",'Alvaro Leal'!$H19)</f>
        <v/>
      </c>
      <c r="I339" s="131" t="str">
        <f aca="false">IF('Alvaro Leal'!$B19="","",'Alvaro Leal'!$I19)</f>
        <v/>
      </c>
      <c r="J339" s="133" t="str">
        <f aca="false">IF('Alvaro Leal'!$B19="","",'Alvaro Leal'!$J19)</f>
        <v/>
      </c>
      <c r="K339" s="134" t="str">
        <f aca="false">IF('Alvaro Leal'!$B19="","",'Alvaro Leal'!$K19)</f>
        <v/>
      </c>
      <c r="L339" s="134" t="str">
        <f aca="false">IF('Alvaro Leal'!$B19="","",'Alvaro Leal'!$L19)</f>
        <v/>
      </c>
      <c r="M339" s="132" t="str">
        <f aca="false">IF('Alvaro Leal'!$B19="","",'Alvaro Leal'!$M19)</f>
        <v/>
      </c>
      <c r="N339" s="132" t="str">
        <f aca="false">IF('Alvaro Leal'!$B19="","",'Alvaro Leal'!$N19)</f>
        <v/>
      </c>
      <c r="O339" s="134" t="str">
        <f aca="false">IF('Alvaro Leal'!$B19="","",'Alvaro Leal'!$O19)</f>
        <v/>
      </c>
      <c r="P339" s="132" t="str">
        <f aca="false">IF('Alvaro Leal'!$B19="","",'Alvaro Leal'!$P19)</f>
        <v/>
      </c>
      <c r="Q339" s="131" t="str">
        <f aca="false">IF('Alvaro Leal'!$B19="","","Alvaro Leal")</f>
        <v/>
      </c>
      <c r="R339" s="131" t="n">
        <f aca="true">IF(OR($B339="",$I339="Complete",$L339=""),0,IF($L339&lt;TODAY(),1,0))</f>
        <v>0</v>
      </c>
      <c r="S339" s="131" t="n">
        <f aca="true">IF(OR($B339="",$I339="Complete",$L339=""),0,IF(AND($L339&gt;=TODAY(),$L339&lt;=TODAY()+7),1,0))</f>
        <v>0</v>
      </c>
      <c r="T339" s="131" t="str">
        <f aca="true">IF(OR($B339="",$L339=""),"",$L339-TODAY())</f>
        <v/>
      </c>
      <c r="U339" s="135" t="str">
        <f aca="false">IF($B339="","",IF($I339="Complete",1,IF($J339="",0,$J339)))</f>
        <v/>
      </c>
      <c r="V339" s="131" t="n">
        <f aca="false">IF($B339="",0,IF($N339="",0,1))</f>
        <v>0</v>
      </c>
      <c r="W339" s="131" t="n">
        <f aca="false">IF($B339="",0,1)</f>
        <v>0</v>
      </c>
    </row>
    <row r="340" customFormat="false" ht="15" hidden="false" customHeight="false" outlineLevel="0" collapsed="false">
      <c r="A340" s="131" t="str">
        <f aca="false">IF('Alvaro Leal'!$B20="","",'Alvaro Leal'!$A20)</f>
        <v/>
      </c>
      <c r="B340" s="131" t="str">
        <f aca="false">IF('Alvaro Leal'!$B20="","",'Alvaro Leal'!$B20)</f>
        <v/>
      </c>
      <c r="C340" s="132" t="str">
        <f aca="false">IF('Alvaro Leal'!$B20="","",'Alvaro Leal'!$C20)</f>
        <v/>
      </c>
      <c r="D340" s="132" t="str">
        <f aca="false">IF('Alvaro Leal'!$B20="","",'Alvaro Leal'!$D20)</f>
        <v/>
      </c>
      <c r="E340" s="132" t="str">
        <f aca="false">IF('Alvaro Leal'!$B20="","",'Alvaro Leal'!$E20)</f>
        <v/>
      </c>
      <c r="F340" s="132" t="str">
        <f aca="false">IF('Alvaro Leal'!$B20="","",'Alvaro Leal'!$F20)</f>
        <v/>
      </c>
      <c r="G340" s="132" t="str">
        <f aca="false">IF('Alvaro Leal'!$B20="","",'Alvaro Leal'!$G20)</f>
        <v/>
      </c>
      <c r="H340" s="131" t="str">
        <f aca="false">IF('Alvaro Leal'!$B20="","",'Alvaro Leal'!$H20)</f>
        <v/>
      </c>
      <c r="I340" s="131" t="str">
        <f aca="false">IF('Alvaro Leal'!$B20="","",'Alvaro Leal'!$I20)</f>
        <v/>
      </c>
      <c r="J340" s="133" t="str">
        <f aca="false">IF('Alvaro Leal'!$B20="","",'Alvaro Leal'!$J20)</f>
        <v/>
      </c>
      <c r="K340" s="134" t="str">
        <f aca="false">IF('Alvaro Leal'!$B20="","",'Alvaro Leal'!$K20)</f>
        <v/>
      </c>
      <c r="L340" s="134" t="str">
        <f aca="false">IF('Alvaro Leal'!$B20="","",'Alvaro Leal'!$L20)</f>
        <v/>
      </c>
      <c r="M340" s="132" t="str">
        <f aca="false">IF('Alvaro Leal'!$B20="","",'Alvaro Leal'!$M20)</f>
        <v/>
      </c>
      <c r="N340" s="132" t="str">
        <f aca="false">IF('Alvaro Leal'!$B20="","",'Alvaro Leal'!$N20)</f>
        <v/>
      </c>
      <c r="O340" s="134" t="str">
        <f aca="false">IF('Alvaro Leal'!$B20="","",'Alvaro Leal'!$O20)</f>
        <v/>
      </c>
      <c r="P340" s="132" t="str">
        <f aca="false">IF('Alvaro Leal'!$B20="","",'Alvaro Leal'!$P20)</f>
        <v/>
      </c>
      <c r="Q340" s="131" t="str">
        <f aca="false">IF('Alvaro Leal'!$B20="","","Alvaro Leal")</f>
        <v/>
      </c>
      <c r="R340" s="131" t="n">
        <f aca="true">IF(OR($B340="",$I340="Complete",$L340=""),0,IF($L340&lt;TODAY(),1,0))</f>
        <v>0</v>
      </c>
      <c r="S340" s="131" t="n">
        <f aca="true">IF(OR($B340="",$I340="Complete",$L340=""),0,IF(AND($L340&gt;=TODAY(),$L340&lt;=TODAY()+7),1,0))</f>
        <v>0</v>
      </c>
      <c r="T340" s="131" t="str">
        <f aca="true">IF(OR($B340="",$L340=""),"",$L340-TODAY())</f>
        <v/>
      </c>
      <c r="U340" s="135" t="str">
        <f aca="false">IF($B340="","",IF($I340="Complete",1,IF($J340="",0,$J340)))</f>
        <v/>
      </c>
      <c r="V340" s="131" t="n">
        <f aca="false">IF($B340="",0,IF($N340="",0,1))</f>
        <v>0</v>
      </c>
      <c r="W340" s="131" t="n">
        <f aca="false">IF($B340="",0,1)</f>
        <v>0</v>
      </c>
    </row>
    <row r="341" customFormat="false" ht="15" hidden="false" customHeight="false" outlineLevel="0" collapsed="false">
      <c r="A341" s="131" t="str">
        <f aca="false">IF('Alvaro Leal'!$B21="","",'Alvaro Leal'!$A21)</f>
        <v/>
      </c>
      <c r="B341" s="131" t="str">
        <f aca="false">IF('Alvaro Leal'!$B21="","",'Alvaro Leal'!$B21)</f>
        <v/>
      </c>
      <c r="C341" s="132" t="str">
        <f aca="false">IF('Alvaro Leal'!$B21="","",'Alvaro Leal'!$C21)</f>
        <v/>
      </c>
      <c r="D341" s="132" t="str">
        <f aca="false">IF('Alvaro Leal'!$B21="","",'Alvaro Leal'!$D21)</f>
        <v/>
      </c>
      <c r="E341" s="132" t="str">
        <f aca="false">IF('Alvaro Leal'!$B21="","",'Alvaro Leal'!$E21)</f>
        <v/>
      </c>
      <c r="F341" s="132" t="str">
        <f aca="false">IF('Alvaro Leal'!$B21="","",'Alvaro Leal'!$F21)</f>
        <v/>
      </c>
      <c r="G341" s="132" t="str">
        <f aca="false">IF('Alvaro Leal'!$B21="","",'Alvaro Leal'!$G21)</f>
        <v/>
      </c>
      <c r="H341" s="131" t="str">
        <f aca="false">IF('Alvaro Leal'!$B21="","",'Alvaro Leal'!$H21)</f>
        <v/>
      </c>
      <c r="I341" s="131" t="str">
        <f aca="false">IF('Alvaro Leal'!$B21="","",'Alvaro Leal'!$I21)</f>
        <v/>
      </c>
      <c r="J341" s="133" t="str">
        <f aca="false">IF('Alvaro Leal'!$B21="","",'Alvaro Leal'!$J21)</f>
        <v/>
      </c>
      <c r="K341" s="134" t="str">
        <f aca="false">IF('Alvaro Leal'!$B21="","",'Alvaro Leal'!$K21)</f>
        <v/>
      </c>
      <c r="L341" s="134" t="str">
        <f aca="false">IF('Alvaro Leal'!$B21="","",'Alvaro Leal'!$L21)</f>
        <v/>
      </c>
      <c r="M341" s="132" t="str">
        <f aca="false">IF('Alvaro Leal'!$B21="","",'Alvaro Leal'!$M21)</f>
        <v/>
      </c>
      <c r="N341" s="132" t="str">
        <f aca="false">IF('Alvaro Leal'!$B21="","",'Alvaro Leal'!$N21)</f>
        <v/>
      </c>
      <c r="O341" s="134" t="str">
        <f aca="false">IF('Alvaro Leal'!$B21="","",'Alvaro Leal'!$O21)</f>
        <v/>
      </c>
      <c r="P341" s="132" t="str">
        <f aca="false">IF('Alvaro Leal'!$B21="","",'Alvaro Leal'!$P21)</f>
        <v/>
      </c>
      <c r="Q341" s="131" t="str">
        <f aca="false">IF('Alvaro Leal'!$B21="","","Alvaro Leal")</f>
        <v/>
      </c>
      <c r="R341" s="131" t="n">
        <f aca="true">IF(OR($B341="",$I341="Complete",$L341=""),0,IF($L341&lt;TODAY(),1,0))</f>
        <v>0</v>
      </c>
      <c r="S341" s="131" t="n">
        <f aca="true">IF(OR($B341="",$I341="Complete",$L341=""),0,IF(AND($L341&gt;=TODAY(),$L341&lt;=TODAY()+7),1,0))</f>
        <v>0</v>
      </c>
      <c r="T341" s="131" t="str">
        <f aca="true">IF(OR($B341="",$L341=""),"",$L341-TODAY())</f>
        <v/>
      </c>
      <c r="U341" s="135" t="str">
        <f aca="false">IF($B341="","",IF($I341="Complete",1,IF($J341="",0,$J341)))</f>
        <v/>
      </c>
      <c r="V341" s="131" t="n">
        <f aca="false">IF($B341="",0,IF($N341="",0,1))</f>
        <v>0</v>
      </c>
      <c r="W341" s="131" t="n">
        <f aca="false">IF($B341="",0,1)</f>
        <v>0</v>
      </c>
    </row>
    <row r="342" customFormat="false" ht="15" hidden="false" customHeight="false" outlineLevel="0" collapsed="false">
      <c r="A342" s="131" t="str">
        <f aca="false">IF('Alvaro Leal'!$B22="","",'Alvaro Leal'!$A22)</f>
        <v/>
      </c>
      <c r="B342" s="131" t="str">
        <f aca="false">IF('Alvaro Leal'!$B22="","",'Alvaro Leal'!$B22)</f>
        <v/>
      </c>
      <c r="C342" s="132" t="str">
        <f aca="false">IF('Alvaro Leal'!$B22="","",'Alvaro Leal'!$C22)</f>
        <v/>
      </c>
      <c r="D342" s="132" t="str">
        <f aca="false">IF('Alvaro Leal'!$B22="","",'Alvaro Leal'!$D22)</f>
        <v/>
      </c>
      <c r="E342" s="132" t="str">
        <f aca="false">IF('Alvaro Leal'!$B22="","",'Alvaro Leal'!$E22)</f>
        <v/>
      </c>
      <c r="F342" s="132" t="str">
        <f aca="false">IF('Alvaro Leal'!$B22="","",'Alvaro Leal'!$F22)</f>
        <v/>
      </c>
      <c r="G342" s="132" t="str">
        <f aca="false">IF('Alvaro Leal'!$B22="","",'Alvaro Leal'!$G22)</f>
        <v/>
      </c>
      <c r="H342" s="131" t="str">
        <f aca="false">IF('Alvaro Leal'!$B22="","",'Alvaro Leal'!$H22)</f>
        <v/>
      </c>
      <c r="I342" s="131" t="str">
        <f aca="false">IF('Alvaro Leal'!$B22="","",'Alvaro Leal'!$I22)</f>
        <v/>
      </c>
      <c r="J342" s="133" t="str">
        <f aca="false">IF('Alvaro Leal'!$B22="","",'Alvaro Leal'!$J22)</f>
        <v/>
      </c>
      <c r="K342" s="134" t="str">
        <f aca="false">IF('Alvaro Leal'!$B22="","",'Alvaro Leal'!$K22)</f>
        <v/>
      </c>
      <c r="L342" s="134" t="str">
        <f aca="false">IF('Alvaro Leal'!$B22="","",'Alvaro Leal'!$L22)</f>
        <v/>
      </c>
      <c r="M342" s="132" t="str">
        <f aca="false">IF('Alvaro Leal'!$B22="","",'Alvaro Leal'!$M22)</f>
        <v/>
      </c>
      <c r="N342" s="132" t="str">
        <f aca="false">IF('Alvaro Leal'!$B22="","",'Alvaro Leal'!$N22)</f>
        <v/>
      </c>
      <c r="O342" s="134" t="str">
        <f aca="false">IF('Alvaro Leal'!$B22="","",'Alvaro Leal'!$O22)</f>
        <v/>
      </c>
      <c r="P342" s="132" t="str">
        <f aca="false">IF('Alvaro Leal'!$B22="","",'Alvaro Leal'!$P22)</f>
        <v/>
      </c>
      <c r="Q342" s="131" t="str">
        <f aca="false">IF('Alvaro Leal'!$B22="","","Alvaro Leal")</f>
        <v/>
      </c>
      <c r="R342" s="131" t="n">
        <f aca="true">IF(OR($B342="",$I342="Complete",$L342=""),0,IF($L342&lt;TODAY(),1,0))</f>
        <v>0</v>
      </c>
      <c r="S342" s="131" t="n">
        <f aca="true">IF(OR($B342="",$I342="Complete",$L342=""),0,IF(AND($L342&gt;=TODAY(),$L342&lt;=TODAY()+7),1,0))</f>
        <v>0</v>
      </c>
      <c r="T342" s="131" t="str">
        <f aca="true">IF(OR($B342="",$L342=""),"",$L342-TODAY())</f>
        <v/>
      </c>
      <c r="U342" s="135" t="str">
        <f aca="false">IF($B342="","",IF($I342="Complete",1,IF($J342="",0,$J342)))</f>
        <v/>
      </c>
      <c r="V342" s="131" t="n">
        <f aca="false">IF($B342="",0,IF($N342="",0,1))</f>
        <v>0</v>
      </c>
      <c r="W342" s="131" t="n">
        <f aca="false">IF($B342="",0,1)</f>
        <v>0</v>
      </c>
    </row>
    <row r="343" customFormat="false" ht="15" hidden="false" customHeight="false" outlineLevel="0" collapsed="false">
      <c r="A343" s="131" t="str">
        <f aca="false">IF('Alvaro Leal'!$B23="","",'Alvaro Leal'!$A23)</f>
        <v/>
      </c>
      <c r="B343" s="131" t="str">
        <f aca="false">IF('Alvaro Leal'!$B23="","",'Alvaro Leal'!$B23)</f>
        <v/>
      </c>
      <c r="C343" s="132" t="str">
        <f aca="false">IF('Alvaro Leal'!$B23="","",'Alvaro Leal'!$C23)</f>
        <v/>
      </c>
      <c r="D343" s="132" t="str">
        <f aca="false">IF('Alvaro Leal'!$B23="","",'Alvaro Leal'!$D23)</f>
        <v/>
      </c>
      <c r="E343" s="132" t="str">
        <f aca="false">IF('Alvaro Leal'!$B23="","",'Alvaro Leal'!$E23)</f>
        <v/>
      </c>
      <c r="F343" s="132" t="str">
        <f aca="false">IF('Alvaro Leal'!$B23="","",'Alvaro Leal'!$F23)</f>
        <v/>
      </c>
      <c r="G343" s="132" t="str">
        <f aca="false">IF('Alvaro Leal'!$B23="","",'Alvaro Leal'!$G23)</f>
        <v/>
      </c>
      <c r="H343" s="131" t="str">
        <f aca="false">IF('Alvaro Leal'!$B23="","",'Alvaro Leal'!$H23)</f>
        <v/>
      </c>
      <c r="I343" s="131" t="str">
        <f aca="false">IF('Alvaro Leal'!$B23="","",'Alvaro Leal'!$I23)</f>
        <v/>
      </c>
      <c r="J343" s="133" t="str">
        <f aca="false">IF('Alvaro Leal'!$B23="","",'Alvaro Leal'!$J23)</f>
        <v/>
      </c>
      <c r="K343" s="134" t="str">
        <f aca="false">IF('Alvaro Leal'!$B23="","",'Alvaro Leal'!$K23)</f>
        <v/>
      </c>
      <c r="L343" s="134" t="str">
        <f aca="false">IF('Alvaro Leal'!$B23="","",'Alvaro Leal'!$L23)</f>
        <v/>
      </c>
      <c r="M343" s="132" t="str">
        <f aca="false">IF('Alvaro Leal'!$B23="","",'Alvaro Leal'!$M23)</f>
        <v/>
      </c>
      <c r="N343" s="132" t="str">
        <f aca="false">IF('Alvaro Leal'!$B23="","",'Alvaro Leal'!$N23)</f>
        <v/>
      </c>
      <c r="O343" s="134" t="str">
        <f aca="false">IF('Alvaro Leal'!$B23="","",'Alvaro Leal'!$O23)</f>
        <v/>
      </c>
      <c r="P343" s="132" t="str">
        <f aca="false">IF('Alvaro Leal'!$B23="","",'Alvaro Leal'!$P23)</f>
        <v/>
      </c>
      <c r="Q343" s="131" t="str">
        <f aca="false">IF('Alvaro Leal'!$B23="","","Alvaro Leal")</f>
        <v/>
      </c>
      <c r="R343" s="131" t="n">
        <f aca="true">IF(OR($B343="",$I343="Complete",$L343=""),0,IF($L343&lt;TODAY(),1,0))</f>
        <v>0</v>
      </c>
      <c r="S343" s="131" t="n">
        <f aca="true">IF(OR($B343="",$I343="Complete",$L343=""),0,IF(AND($L343&gt;=TODAY(),$L343&lt;=TODAY()+7),1,0))</f>
        <v>0</v>
      </c>
      <c r="T343" s="131" t="str">
        <f aca="true">IF(OR($B343="",$L343=""),"",$L343-TODAY())</f>
        <v/>
      </c>
      <c r="U343" s="135" t="str">
        <f aca="false">IF($B343="","",IF($I343="Complete",1,IF($J343="",0,$J343)))</f>
        <v/>
      </c>
      <c r="V343" s="131" t="n">
        <f aca="false">IF($B343="",0,IF($N343="",0,1))</f>
        <v>0</v>
      </c>
      <c r="W343" s="131" t="n">
        <f aca="false">IF($B343="",0,1)</f>
        <v>0</v>
      </c>
    </row>
    <row r="344" customFormat="false" ht="15" hidden="false" customHeight="false" outlineLevel="0" collapsed="false">
      <c r="A344" s="131" t="str">
        <f aca="false">IF('Alvaro Leal'!$B24="","",'Alvaro Leal'!$A24)</f>
        <v/>
      </c>
      <c r="B344" s="131" t="str">
        <f aca="false">IF('Alvaro Leal'!$B24="","",'Alvaro Leal'!$B24)</f>
        <v/>
      </c>
      <c r="C344" s="132" t="str">
        <f aca="false">IF('Alvaro Leal'!$B24="","",'Alvaro Leal'!$C24)</f>
        <v/>
      </c>
      <c r="D344" s="132" t="str">
        <f aca="false">IF('Alvaro Leal'!$B24="","",'Alvaro Leal'!$D24)</f>
        <v/>
      </c>
      <c r="E344" s="132" t="str">
        <f aca="false">IF('Alvaro Leal'!$B24="","",'Alvaro Leal'!$E24)</f>
        <v/>
      </c>
      <c r="F344" s="132" t="str">
        <f aca="false">IF('Alvaro Leal'!$B24="","",'Alvaro Leal'!$F24)</f>
        <v/>
      </c>
      <c r="G344" s="132" t="str">
        <f aca="false">IF('Alvaro Leal'!$B24="","",'Alvaro Leal'!$G24)</f>
        <v/>
      </c>
      <c r="H344" s="131" t="str">
        <f aca="false">IF('Alvaro Leal'!$B24="","",'Alvaro Leal'!$H24)</f>
        <v/>
      </c>
      <c r="I344" s="131" t="str">
        <f aca="false">IF('Alvaro Leal'!$B24="","",'Alvaro Leal'!$I24)</f>
        <v/>
      </c>
      <c r="J344" s="133" t="str">
        <f aca="false">IF('Alvaro Leal'!$B24="","",'Alvaro Leal'!$J24)</f>
        <v/>
      </c>
      <c r="K344" s="134" t="str">
        <f aca="false">IF('Alvaro Leal'!$B24="","",'Alvaro Leal'!$K24)</f>
        <v/>
      </c>
      <c r="L344" s="134" t="str">
        <f aca="false">IF('Alvaro Leal'!$B24="","",'Alvaro Leal'!$L24)</f>
        <v/>
      </c>
      <c r="M344" s="132" t="str">
        <f aca="false">IF('Alvaro Leal'!$B24="","",'Alvaro Leal'!$M24)</f>
        <v/>
      </c>
      <c r="N344" s="132" t="str">
        <f aca="false">IF('Alvaro Leal'!$B24="","",'Alvaro Leal'!$N24)</f>
        <v/>
      </c>
      <c r="O344" s="134" t="str">
        <f aca="false">IF('Alvaro Leal'!$B24="","",'Alvaro Leal'!$O24)</f>
        <v/>
      </c>
      <c r="P344" s="132" t="str">
        <f aca="false">IF('Alvaro Leal'!$B24="","",'Alvaro Leal'!$P24)</f>
        <v/>
      </c>
      <c r="Q344" s="131" t="str">
        <f aca="false">IF('Alvaro Leal'!$B24="","","Alvaro Leal")</f>
        <v/>
      </c>
      <c r="R344" s="131" t="n">
        <f aca="true">IF(OR($B344="",$I344="Complete",$L344=""),0,IF($L344&lt;TODAY(),1,0))</f>
        <v>0</v>
      </c>
      <c r="S344" s="131" t="n">
        <f aca="true">IF(OR($B344="",$I344="Complete",$L344=""),0,IF(AND($L344&gt;=TODAY(),$L344&lt;=TODAY()+7),1,0))</f>
        <v>0</v>
      </c>
      <c r="T344" s="131" t="str">
        <f aca="true">IF(OR($B344="",$L344=""),"",$L344-TODAY())</f>
        <v/>
      </c>
      <c r="U344" s="135" t="str">
        <f aca="false">IF($B344="","",IF($I344="Complete",1,IF($J344="",0,$J344)))</f>
        <v/>
      </c>
      <c r="V344" s="131" t="n">
        <f aca="false">IF($B344="",0,IF($N344="",0,1))</f>
        <v>0</v>
      </c>
      <c r="W344" s="131" t="n">
        <f aca="false">IF($B344="",0,1)</f>
        <v>0</v>
      </c>
    </row>
    <row r="345" customFormat="false" ht="15" hidden="false" customHeight="false" outlineLevel="0" collapsed="false">
      <c r="A345" s="131" t="str">
        <f aca="false">IF('Alvaro Leal'!$B25="","",'Alvaro Leal'!$A25)</f>
        <v/>
      </c>
      <c r="B345" s="131" t="str">
        <f aca="false">IF('Alvaro Leal'!$B25="","",'Alvaro Leal'!$B25)</f>
        <v/>
      </c>
      <c r="C345" s="132" t="str">
        <f aca="false">IF('Alvaro Leal'!$B25="","",'Alvaro Leal'!$C25)</f>
        <v/>
      </c>
      <c r="D345" s="132" t="str">
        <f aca="false">IF('Alvaro Leal'!$B25="","",'Alvaro Leal'!$D25)</f>
        <v/>
      </c>
      <c r="E345" s="132" t="str">
        <f aca="false">IF('Alvaro Leal'!$B25="","",'Alvaro Leal'!$E25)</f>
        <v/>
      </c>
      <c r="F345" s="132" t="str">
        <f aca="false">IF('Alvaro Leal'!$B25="","",'Alvaro Leal'!$F25)</f>
        <v/>
      </c>
      <c r="G345" s="132" t="str">
        <f aca="false">IF('Alvaro Leal'!$B25="","",'Alvaro Leal'!$G25)</f>
        <v/>
      </c>
      <c r="H345" s="131" t="str">
        <f aca="false">IF('Alvaro Leal'!$B25="","",'Alvaro Leal'!$H25)</f>
        <v/>
      </c>
      <c r="I345" s="131" t="str">
        <f aca="false">IF('Alvaro Leal'!$B25="","",'Alvaro Leal'!$I25)</f>
        <v/>
      </c>
      <c r="J345" s="133" t="str">
        <f aca="false">IF('Alvaro Leal'!$B25="","",'Alvaro Leal'!$J25)</f>
        <v/>
      </c>
      <c r="K345" s="134" t="str">
        <f aca="false">IF('Alvaro Leal'!$B25="","",'Alvaro Leal'!$K25)</f>
        <v/>
      </c>
      <c r="L345" s="134" t="str">
        <f aca="false">IF('Alvaro Leal'!$B25="","",'Alvaro Leal'!$L25)</f>
        <v/>
      </c>
      <c r="M345" s="132" t="str">
        <f aca="false">IF('Alvaro Leal'!$B25="","",'Alvaro Leal'!$M25)</f>
        <v/>
      </c>
      <c r="N345" s="132" t="str">
        <f aca="false">IF('Alvaro Leal'!$B25="","",'Alvaro Leal'!$N25)</f>
        <v/>
      </c>
      <c r="O345" s="134" t="str">
        <f aca="false">IF('Alvaro Leal'!$B25="","",'Alvaro Leal'!$O25)</f>
        <v/>
      </c>
      <c r="P345" s="132" t="str">
        <f aca="false">IF('Alvaro Leal'!$B25="","",'Alvaro Leal'!$P25)</f>
        <v/>
      </c>
      <c r="Q345" s="131" t="str">
        <f aca="false">IF('Alvaro Leal'!$B25="","","Alvaro Leal")</f>
        <v/>
      </c>
      <c r="R345" s="131" t="n">
        <f aca="true">IF(OR($B345="",$I345="Complete",$L345=""),0,IF($L345&lt;TODAY(),1,0))</f>
        <v>0</v>
      </c>
      <c r="S345" s="131" t="n">
        <f aca="true">IF(OR($B345="",$I345="Complete",$L345=""),0,IF(AND($L345&gt;=TODAY(),$L345&lt;=TODAY()+7),1,0))</f>
        <v>0</v>
      </c>
      <c r="T345" s="131" t="str">
        <f aca="true">IF(OR($B345="",$L345=""),"",$L345-TODAY())</f>
        <v/>
      </c>
      <c r="U345" s="135" t="str">
        <f aca="false">IF($B345="","",IF($I345="Complete",1,IF($J345="",0,$J345)))</f>
        <v/>
      </c>
      <c r="V345" s="131" t="n">
        <f aca="false">IF($B345="",0,IF($N345="",0,1))</f>
        <v>0</v>
      </c>
      <c r="W345" s="131" t="n">
        <f aca="false">IF($B345="",0,1)</f>
        <v>0</v>
      </c>
    </row>
    <row r="346" customFormat="false" ht="15" hidden="false" customHeight="false" outlineLevel="0" collapsed="false">
      <c r="A346" s="131" t="str">
        <f aca="false">IF('Alvaro Leal'!$B26="","",'Alvaro Leal'!$A26)</f>
        <v/>
      </c>
      <c r="B346" s="131" t="str">
        <f aca="false">IF('Alvaro Leal'!$B26="","",'Alvaro Leal'!$B26)</f>
        <v/>
      </c>
      <c r="C346" s="132" t="str">
        <f aca="false">IF('Alvaro Leal'!$B26="","",'Alvaro Leal'!$C26)</f>
        <v/>
      </c>
      <c r="D346" s="132" t="str">
        <f aca="false">IF('Alvaro Leal'!$B26="","",'Alvaro Leal'!$D26)</f>
        <v/>
      </c>
      <c r="E346" s="132" t="str">
        <f aca="false">IF('Alvaro Leal'!$B26="","",'Alvaro Leal'!$E26)</f>
        <v/>
      </c>
      <c r="F346" s="132" t="str">
        <f aca="false">IF('Alvaro Leal'!$B26="","",'Alvaro Leal'!$F26)</f>
        <v/>
      </c>
      <c r="G346" s="132" t="str">
        <f aca="false">IF('Alvaro Leal'!$B26="","",'Alvaro Leal'!$G26)</f>
        <v/>
      </c>
      <c r="H346" s="131" t="str">
        <f aca="false">IF('Alvaro Leal'!$B26="","",'Alvaro Leal'!$H26)</f>
        <v/>
      </c>
      <c r="I346" s="131" t="str">
        <f aca="false">IF('Alvaro Leal'!$B26="","",'Alvaro Leal'!$I26)</f>
        <v/>
      </c>
      <c r="J346" s="133" t="str">
        <f aca="false">IF('Alvaro Leal'!$B26="","",'Alvaro Leal'!$J26)</f>
        <v/>
      </c>
      <c r="K346" s="134" t="str">
        <f aca="false">IF('Alvaro Leal'!$B26="","",'Alvaro Leal'!$K26)</f>
        <v/>
      </c>
      <c r="L346" s="134" t="str">
        <f aca="false">IF('Alvaro Leal'!$B26="","",'Alvaro Leal'!$L26)</f>
        <v/>
      </c>
      <c r="M346" s="132" t="str">
        <f aca="false">IF('Alvaro Leal'!$B26="","",'Alvaro Leal'!$M26)</f>
        <v/>
      </c>
      <c r="N346" s="132" t="str">
        <f aca="false">IF('Alvaro Leal'!$B26="","",'Alvaro Leal'!$N26)</f>
        <v/>
      </c>
      <c r="O346" s="134" t="str">
        <f aca="false">IF('Alvaro Leal'!$B26="","",'Alvaro Leal'!$O26)</f>
        <v/>
      </c>
      <c r="P346" s="132" t="str">
        <f aca="false">IF('Alvaro Leal'!$B26="","",'Alvaro Leal'!$P26)</f>
        <v/>
      </c>
      <c r="Q346" s="131" t="str">
        <f aca="false">IF('Alvaro Leal'!$B26="","","Alvaro Leal")</f>
        <v/>
      </c>
      <c r="R346" s="131" t="n">
        <f aca="true">IF(OR($B346="",$I346="Complete",$L346=""),0,IF($L346&lt;TODAY(),1,0))</f>
        <v>0</v>
      </c>
      <c r="S346" s="131" t="n">
        <f aca="true">IF(OR($B346="",$I346="Complete",$L346=""),0,IF(AND($L346&gt;=TODAY(),$L346&lt;=TODAY()+7),1,0))</f>
        <v>0</v>
      </c>
      <c r="T346" s="131" t="str">
        <f aca="true">IF(OR($B346="",$L346=""),"",$L346-TODAY())</f>
        <v/>
      </c>
      <c r="U346" s="135" t="str">
        <f aca="false">IF($B346="","",IF($I346="Complete",1,IF($J346="",0,$J346)))</f>
        <v/>
      </c>
      <c r="V346" s="131" t="n">
        <f aca="false">IF($B346="",0,IF($N346="",0,1))</f>
        <v>0</v>
      </c>
      <c r="W346" s="131" t="n">
        <f aca="false">IF($B346="",0,1)</f>
        <v>0</v>
      </c>
    </row>
    <row r="347" customFormat="false" ht="15" hidden="false" customHeight="false" outlineLevel="0" collapsed="false">
      <c r="A347" s="131" t="str">
        <f aca="false">IF('Alvaro Leal'!$B27="","",'Alvaro Leal'!$A27)</f>
        <v/>
      </c>
      <c r="B347" s="131" t="str">
        <f aca="false">IF('Alvaro Leal'!$B27="","",'Alvaro Leal'!$B27)</f>
        <v/>
      </c>
      <c r="C347" s="132" t="str">
        <f aca="false">IF('Alvaro Leal'!$B27="","",'Alvaro Leal'!$C27)</f>
        <v/>
      </c>
      <c r="D347" s="132" t="str">
        <f aca="false">IF('Alvaro Leal'!$B27="","",'Alvaro Leal'!$D27)</f>
        <v/>
      </c>
      <c r="E347" s="132" t="str">
        <f aca="false">IF('Alvaro Leal'!$B27="","",'Alvaro Leal'!$E27)</f>
        <v/>
      </c>
      <c r="F347" s="132" t="str">
        <f aca="false">IF('Alvaro Leal'!$B27="","",'Alvaro Leal'!$F27)</f>
        <v/>
      </c>
      <c r="G347" s="132" t="str">
        <f aca="false">IF('Alvaro Leal'!$B27="","",'Alvaro Leal'!$G27)</f>
        <v/>
      </c>
      <c r="H347" s="131" t="str">
        <f aca="false">IF('Alvaro Leal'!$B27="","",'Alvaro Leal'!$H27)</f>
        <v/>
      </c>
      <c r="I347" s="131" t="str">
        <f aca="false">IF('Alvaro Leal'!$B27="","",'Alvaro Leal'!$I27)</f>
        <v/>
      </c>
      <c r="J347" s="133" t="str">
        <f aca="false">IF('Alvaro Leal'!$B27="","",'Alvaro Leal'!$J27)</f>
        <v/>
      </c>
      <c r="K347" s="134" t="str">
        <f aca="false">IF('Alvaro Leal'!$B27="","",'Alvaro Leal'!$K27)</f>
        <v/>
      </c>
      <c r="L347" s="134" t="str">
        <f aca="false">IF('Alvaro Leal'!$B27="","",'Alvaro Leal'!$L27)</f>
        <v/>
      </c>
      <c r="M347" s="132" t="str">
        <f aca="false">IF('Alvaro Leal'!$B27="","",'Alvaro Leal'!$M27)</f>
        <v/>
      </c>
      <c r="N347" s="132" t="str">
        <f aca="false">IF('Alvaro Leal'!$B27="","",'Alvaro Leal'!$N27)</f>
        <v/>
      </c>
      <c r="O347" s="134" t="str">
        <f aca="false">IF('Alvaro Leal'!$B27="","",'Alvaro Leal'!$O27)</f>
        <v/>
      </c>
      <c r="P347" s="132" t="str">
        <f aca="false">IF('Alvaro Leal'!$B27="","",'Alvaro Leal'!$P27)</f>
        <v/>
      </c>
      <c r="Q347" s="131" t="str">
        <f aca="false">IF('Alvaro Leal'!$B27="","","Alvaro Leal")</f>
        <v/>
      </c>
      <c r="R347" s="131" t="n">
        <f aca="true">IF(OR($B347="",$I347="Complete",$L347=""),0,IF($L347&lt;TODAY(),1,0))</f>
        <v>0</v>
      </c>
      <c r="S347" s="131" t="n">
        <f aca="true">IF(OR($B347="",$I347="Complete",$L347=""),0,IF(AND($L347&gt;=TODAY(),$L347&lt;=TODAY()+7),1,0))</f>
        <v>0</v>
      </c>
      <c r="T347" s="131" t="str">
        <f aca="true">IF(OR($B347="",$L347=""),"",$L347-TODAY())</f>
        <v/>
      </c>
      <c r="U347" s="135" t="str">
        <f aca="false">IF($B347="","",IF($I347="Complete",1,IF($J347="",0,$J347)))</f>
        <v/>
      </c>
      <c r="V347" s="131" t="n">
        <f aca="false">IF($B347="",0,IF($N347="",0,1))</f>
        <v>0</v>
      </c>
      <c r="W347" s="131" t="n">
        <f aca="false">IF($B347="",0,1)</f>
        <v>0</v>
      </c>
    </row>
    <row r="348" customFormat="false" ht="15" hidden="false" customHeight="false" outlineLevel="0" collapsed="false">
      <c r="A348" s="131" t="str">
        <f aca="false">IF('Alvaro Leal'!$B28="","",'Alvaro Leal'!$A28)</f>
        <v/>
      </c>
      <c r="B348" s="131" t="str">
        <f aca="false">IF('Alvaro Leal'!$B28="","",'Alvaro Leal'!$B28)</f>
        <v/>
      </c>
      <c r="C348" s="132" t="str">
        <f aca="false">IF('Alvaro Leal'!$B28="","",'Alvaro Leal'!$C28)</f>
        <v/>
      </c>
      <c r="D348" s="132" t="str">
        <f aca="false">IF('Alvaro Leal'!$B28="","",'Alvaro Leal'!$D28)</f>
        <v/>
      </c>
      <c r="E348" s="132" t="str">
        <f aca="false">IF('Alvaro Leal'!$B28="","",'Alvaro Leal'!$E28)</f>
        <v/>
      </c>
      <c r="F348" s="132" t="str">
        <f aca="false">IF('Alvaro Leal'!$B28="","",'Alvaro Leal'!$F28)</f>
        <v/>
      </c>
      <c r="G348" s="132" t="str">
        <f aca="false">IF('Alvaro Leal'!$B28="","",'Alvaro Leal'!$G28)</f>
        <v/>
      </c>
      <c r="H348" s="131" t="str">
        <f aca="false">IF('Alvaro Leal'!$B28="","",'Alvaro Leal'!$H28)</f>
        <v/>
      </c>
      <c r="I348" s="131" t="str">
        <f aca="false">IF('Alvaro Leal'!$B28="","",'Alvaro Leal'!$I28)</f>
        <v/>
      </c>
      <c r="J348" s="133" t="str">
        <f aca="false">IF('Alvaro Leal'!$B28="","",'Alvaro Leal'!$J28)</f>
        <v/>
      </c>
      <c r="K348" s="134" t="str">
        <f aca="false">IF('Alvaro Leal'!$B28="","",'Alvaro Leal'!$K28)</f>
        <v/>
      </c>
      <c r="L348" s="134" t="str">
        <f aca="false">IF('Alvaro Leal'!$B28="","",'Alvaro Leal'!$L28)</f>
        <v/>
      </c>
      <c r="M348" s="132" t="str">
        <f aca="false">IF('Alvaro Leal'!$B28="","",'Alvaro Leal'!$M28)</f>
        <v/>
      </c>
      <c r="N348" s="132" t="str">
        <f aca="false">IF('Alvaro Leal'!$B28="","",'Alvaro Leal'!$N28)</f>
        <v/>
      </c>
      <c r="O348" s="134" t="str">
        <f aca="false">IF('Alvaro Leal'!$B28="","",'Alvaro Leal'!$O28)</f>
        <v/>
      </c>
      <c r="P348" s="132" t="str">
        <f aca="false">IF('Alvaro Leal'!$B28="","",'Alvaro Leal'!$P28)</f>
        <v/>
      </c>
      <c r="Q348" s="131" t="str">
        <f aca="false">IF('Alvaro Leal'!$B28="","","Alvaro Leal")</f>
        <v/>
      </c>
      <c r="R348" s="131" t="n">
        <f aca="true">IF(OR($B348="",$I348="Complete",$L348=""),0,IF($L348&lt;TODAY(),1,0))</f>
        <v>0</v>
      </c>
      <c r="S348" s="131" t="n">
        <f aca="true">IF(OR($B348="",$I348="Complete",$L348=""),0,IF(AND($L348&gt;=TODAY(),$L348&lt;=TODAY()+7),1,0))</f>
        <v>0</v>
      </c>
      <c r="T348" s="131" t="str">
        <f aca="true">IF(OR($B348="",$L348=""),"",$L348-TODAY())</f>
        <v/>
      </c>
      <c r="U348" s="135" t="str">
        <f aca="false">IF($B348="","",IF($I348="Complete",1,IF($J348="",0,$J348)))</f>
        <v/>
      </c>
      <c r="V348" s="131" t="n">
        <f aca="false">IF($B348="",0,IF($N348="",0,1))</f>
        <v>0</v>
      </c>
      <c r="W348" s="131" t="n">
        <f aca="false">IF($B348="",0,1)</f>
        <v>0</v>
      </c>
    </row>
    <row r="349" customFormat="false" ht="15" hidden="false" customHeight="false" outlineLevel="0" collapsed="false">
      <c r="A349" s="131" t="str">
        <f aca="false">IF('Alvaro Leal'!$B29="","",'Alvaro Leal'!$A29)</f>
        <v/>
      </c>
      <c r="B349" s="131" t="str">
        <f aca="false">IF('Alvaro Leal'!$B29="","",'Alvaro Leal'!$B29)</f>
        <v/>
      </c>
      <c r="C349" s="132" t="str">
        <f aca="false">IF('Alvaro Leal'!$B29="","",'Alvaro Leal'!$C29)</f>
        <v/>
      </c>
      <c r="D349" s="132" t="str">
        <f aca="false">IF('Alvaro Leal'!$B29="","",'Alvaro Leal'!$D29)</f>
        <v/>
      </c>
      <c r="E349" s="132" t="str">
        <f aca="false">IF('Alvaro Leal'!$B29="","",'Alvaro Leal'!$E29)</f>
        <v/>
      </c>
      <c r="F349" s="132" t="str">
        <f aca="false">IF('Alvaro Leal'!$B29="","",'Alvaro Leal'!$F29)</f>
        <v/>
      </c>
      <c r="G349" s="132" t="str">
        <f aca="false">IF('Alvaro Leal'!$B29="","",'Alvaro Leal'!$G29)</f>
        <v/>
      </c>
      <c r="H349" s="131" t="str">
        <f aca="false">IF('Alvaro Leal'!$B29="","",'Alvaro Leal'!$H29)</f>
        <v/>
      </c>
      <c r="I349" s="131" t="str">
        <f aca="false">IF('Alvaro Leal'!$B29="","",'Alvaro Leal'!$I29)</f>
        <v/>
      </c>
      <c r="J349" s="133" t="str">
        <f aca="false">IF('Alvaro Leal'!$B29="","",'Alvaro Leal'!$J29)</f>
        <v/>
      </c>
      <c r="K349" s="134" t="str">
        <f aca="false">IF('Alvaro Leal'!$B29="","",'Alvaro Leal'!$K29)</f>
        <v/>
      </c>
      <c r="L349" s="134" t="str">
        <f aca="false">IF('Alvaro Leal'!$B29="","",'Alvaro Leal'!$L29)</f>
        <v/>
      </c>
      <c r="M349" s="132" t="str">
        <f aca="false">IF('Alvaro Leal'!$B29="","",'Alvaro Leal'!$M29)</f>
        <v/>
      </c>
      <c r="N349" s="132" t="str">
        <f aca="false">IF('Alvaro Leal'!$B29="","",'Alvaro Leal'!$N29)</f>
        <v/>
      </c>
      <c r="O349" s="134" t="str">
        <f aca="false">IF('Alvaro Leal'!$B29="","",'Alvaro Leal'!$O29)</f>
        <v/>
      </c>
      <c r="P349" s="132" t="str">
        <f aca="false">IF('Alvaro Leal'!$B29="","",'Alvaro Leal'!$P29)</f>
        <v/>
      </c>
      <c r="Q349" s="131" t="str">
        <f aca="false">IF('Alvaro Leal'!$B29="","","Alvaro Leal")</f>
        <v/>
      </c>
      <c r="R349" s="131" t="n">
        <f aca="true">IF(OR($B349="",$I349="Complete",$L349=""),0,IF($L349&lt;TODAY(),1,0))</f>
        <v>0</v>
      </c>
      <c r="S349" s="131" t="n">
        <f aca="true">IF(OR($B349="",$I349="Complete",$L349=""),0,IF(AND($L349&gt;=TODAY(),$L349&lt;=TODAY()+7),1,0))</f>
        <v>0</v>
      </c>
      <c r="T349" s="131" t="str">
        <f aca="true">IF(OR($B349="",$L349=""),"",$L349-TODAY())</f>
        <v/>
      </c>
      <c r="U349" s="135" t="str">
        <f aca="false">IF($B349="","",IF($I349="Complete",1,IF($J349="",0,$J349)))</f>
        <v/>
      </c>
      <c r="V349" s="131" t="n">
        <f aca="false">IF($B349="",0,IF($N349="",0,1))</f>
        <v>0</v>
      </c>
      <c r="W349" s="131" t="n">
        <f aca="false">IF($B349="",0,1)</f>
        <v>0</v>
      </c>
    </row>
    <row r="350" customFormat="false" ht="15" hidden="false" customHeight="false" outlineLevel="0" collapsed="false">
      <c r="A350" s="131" t="str">
        <f aca="false">IF('Alvaro Leal'!$B30="","",'Alvaro Leal'!$A30)</f>
        <v/>
      </c>
      <c r="B350" s="131" t="str">
        <f aca="false">IF('Alvaro Leal'!$B30="","",'Alvaro Leal'!$B30)</f>
        <v/>
      </c>
      <c r="C350" s="132" t="str">
        <f aca="false">IF('Alvaro Leal'!$B30="","",'Alvaro Leal'!$C30)</f>
        <v/>
      </c>
      <c r="D350" s="132" t="str">
        <f aca="false">IF('Alvaro Leal'!$B30="","",'Alvaro Leal'!$D30)</f>
        <v/>
      </c>
      <c r="E350" s="132" t="str">
        <f aca="false">IF('Alvaro Leal'!$B30="","",'Alvaro Leal'!$E30)</f>
        <v/>
      </c>
      <c r="F350" s="132" t="str">
        <f aca="false">IF('Alvaro Leal'!$B30="","",'Alvaro Leal'!$F30)</f>
        <v/>
      </c>
      <c r="G350" s="132" t="str">
        <f aca="false">IF('Alvaro Leal'!$B30="","",'Alvaro Leal'!$G30)</f>
        <v/>
      </c>
      <c r="H350" s="131" t="str">
        <f aca="false">IF('Alvaro Leal'!$B30="","",'Alvaro Leal'!$H30)</f>
        <v/>
      </c>
      <c r="I350" s="131" t="str">
        <f aca="false">IF('Alvaro Leal'!$B30="","",'Alvaro Leal'!$I30)</f>
        <v/>
      </c>
      <c r="J350" s="133" t="str">
        <f aca="false">IF('Alvaro Leal'!$B30="","",'Alvaro Leal'!$J30)</f>
        <v/>
      </c>
      <c r="K350" s="134" t="str">
        <f aca="false">IF('Alvaro Leal'!$B30="","",'Alvaro Leal'!$K30)</f>
        <v/>
      </c>
      <c r="L350" s="134" t="str">
        <f aca="false">IF('Alvaro Leal'!$B30="","",'Alvaro Leal'!$L30)</f>
        <v/>
      </c>
      <c r="M350" s="132" t="str">
        <f aca="false">IF('Alvaro Leal'!$B30="","",'Alvaro Leal'!$M30)</f>
        <v/>
      </c>
      <c r="N350" s="132" t="str">
        <f aca="false">IF('Alvaro Leal'!$B30="","",'Alvaro Leal'!$N30)</f>
        <v/>
      </c>
      <c r="O350" s="134" t="str">
        <f aca="false">IF('Alvaro Leal'!$B30="","",'Alvaro Leal'!$O30)</f>
        <v/>
      </c>
      <c r="P350" s="132" t="str">
        <f aca="false">IF('Alvaro Leal'!$B30="","",'Alvaro Leal'!$P30)</f>
        <v/>
      </c>
      <c r="Q350" s="131" t="str">
        <f aca="false">IF('Alvaro Leal'!$B30="","","Alvaro Leal")</f>
        <v/>
      </c>
      <c r="R350" s="131" t="n">
        <f aca="true">IF(OR($B350="",$I350="Complete",$L350=""),0,IF($L350&lt;TODAY(),1,0))</f>
        <v>0</v>
      </c>
      <c r="S350" s="131" t="n">
        <f aca="true">IF(OR($B350="",$I350="Complete",$L350=""),0,IF(AND($L350&gt;=TODAY(),$L350&lt;=TODAY()+7),1,0))</f>
        <v>0</v>
      </c>
      <c r="T350" s="131" t="str">
        <f aca="true">IF(OR($B350="",$L350=""),"",$L350-TODAY())</f>
        <v/>
      </c>
      <c r="U350" s="135" t="str">
        <f aca="false">IF($B350="","",IF($I350="Complete",1,IF($J350="",0,$J350)))</f>
        <v/>
      </c>
      <c r="V350" s="131" t="n">
        <f aca="false">IF($B350="",0,IF($N350="",0,1))</f>
        <v>0</v>
      </c>
      <c r="W350" s="131" t="n">
        <f aca="false">IF($B350="",0,1)</f>
        <v>0</v>
      </c>
    </row>
    <row r="351" customFormat="false" ht="15" hidden="false" customHeight="false" outlineLevel="0" collapsed="false">
      <c r="A351" s="131" t="str">
        <f aca="false">IF('Alvaro Leal'!$B31="","",'Alvaro Leal'!$A31)</f>
        <v/>
      </c>
      <c r="B351" s="131" t="str">
        <f aca="false">IF('Alvaro Leal'!$B31="","",'Alvaro Leal'!$B31)</f>
        <v/>
      </c>
      <c r="C351" s="132" t="str">
        <f aca="false">IF('Alvaro Leal'!$B31="","",'Alvaro Leal'!$C31)</f>
        <v/>
      </c>
      <c r="D351" s="132" t="str">
        <f aca="false">IF('Alvaro Leal'!$B31="","",'Alvaro Leal'!$D31)</f>
        <v/>
      </c>
      <c r="E351" s="132" t="str">
        <f aca="false">IF('Alvaro Leal'!$B31="","",'Alvaro Leal'!$E31)</f>
        <v/>
      </c>
      <c r="F351" s="132" t="str">
        <f aca="false">IF('Alvaro Leal'!$B31="","",'Alvaro Leal'!$F31)</f>
        <v/>
      </c>
      <c r="G351" s="132" t="str">
        <f aca="false">IF('Alvaro Leal'!$B31="","",'Alvaro Leal'!$G31)</f>
        <v/>
      </c>
      <c r="H351" s="131" t="str">
        <f aca="false">IF('Alvaro Leal'!$B31="","",'Alvaro Leal'!$H31)</f>
        <v/>
      </c>
      <c r="I351" s="131" t="str">
        <f aca="false">IF('Alvaro Leal'!$B31="","",'Alvaro Leal'!$I31)</f>
        <v/>
      </c>
      <c r="J351" s="133" t="str">
        <f aca="false">IF('Alvaro Leal'!$B31="","",'Alvaro Leal'!$J31)</f>
        <v/>
      </c>
      <c r="K351" s="134" t="str">
        <f aca="false">IF('Alvaro Leal'!$B31="","",'Alvaro Leal'!$K31)</f>
        <v/>
      </c>
      <c r="L351" s="134" t="str">
        <f aca="false">IF('Alvaro Leal'!$B31="","",'Alvaro Leal'!$L31)</f>
        <v/>
      </c>
      <c r="M351" s="132" t="str">
        <f aca="false">IF('Alvaro Leal'!$B31="","",'Alvaro Leal'!$M31)</f>
        <v/>
      </c>
      <c r="N351" s="132" t="str">
        <f aca="false">IF('Alvaro Leal'!$B31="","",'Alvaro Leal'!$N31)</f>
        <v/>
      </c>
      <c r="O351" s="134" t="str">
        <f aca="false">IF('Alvaro Leal'!$B31="","",'Alvaro Leal'!$O31)</f>
        <v/>
      </c>
      <c r="P351" s="132" t="str">
        <f aca="false">IF('Alvaro Leal'!$B31="","",'Alvaro Leal'!$P31)</f>
        <v/>
      </c>
      <c r="Q351" s="131" t="str">
        <f aca="false">IF('Alvaro Leal'!$B31="","","Alvaro Leal")</f>
        <v/>
      </c>
      <c r="R351" s="131" t="n">
        <f aca="true">IF(OR($B351="",$I351="Complete",$L351=""),0,IF($L351&lt;TODAY(),1,0))</f>
        <v>0</v>
      </c>
      <c r="S351" s="131" t="n">
        <f aca="true">IF(OR($B351="",$I351="Complete",$L351=""),0,IF(AND($L351&gt;=TODAY(),$L351&lt;=TODAY()+7),1,0))</f>
        <v>0</v>
      </c>
      <c r="T351" s="131" t="str">
        <f aca="true">IF(OR($B351="",$L351=""),"",$L351-TODAY())</f>
        <v/>
      </c>
      <c r="U351" s="135" t="str">
        <f aca="false">IF($B351="","",IF($I351="Complete",1,IF($J351="",0,$J351)))</f>
        <v/>
      </c>
      <c r="V351" s="131" t="n">
        <f aca="false">IF($B351="",0,IF($N351="",0,1))</f>
        <v>0</v>
      </c>
      <c r="W351" s="131" t="n">
        <f aca="false">IF($B351="",0,1)</f>
        <v>0</v>
      </c>
    </row>
    <row r="352" customFormat="false" ht="15" hidden="false" customHeight="false" outlineLevel="0" collapsed="false">
      <c r="A352" s="131" t="str">
        <f aca="false">IF('Alvaro Leal'!$B32="","",'Alvaro Leal'!$A32)</f>
        <v/>
      </c>
      <c r="B352" s="131" t="str">
        <f aca="false">IF('Alvaro Leal'!$B32="","",'Alvaro Leal'!$B32)</f>
        <v/>
      </c>
      <c r="C352" s="132" t="str">
        <f aca="false">IF('Alvaro Leal'!$B32="","",'Alvaro Leal'!$C32)</f>
        <v/>
      </c>
      <c r="D352" s="132" t="str">
        <f aca="false">IF('Alvaro Leal'!$B32="","",'Alvaro Leal'!$D32)</f>
        <v/>
      </c>
      <c r="E352" s="132" t="str">
        <f aca="false">IF('Alvaro Leal'!$B32="","",'Alvaro Leal'!$E32)</f>
        <v/>
      </c>
      <c r="F352" s="132" t="str">
        <f aca="false">IF('Alvaro Leal'!$B32="","",'Alvaro Leal'!$F32)</f>
        <v/>
      </c>
      <c r="G352" s="132" t="str">
        <f aca="false">IF('Alvaro Leal'!$B32="","",'Alvaro Leal'!$G32)</f>
        <v/>
      </c>
      <c r="H352" s="131" t="str">
        <f aca="false">IF('Alvaro Leal'!$B32="","",'Alvaro Leal'!$H32)</f>
        <v/>
      </c>
      <c r="I352" s="131" t="str">
        <f aca="false">IF('Alvaro Leal'!$B32="","",'Alvaro Leal'!$I32)</f>
        <v/>
      </c>
      <c r="J352" s="133" t="str">
        <f aca="false">IF('Alvaro Leal'!$B32="","",'Alvaro Leal'!$J32)</f>
        <v/>
      </c>
      <c r="K352" s="134" t="str">
        <f aca="false">IF('Alvaro Leal'!$B32="","",'Alvaro Leal'!$K32)</f>
        <v/>
      </c>
      <c r="L352" s="134" t="str">
        <f aca="false">IF('Alvaro Leal'!$B32="","",'Alvaro Leal'!$L32)</f>
        <v/>
      </c>
      <c r="M352" s="132" t="str">
        <f aca="false">IF('Alvaro Leal'!$B32="","",'Alvaro Leal'!$M32)</f>
        <v/>
      </c>
      <c r="N352" s="132" t="str">
        <f aca="false">IF('Alvaro Leal'!$B32="","",'Alvaro Leal'!$N32)</f>
        <v/>
      </c>
      <c r="O352" s="134" t="str">
        <f aca="false">IF('Alvaro Leal'!$B32="","",'Alvaro Leal'!$O32)</f>
        <v/>
      </c>
      <c r="P352" s="132" t="str">
        <f aca="false">IF('Alvaro Leal'!$B32="","",'Alvaro Leal'!$P32)</f>
        <v/>
      </c>
      <c r="Q352" s="131" t="str">
        <f aca="false">IF('Alvaro Leal'!$B32="","","Alvaro Leal")</f>
        <v/>
      </c>
      <c r="R352" s="131" t="n">
        <f aca="true">IF(OR($B352="",$I352="Complete",$L352=""),0,IF($L352&lt;TODAY(),1,0))</f>
        <v>0</v>
      </c>
      <c r="S352" s="131" t="n">
        <f aca="true">IF(OR($B352="",$I352="Complete",$L352=""),0,IF(AND($L352&gt;=TODAY(),$L352&lt;=TODAY()+7),1,0))</f>
        <v>0</v>
      </c>
      <c r="T352" s="131" t="str">
        <f aca="true">IF(OR($B352="",$L352=""),"",$L352-TODAY())</f>
        <v/>
      </c>
      <c r="U352" s="135" t="str">
        <f aca="false">IF($B352="","",IF($I352="Complete",1,IF($J352="",0,$J352)))</f>
        <v/>
      </c>
      <c r="V352" s="131" t="n">
        <f aca="false">IF($B352="",0,IF($N352="",0,1))</f>
        <v>0</v>
      </c>
      <c r="W352" s="131" t="n">
        <f aca="false">IF($B352="",0,1)</f>
        <v>0</v>
      </c>
    </row>
    <row r="353" customFormat="false" ht="15" hidden="false" customHeight="false" outlineLevel="0" collapsed="false">
      <c r="A353" s="131" t="str">
        <f aca="false">IF('Alvaro Leal'!$B33="","",'Alvaro Leal'!$A33)</f>
        <v/>
      </c>
      <c r="B353" s="131" t="str">
        <f aca="false">IF('Alvaro Leal'!$B33="","",'Alvaro Leal'!$B33)</f>
        <v/>
      </c>
      <c r="C353" s="132" t="str">
        <f aca="false">IF('Alvaro Leal'!$B33="","",'Alvaro Leal'!$C33)</f>
        <v/>
      </c>
      <c r="D353" s="132" t="str">
        <f aca="false">IF('Alvaro Leal'!$B33="","",'Alvaro Leal'!$D33)</f>
        <v/>
      </c>
      <c r="E353" s="132" t="str">
        <f aca="false">IF('Alvaro Leal'!$B33="","",'Alvaro Leal'!$E33)</f>
        <v/>
      </c>
      <c r="F353" s="132" t="str">
        <f aca="false">IF('Alvaro Leal'!$B33="","",'Alvaro Leal'!$F33)</f>
        <v/>
      </c>
      <c r="G353" s="132" t="str">
        <f aca="false">IF('Alvaro Leal'!$B33="","",'Alvaro Leal'!$G33)</f>
        <v/>
      </c>
      <c r="H353" s="131" t="str">
        <f aca="false">IF('Alvaro Leal'!$B33="","",'Alvaro Leal'!$H33)</f>
        <v/>
      </c>
      <c r="I353" s="131" t="str">
        <f aca="false">IF('Alvaro Leal'!$B33="","",'Alvaro Leal'!$I33)</f>
        <v/>
      </c>
      <c r="J353" s="133" t="str">
        <f aca="false">IF('Alvaro Leal'!$B33="","",'Alvaro Leal'!$J33)</f>
        <v/>
      </c>
      <c r="K353" s="134" t="str">
        <f aca="false">IF('Alvaro Leal'!$B33="","",'Alvaro Leal'!$K33)</f>
        <v/>
      </c>
      <c r="L353" s="134" t="str">
        <f aca="false">IF('Alvaro Leal'!$B33="","",'Alvaro Leal'!$L33)</f>
        <v/>
      </c>
      <c r="M353" s="132" t="str">
        <f aca="false">IF('Alvaro Leal'!$B33="","",'Alvaro Leal'!$M33)</f>
        <v/>
      </c>
      <c r="N353" s="132" t="str">
        <f aca="false">IF('Alvaro Leal'!$B33="","",'Alvaro Leal'!$N33)</f>
        <v/>
      </c>
      <c r="O353" s="134" t="str">
        <f aca="false">IF('Alvaro Leal'!$B33="","",'Alvaro Leal'!$O33)</f>
        <v/>
      </c>
      <c r="P353" s="132" t="str">
        <f aca="false">IF('Alvaro Leal'!$B33="","",'Alvaro Leal'!$P33)</f>
        <v/>
      </c>
      <c r="Q353" s="131" t="str">
        <f aca="false">IF('Alvaro Leal'!$B33="","","Alvaro Leal")</f>
        <v/>
      </c>
      <c r="R353" s="131" t="n">
        <f aca="true">IF(OR($B353="",$I353="Complete",$L353=""),0,IF($L353&lt;TODAY(),1,0))</f>
        <v>0</v>
      </c>
      <c r="S353" s="131" t="n">
        <f aca="true">IF(OR($B353="",$I353="Complete",$L353=""),0,IF(AND($L353&gt;=TODAY(),$L353&lt;=TODAY()+7),1,0))</f>
        <v>0</v>
      </c>
      <c r="T353" s="131" t="str">
        <f aca="true">IF(OR($B353="",$L353=""),"",$L353-TODAY())</f>
        <v/>
      </c>
      <c r="U353" s="135" t="str">
        <f aca="false">IF($B353="","",IF($I353="Complete",1,IF($J353="",0,$J353)))</f>
        <v/>
      </c>
      <c r="V353" s="131" t="n">
        <f aca="false">IF($B353="",0,IF($N353="",0,1))</f>
        <v>0</v>
      </c>
      <c r="W353" s="131" t="n">
        <f aca="false">IF($B353="",0,1)</f>
        <v>0</v>
      </c>
    </row>
    <row r="354" customFormat="false" ht="15" hidden="false" customHeight="false" outlineLevel="0" collapsed="false">
      <c r="A354" s="131" t="str">
        <f aca="false">IF('Alvaro Leal'!$B34="","",'Alvaro Leal'!$A34)</f>
        <v/>
      </c>
      <c r="B354" s="131" t="str">
        <f aca="false">IF('Alvaro Leal'!$B34="","",'Alvaro Leal'!$B34)</f>
        <v/>
      </c>
      <c r="C354" s="132" t="str">
        <f aca="false">IF('Alvaro Leal'!$B34="","",'Alvaro Leal'!$C34)</f>
        <v/>
      </c>
      <c r="D354" s="132" t="str">
        <f aca="false">IF('Alvaro Leal'!$B34="","",'Alvaro Leal'!$D34)</f>
        <v/>
      </c>
      <c r="E354" s="132" t="str">
        <f aca="false">IF('Alvaro Leal'!$B34="","",'Alvaro Leal'!$E34)</f>
        <v/>
      </c>
      <c r="F354" s="132" t="str">
        <f aca="false">IF('Alvaro Leal'!$B34="","",'Alvaro Leal'!$F34)</f>
        <v/>
      </c>
      <c r="G354" s="132" t="str">
        <f aca="false">IF('Alvaro Leal'!$B34="","",'Alvaro Leal'!$G34)</f>
        <v/>
      </c>
      <c r="H354" s="131" t="str">
        <f aca="false">IF('Alvaro Leal'!$B34="","",'Alvaro Leal'!$H34)</f>
        <v/>
      </c>
      <c r="I354" s="131" t="str">
        <f aca="false">IF('Alvaro Leal'!$B34="","",'Alvaro Leal'!$I34)</f>
        <v/>
      </c>
      <c r="J354" s="133" t="str">
        <f aca="false">IF('Alvaro Leal'!$B34="","",'Alvaro Leal'!$J34)</f>
        <v/>
      </c>
      <c r="K354" s="134" t="str">
        <f aca="false">IF('Alvaro Leal'!$B34="","",'Alvaro Leal'!$K34)</f>
        <v/>
      </c>
      <c r="L354" s="134" t="str">
        <f aca="false">IF('Alvaro Leal'!$B34="","",'Alvaro Leal'!$L34)</f>
        <v/>
      </c>
      <c r="M354" s="132" t="str">
        <f aca="false">IF('Alvaro Leal'!$B34="","",'Alvaro Leal'!$M34)</f>
        <v/>
      </c>
      <c r="N354" s="132" t="str">
        <f aca="false">IF('Alvaro Leal'!$B34="","",'Alvaro Leal'!$N34)</f>
        <v/>
      </c>
      <c r="O354" s="134" t="str">
        <f aca="false">IF('Alvaro Leal'!$B34="","",'Alvaro Leal'!$O34)</f>
        <v/>
      </c>
      <c r="P354" s="132" t="str">
        <f aca="false">IF('Alvaro Leal'!$B34="","",'Alvaro Leal'!$P34)</f>
        <v/>
      </c>
      <c r="Q354" s="131" t="str">
        <f aca="false">IF('Alvaro Leal'!$B34="","","Alvaro Leal")</f>
        <v/>
      </c>
      <c r="R354" s="131" t="n">
        <f aca="true">IF(OR($B354="",$I354="Complete",$L354=""),0,IF($L354&lt;TODAY(),1,0))</f>
        <v>0</v>
      </c>
      <c r="S354" s="131" t="n">
        <f aca="true">IF(OR($B354="",$I354="Complete",$L354=""),0,IF(AND($L354&gt;=TODAY(),$L354&lt;=TODAY()+7),1,0))</f>
        <v>0</v>
      </c>
      <c r="T354" s="131" t="str">
        <f aca="true">IF(OR($B354="",$L354=""),"",$L354-TODAY())</f>
        <v/>
      </c>
      <c r="U354" s="135" t="str">
        <f aca="false">IF($B354="","",IF($I354="Complete",1,IF($J354="",0,$J354)))</f>
        <v/>
      </c>
      <c r="V354" s="131" t="n">
        <f aca="false">IF($B354="",0,IF($N354="",0,1))</f>
        <v>0</v>
      </c>
      <c r="W354" s="131" t="n">
        <f aca="false">IF($B354="",0,1)</f>
        <v>0</v>
      </c>
    </row>
    <row r="355" customFormat="false" ht="15" hidden="false" customHeight="false" outlineLevel="0" collapsed="false">
      <c r="A355" s="131" t="str">
        <f aca="false">IF('Alvaro Leal'!$B35="","",'Alvaro Leal'!$A35)</f>
        <v/>
      </c>
      <c r="B355" s="131" t="str">
        <f aca="false">IF('Alvaro Leal'!$B35="","",'Alvaro Leal'!$B35)</f>
        <v/>
      </c>
      <c r="C355" s="132" t="str">
        <f aca="false">IF('Alvaro Leal'!$B35="","",'Alvaro Leal'!$C35)</f>
        <v/>
      </c>
      <c r="D355" s="132" t="str">
        <f aca="false">IF('Alvaro Leal'!$B35="","",'Alvaro Leal'!$D35)</f>
        <v/>
      </c>
      <c r="E355" s="132" t="str">
        <f aca="false">IF('Alvaro Leal'!$B35="","",'Alvaro Leal'!$E35)</f>
        <v/>
      </c>
      <c r="F355" s="132" t="str">
        <f aca="false">IF('Alvaro Leal'!$B35="","",'Alvaro Leal'!$F35)</f>
        <v/>
      </c>
      <c r="G355" s="132" t="str">
        <f aca="false">IF('Alvaro Leal'!$B35="","",'Alvaro Leal'!$G35)</f>
        <v/>
      </c>
      <c r="H355" s="131" t="str">
        <f aca="false">IF('Alvaro Leal'!$B35="","",'Alvaro Leal'!$H35)</f>
        <v/>
      </c>
      <c r="I355" s="131" t="str">
        <f aca="false">IF('Alvaro Leal'!$B35="","",'Alvaro Leal'!$I35)</f>
        <v/>
      </c>
      <c r="J355" s="133" t="str">
        <f aca="false">IF('Alvaro Leal'!$B35="","",'Alvaro Leal'!$J35)</f>
        <v/>
      </c>
      <c r="K355" s="134" t="str">
        <f aca="false">IF('Alvaro Leal'!$B35="","",'Alvaro Leal'!$K35)</f>
        <v/>
      </c>
      <c r="L355" s="134" t="str">
        <f aca="false">IF('Alvaro Leal'!$B35="","",'Alvaro Leal'!$L35)</f>
        <v/>
      </c>
      <c r="M355" s="132" t="str">
        <f aca="false">IF('Alvaro Leal'!$B35="","",'Alvaro Leal'!$M35)</f>
        <v/>
      </c>
      <c r="N355" s="132" t="str">
        <f aca="false">IF('Alvaro Leal'!$B35="","",'Alvaro Leal'!$N35)</f>
        <v/>
      </c>
      <c r="O355" s="134" t="str">
        <f aca="false">IF('Alvaro Leal'!$B35="","",'Alvaro Leal'!$O35)</f>
        <v/>
      </c>
      <c r="P355" s="132" t="str">
        <f aca="false">IF('Alvaro Leal'!$B35="","",'Alvaro Leal'!$P35)</f>
        <v/>
      </c>
      <c r="Q355" s="131" t="str">
        <f aca="false">IF('Alvaro Leal'!$B35="","","Alvaro Leal")</f>
        <v/>
      </c>
      <c r="R355" s="131" t="n">
        <f aca="true">IF(OR($B355="",$I355="Complete",$L355=""),0,IF($L355&lt;TODAY(),1,0))</f>
        <v>0</v>
      </c>
      <c r="S355" s="131" t="n">
        <f aca="true">IF(OR($B355="",$I355="Complete",$L355=""),0,IF(AND($L355&gt;=TODAY(),$L355&lt;=TODAY()+7),1,0))</f>
        <v>0</v>
      </c>
      <c r="T355" s="131" t="str">
        <f aca="true">IF(OR($B355="",$L355=""),"",$L355-TODAY())</f>
        <v/>
      </c>
      <c r="U355" s="135" t="str">
        <f aca="false">IF($B355="","",IF($I355="Complete",1,IF($J355="",0,$J355)))</f>
        <v/>
      </c>
      <c r="V355" s="131" t="n">
        <f aca="false">IF($B355="",0,IF($N355="",0,1))</f>
        <v>0</v>
      </c>
      <c r="W355" s="131" t="n">
        <f aca="false">IF($B355="",0,1)</f>
        <v>0</v>
      </c>
    </row>
    <row r="356" customFormat="false" ht="15" hidden="false" customHeight="false" outlineLevel="0" collapsed="false">
      <c r="A356" s="131" t="str">
        <f aca="false">IF('Alvaro Leal'!$B36="","",'Alvaro Leal'!$A36)</f>
        <v/>
      </c>
      <c r="B356" s="131" t="str">
        <f aca="false">IF('Alvaro Leal'!$B36="","",'Alvaro Leal'!$B36)</f>
        <v/>
      </c>
      <c r="C356" s="132" t="str">
        <f aca="false">IF('Alvaro Leal'!$B36="","",'Alvaro Leal'!$C36)</f>
        <v/>
      </c>
      <c r="D356" s="132" t="str">
        <f aca="false">IF('Alvaro Leal'!$B36="","",'Alvaro Leal'!$D36)</f>
        <v/>
      </c>
      <c r="E356" s="132" t="str">
        <f aca="false">IF('Alvaro Leal'!$B36="","",'Alvaro Leal'!$E36)</f>
        <v/>
      </c>
      <c r="F356" s="132" t="str">
        <f aca="false">IF('Alvaro Leal'!$B36="","",'Alvaro Leal'!$F36)</f>
        <v/>
      </c>
      <c r="G356" s="132" t="str">
        <f aca="false">IF('Alvaro Leal'!$B36="","",'Alvaro Leal'!$G36)</f>
        <v/>
      </c>
      <c r="H356" s="131" t="str">
        <f aca="false">IF('Alvaro Leal'!$B36="","",'Alvaro Leal'!$H36)</f>
        <v/>
      </c>
      <c r="I356" s="131" t="str">
        <f aca="false">IF('Alvaro Leal'!$B36="","",'Alvaro Leal'!$I36)</f>
        <v/>
      </c>
      <c r="J356" s="133" t="str">
        <f aca="false">IF('Alvaro Leal'!$B36="","",'Alvaro Leal'!$J36)</f>
        <v/>
      </c>
      <c r="K356" s="134" t="str">
        <f aca="false">IF('Alvaro Leal'!$B36="","",'Alvaro Leal'!$K36)</f>
        <v/>
      </c>
      <c r="L356" s="134" t="str">
        <f aca="false">IF('Alvaro Leal'!$B36="","",'Alvaro Leal'!$L36)</f>
        <v/>
      </c>
      <c r="M356" s="132" t="str">
        <f aca="false">IF('Alvaro Leal'!$B36="","",'Alvaro Leal'!$M36)</f>
        <v/>
      </c>
      <c r="N356" s="132" t="str">
        <f aca="false">IF('Alvaro Leal'!$B36="","",'Alvaro Leal'!$N36)</f>
        <v/>
      </c>
      <c r="O356" s="134" t="str">
        <f aca="false">IF('Alvaro Leal'!$B36="","",'Alvaro Leal'!$O36)</f>
        <v/>
      </c>
      <c r="P356" s="132" t="str">
        <f aca="false">IF('Alvaro Leal'!$B36="","",'Alvaro Leal'!$P36)</f>
        <v/>
      </c>
      <c r="Q356" s="131" t="str">
        <f aca="false">IF('Alvaro Leal'!$B36="","","Alvaro Leal")</f>
        <v/>
      </c>
      <c r="R356" s="131" t="n">
        <f aca="true">IF(OR($B356="",$I356="Complete",$L356=""),0,IF($L356&lt;TODAY(),1,0))</f>
        <v>0</v>
      </c>
      <c r="S356" s="131" t="n">
        <f aca="true">IF(OR($B356="",$I356="Complete",$L356=""),0,IF(AND($L356&gt;=TODAY(),$L356&lt;=TODAY()+7),1,0))</f>
        <v>0</v>
      </c>
      <c r="T356" s="131" t="str">
        <f aca="true">IF(OR($B356="",$L356=""),"",$L356-TODAY())</f>
        <v/>
      </c>
      <c r="U356" s="135" t="str">
        <f aca="false">IF($B356="","",IF($I356="Complete",1,IF($J356="",0,$J356)))</f>
        <v/>
      </c>
      <c r="V356" s="131" t="n">
        <f aca="false">IF($B356="",0,IF($N356="",0,1))</f>
        <v>0</v>
      </c>
      <c r="W356" s="131" t="n">
        <f aca="false">IF($B356="",0,1)</f>
        <v>0</v>
      </c>
    </row>
    <row r="357" customFormat="false" ht="15" hidden="false" customHeight="false" outlineLevel="0" collapsed="false">
      <c r="A357" s="131" t="str">
        <f aca="false">IF('Alvaro Leal'!$B37="","",'Alvaro Leal'!$A37)</f>
        <v/>
      </c>
      <c r="B357" s="131" t="str">
        <f aca="false">IF('Alvaro Leal'!$B37="","",'Alvaro Leal'!$B37)</f>
        <v/>
      </c>
      <c r="C357" s="132" t="str">
        <f aca="false">IF('Alvaro Leal'!$B37="","",'Alvaro Leal'!$C37)</f>
        <v/>
      </c>
      <c r="D357" s="132" t="str">
        <f aca="false">IF('Alvaro Leal'!$B37="","",'Alvaro Leal'!$D37)</f>
        <v/>
      </c>
      <c r="E357" s="132" t="str">
        <f aca="false">IF('Alvaro Leal'!$B37="","",'Alvaro Leal'!$E37)</f>
        <v/>
      </c>
      <c r="F357" s="132" t="str">
        <f aca="false">IF('Alvaro Leal'!$B37="","",'Alvaro Leal'!$F37)</f>
        <v/>
      </c>
      <c r="G357" s="132" t="str">
        <f aca="false">IF('Alvaro Leal'!$B37="","",'Alvaro Leal'!$G37)</f>
        <v/>
      </c>
      <c r="H357" s="131" t="str">
        <f aca="false">IF('Alvaro Leal'!$B37="","",'Alvaro Leal'!$H37)</f>
        <v/>
      </c>
      <c r="I357" s="131" t="str">
        <f aca="false">IF('Alvaro Leal'!$B37="","",'Alvaro Leal'!$I37)</f>
        <v/>
      </c>
      <c r="J357" s="133" t="str">
        <f aca="false">IF('Alvaro Leal'!$B37="","",'Alvaro Leal'!$J37)</f>
        <v/>
      </c>
      <c r="K357" s="134" t="str">
        <f aca="false">IF('Alvaro Leal'!$B37="","",'Alvaro Leal'!$K37)</f>
        <v/>
      </c>
      <c r="L357" s="134" t="str">
        <f aca="false">IF('Alvaro Leal'!$B37="","",'Alvaro Leal'!$L37)</f>
        <v/>
      </c>
      <c r="M357" s="132" t="str">
        <f aca="false">IF('Alvaro Leal'!$B37="","",'Alvaro Leal'!$M37)</f>
        <v/>
      </c>
      <c r="N357" s="132" t="str">
        <f aca="false">IF('Alvaro Leal'!$B37="","",'Alvaro Leal'!$N37)</f>
        <v/>
      </c>
      <c r="O357" s="134" t="str">
        <f aca="false">IF('Alvaro Leal'!$B37="","",'Alvaro Leal'!$O37)</f>
        <v/>
      </c>
      <c r="P357" s="132" t="str">
        <f aca="false">IF('Alvaro Leal'!$B37="","",'Alvaro Leal'!$P37)</f>
        <v/>
      </c>
      <c r="Q357" s="131" t="str">
        <f aca="false">IF('Alvaro Leal'!$B37="","","Alvaro Leal")</f>
        <v/>
      </c>
      <c r="R357" s="131" t="n">
        <f aca="true">IF(OR($B357="",$I357="Complete",$L357=""),0,IF($L357&lt;TODAY(),1,0))</f>
        <v>0</v>
      </c>
      <c r="S357" s="131" t="n">
        <f aca="true">IF(OR($B357="",$I357="Complete",$L357=""),0,IF(AND($L357&gt;=TODAY(),$L357&lt;=TODAY()+7),1,0))</f>
        <v>0</v>
      </c>
      <c r="T357" s="131" t="str">
        <f aca="true">IF(OR($B357="",$L357=""),"",$L357-TODAY())</f>
        <v/>
      </c>
      <c r="U357" s="135" t="str">
        <f aca="false">IF($B357="","",IF($I357="Complete",1,IF($J357="",0,$J357)))</f>
        <v/>
      </c>
      <c r="V357" s="131" t="n">
        <f aca="false">IF($B357="",0,IF($N357="",0,1))</f>
        <v>0</v>
      </c>
      <c r="W357" s="131" t="n">
        <f aca="false">IF($B357="",0,1)</f>
        <v>0</v>
      </c>
    </row>
    <row r="358" customFormat="false" ht="15" hidden="false" customHeight="false" outlineLevel="0" collapsed="false">
      <c r="A358" s="131" t="str">
        <f aca="false">IF('Alvaro Leal'!$B38="","",'Alvaro Leal'!$A38)</f>
        <v/>
      </c>
      <c r="B358" s="131" t="str">
        <f aca="false">IF('Alvaro Leal'!$B38="","",'Alvaro Leal'!$B38)</f>
        <v/>
      </c>
      <c r="C358" s="132" t="str">
        <f aca="false">IF('Alvaro Leal'!$B38="","",'Alvaro Leal'!$C38)</f>
        <v/>
      </c>
      <c r="D358" s="132" t="str">
        <f aca="false">IF('Alvaro Leal'!$B38="","",'Alvaro Leal'!$D38)</f>
        <v/>
      </c>
      <c r="E358" s="132" t="str">
        <f aca="false">IF('Alvaro Leal'!$B38="","",'Alvaro Leal'!$E38)</f>
        <v/>
      </c>
      <c r="F358" s="132" t="str">
        <f aca="false">IF('Alvaro Leal'!$B38="","",'Alvaro Leal'!$F38)</f>
        <v/>
      </c>
      <c r="G358" s="132" t="str">
        <f aca="false">IF('Alvaro Leal'!$B38="","",'Alvaro Leal'!$G38)</f>
        <v/>
      </c>
      <c r="H358" s="131" t="str">
        <f aca="false">IF('Alvaro Leal'!$B38="","",'Alvaro Leal'!$H38)</f>
        <v/>
      </c>
      <c r="I358" s="131" t="str">
        <f aca="false">IF('Alvaro Leal'!$B38="","",'Alvaro Leal'!$I38)</f>
        <v/>
      </c>
      <c r="J358" s="133" t="str">
        <f aca="false">IF('Alvaro Leal'!$B38="","",'Alvaro Leal'!$J38)</f>
        <v/>
      </c>
      <c r="K358" s="134" t="str">
        <f aca="false">IF('Alvaro Leal'!$B38="","",'Alvaro Leal'!$K38)</f>
        <v/>
      </c>
      <c r="L358" s="134" t="str">
        <f aca="false">IF('Alvaro Leal'!$B38="","",'Alvaro Leal'!$L38)</f>
        <v/>
      </c>
      <c r="M358" s="132" t="str">
        <f aca="false">IF('Alvaro Leal'!$B38="","",'Alvaro Leal'!$M38)</f>
        <v/>
      </c>
      <c r="N358" s="132" t="str">
        <f aca="false">IF('Alvaro Leal'!$B38="","",'Alvaro Leal'!$N38)</f>
        <v/>
      </c>
      <c r="O358" s="134" t="str">
        <f aca="false">IF('Alvaro Leal'!$B38="","",'Alvaro Leal'!$O38)</f>
        <v/>
      </c>
      <c r="P358" s="132" t="str">
        <f aca="false">IF('Alvaro Leal'!$B38="","",'Alvaro Leal'!$P38)</f>
        <v/>
      </c>
      <c r="Q358" s="131" t="str">
        <f aca="false">IF('Alvaro Leal'!$B38="","","Alvaro Leal")</f>
        <v/>
      </c>
      <c r="R358" s="131" t="n">
        <f aca="true">IF(OR($B358="",$I358="Complete",$L358=""),0,IF($L358&lt;TODAY(),1,0))</f>
        <v>0</v>
      </c>
      <c r="S358" s="131" t="n">
        <f aca="true">IF(OR($B358="",$I358="Complete",$L358=""),0,IF(AND($L358&gt;=TODAY(),$L358&lt;=TODAY()+7),1,0))</f>
        <v>0</v>
      </c>
      <c r="T358" s="131" t="str">
        <f aca="true">IF(OR($B358="",$L358=""),"",$L358-TODAY())</f>
        <v/>
      </c>
      <c r="U358" s="135" t="str">
        <f aca="false">IF($B358="","",IF($I358="Complete",1,IF($J358="",0,$J358)))</f>
        <v/>
      </c>
      <c r="V358" s="131" t="n">
        <f aca="false">IF($B358="",0,IF($N358="",0,1))</f>
        <v>0</v>
      </c>
      <c r="W358" s="131" t="n">
        <f aca="false">IF($B358="",0,1)</f>
        <v>0</v>
      </c>
    </row>
    <row r="359" customFormat="false" ht="15" hidden="false" customHeight="false" outlineLevel="0" collapsed="false">
      <c r="A359" s="131" t="str">
        <f aca="false">IF('Alvaro Leal'!$B39="","",'Alvaro Leal'!$A39)</f>
        <v/>
      </c>
      <c r="B359" s="131" t="str">
        <f aca="false">IF('Alvaro Leal'!$B39="","",'Alvaro Leal'!$B39)</f>
        <v/>
      </c>
      <c r="C359" s="132" t="str">
        <f aca="false">IF('Alvaro Leal'!$B39="","",'Alvaro Leal'!$C39)</f>
        <v/>
      </c>
      <c r="D359" s="132" t="str">
        <f aca="false">IF('Alvaro Leal'!$B39="","",'Alvaro Leal'!$D39)</f>
        <v/>
      </c>
      <c r="E359" s="132" t="str">
        <f aca="false">IF('Alvaro Leal'!$B39="","",'Alvaro Leal'!$E39)</f>
        <v/>
      </c>
      <c r="F359" s="132" t="str">
        <f aca="false">IF('Alvaro Leal'!$B39="","",'Alvaro Leal'!$F39)</f>
        <v/>
      </c>
      <c r="G359" s="132" t="str">
        <f aca="false">IF('Alvaro Leal'!$B39="","",'Alvaro Leal'!$G39)</f>
        <v/>
      </c>
      <c r="H359" s="131" t="str">
        <f aca="false">IF('Alvaro Leal'!$B39="","",'Alvaro Leal'!$H39)</f>
        <v/>
      </c>
      <c r="I359" s="131" t="str">
        <f aca="false">IF('Alvaro Leal'!$B39="","",'Alvaro Leal'!$I39)</f>
        <v/>
      </c>
      <c r="J359" s="133" t="str">
        <f aca="false">IF('Alvaro Leal'!$B39="","",'Alvaro Leal'!$J39)</f>
        <v/>
      </c>
      <c r="K359" s="134" t="str">
        <f aca="false">IF('Alvaro Leal'!$B39="","",'Alvaro Leal'!$K39)</f>
        <v/>
      </c>
      <c r="L359" s="134" t="str">
        <f aca="false">IF('Alvaro Leal'!$B39="","",'Alvaro Leal'!$L39)</f>
        <v/>
      </c>
      <c r="M359" s="132" t="str">
        <f aca="false">IF('Alvaro Leal'!$B39="","",'Alvaro Leal'!$M39)</f>
        <v/>
      </c>
      <c r="N359" s="132" t="str">
        <f aca="false">IF('Alvaro Leal'!$B39="","",'Alvaro Leal'!$N39)</f>
        <v/>
      </c>
      <c r="O359" s="134" t="str">
        <f aca="false">IF('Alvaro Leal'!$B39="","",'Alvaro Leal'!$O39)</f>
        <v/>
      </c>
      <c r="P359" s="132" t="str">
        <f aca="false">IF('Alvaro Leal'!$B39="","",'Alvaro Leal'!$P39)</f>
        <v/>
      </c>
      <c r="Q359" s="131" t="str">
        <f aca="false">IF('Alvaro Leal'!$B39="","","Alvaro Leal")</f>
        <v/>
      </c>
      <c r="R359" s="131" t="n">
        <f aca="true">IF(OR($B359="",$I359="Complete",$L359=""),0,IF($L359&lt;TODAY(),1,0))</f>
        <v>0</v>
      </c>
      <c r="S359" s="131" t="n">
        <f aca="true">IF(OR($B359="",$I359="Complete",$L359=""),0,IF(AND($L359&gt;=TODAY(),$L359&lt;=TODAY()+7),1,0))</f>
        <v>0</v>
      </c>
      <c r="T359" s="131" t="str">
        <f aca="true">IF(OR($B359="",$L359=""),"",$L359-TODAY())</f>
        <v/>
      </c>
      <c r="U359" s="135" t="str">
        <f aca="false">IF($B359="","",IF($I359="Complete",1,IF($J359="",0,$J359)))</f>
        <v/>
      </c>
      <c r="V359" s="131" t="n">
        <f aca="false">IF($B359="",0,IF($N359="",0,1))</f>
        <v>0</v>
      </c>
      <c r="W359" s="131" t="n">
        <f aca="false">IF($B359="",0,1)</f>
        <v>0</v>
      </c>
    </row>
    <row r="360" customFormat="false" ht="15" hidden="false" customHeight="false" outlineLevel="0" collapsed="false">
      <c r="A360" s="131" t="str">
        <f aca="false">IF('Alvaro Leal'!$B40="","",'Alvaro Leal'!$A40)</f>
        <v/>
      </c>
      <c r="B360" s="131" t="str">
        <f aca="false">IF('Alvaro Leal'!$B40="","",'Alvaro Leal'!$B40)</f>
        <v/>
      </c>
      <c r="C360" s="132" t="str">
        <f aca="false">IF('Alvaro Leal'!$B40="","",'Alvaro Leal'!$C40)</f>
        <v/>
      </c>
      <c r="D360" s="132" t="str">
        <f aca="false">IF('Alvaro Leal'!$B40="","",'Alvaro Leal'!$D40)</f>
        <v/>
      </c>
      <c r="E360" s="132" t="str">
        <f aca="false">IF('Alvaro Leal'!$B40="","",'Alvaro Leal'!$E40)</f>
        <v/>
      </c>
      <c r="F360" s="132" t="str">
        <f aca="false">IF('Alvaro Leal'!$B40="","",'Alvaro Leal'!$F40)</f>
        <v/>
      </c>
      <c r="G360" s="132" t="str">
        <f aca="false">IF('Alvaro Leal'!$B40="","",'Alvaro Leal'!$G40)</f>
        <v/>
      </c>
      <c r="H360" s="131" t="str">
        <f aca="false">IF('Alvaro Leal'!$B40="","",'Alvaro Leal'!$H40)</f>
        <v/>
      </c>
      <c r="I360" s="131" t="str">
        <f aca="false">IF('Alvaro Leal'!$B40="","",'Alvaro Leal'!$I40)</f>
        <v/>
      </c>
      <c r="J360" s="133" t="str">
        <f aca="false">IF('Alvaro Leal'!$B40="","",'Alvaro Leal'!$J40)</f>
        <v/>
      </c>
      <c r="K360" s="134" t="str">
        <f aca="false">IF('Alvaro Leal'!$B40="","",'Alvaro Leal'!$K40)</f>
        <v/>
      </c>
      <c r="L360" s="134" t="str">
        <f aca="false">IF('Alvaro Leal'!$B40="","",'Alvaro Leal'!$L40)</f>
        <v/>
      </c>
      <c r="M360" s="132" t="str">
        <f aca="false">IF('Alvaro Leal'!$B40="","",'Alvaro Leal'!$M40)</f>
        <v/>
      </c>
      <c r="N360" s="132" t="str">
        <f aca="false">IF('Alvaro Leal'!$B40="","",'Alvaro Leal'!$N40)</f>
        <v/>
      </c>
      <c r="O360" s="134" t="str">
        <f aca="false">IF('Alvaro Leal'!$B40="","",'Alvaro Leal'!$O40)</f>
        <v/>
      </c>
      <c r="P360" s="132" t="str">
        <f aca="false">IF('Alvaro Leal'!$B40="","",'Alvaro Leal'!$P40)</f>
        <v/>
      </c>
      <c r="Q360" s="131" t="str">
        <f aca="false">IF('Alvaro Leal'!$B40="","","Alvaro Leal")</f>
        <v/>
      </c>
      <c r="R360" s="131" t="n">
        <f aca="true">IF(OR($B360="",$I360="Complete",$L360=""),0,IF($L360&lt;TODAY(),1,0))</f>
        <v>0</v>
      </c>
      <c r="S360" s="131" t="n">
        <f aca="true">IF(OR($B360="",$I360="Complete",$L360=""),0,IF(AND($L360&gt;=TODAY(),$L360&lt;=TODAY()+7),1,0))</f>
        <v>0</v>
      </c>
      <c r="T360" s="131" t="str">
        <f aca="true">IF(OR($B360="",$L360=""),"",$L360-TODAY())</f>
        <v/>
      </c>
      <c r="U360" s="135" t="str">
        <f aca="false">IF($B360="","",IF($I360="Complete",1,IF($J360="",0,$J360)))</f>
        <v/>
      </c>
      <c r="V360" s="131" t="n">
        <f aca="false">IF($B360="",0,IF($N360="",0,1))</f>
        <v>0</v>
      </c>
      <c r="W360" s="131" t="n">
        <f aca="false">IF($B360="",0,1)</f>
        <v>0</v>
      </c>
    </row>
    <row r="361" customFormat="false" ht="15" hidden="false" customHeight="false" outlineLevel="0" collapsed="false">
      <c r="A361" s="131" t="str">
        <f aca="false">IF('Alvaro Leal'!$B41="","",'Alvaro Leal'!$A41)</f>
        <v/>
      </c>
      <c r="B361" s="131" t="str">
        <f aca="false">IF('Alvaro Leal'!$B41="","",'Alvaro Leal'!$B41)</f>
        <v/>
      </c>
      <c r="C361" s="132" t="str">
        <f aca="false">IF('Alvaro Leal'!$B41="","",'Alvaro Leal'!$C41)</f>
        <v/>
      </c>
      <c r="D361" s="132" t="str">
        <f aca="false">IF('Alvaro Leal'!$B41="","",'Alvaro Leal'!$D41)</f>
        <v/>
      </c>
      <c r="E361" s="132" t="str">
        <f aca="false">IF('Alvaro Leal'!$B41="","",'Alvaro Leal'!$E41)</f>
        <v/>
      </c>
      <c r="F361" s="132" t="str">
        <f aca="false">IF('Alvaro Leal'!$B41="","",'Alvaro Leal'!$F41)</f>
        <v/>
      </c>
      <c r="G361" s="132" t="str">
        <f aca="false">IF('Alvaro Leal'!$B41="","",'Alvaro Leal'!$G41)</f>
        <v/>
      </c>
      <c r="H361" s="131" t="str">
        <f aca="false">IF('Alvaro Leal'!$B41="","",'Alvaro Leal'!$H41)</f>
        <v/>
      </c>
      <c r="I361" s="131" t="str">
        <f aca="false">IF('Alvaro Leal'!$B41="","",'Alvaro Leal'!$I41)</f>
        <v/>
      </c>
      <c r="J361" s="133" t="str">
        <f aca="false">IF('Alvaro Leal'!$B41="","",'Alvaro Leal'!$J41)</f>
        <v/>
      </c>
      <c r="K361" s="134" t="str">
        <f aca="false">IF('Alvaro Leal'!$B41="","",'Alvaro Leal'!$K41)</f>
        <v/>
      </c>
      <c r="L361" s="134" t="str">
        <f aca="false">IF('Alvaro Leal'!$B41="","",'Alvaro Leal'!$L41)</f>
        <v/>
      </c>
      <c r="M361" s="132" t="str">
        <f aca="false">IF('Alvaro Leal'!$B41="","",'Alvaro Leal'!$M41)</f>
        <v/>
      </c>
      <c r="N361" s="132" t="str">
        <f aca="false">IF('Alvaro Leal'!$B41="","",'Alvaro Leal'!$N41)</f>
        <v/>
      </c>
      <c r="O361" s="134" t="str">
        <f aca="false">IF('Alvaro Leal'!$B41="","",'Alvaro Leal'!$O41)</f>
        <v/>
      </c>
      <c r="P361" s="132" t="str">
        <f aca="false">IF('Alvaro Leal'!$B41="","",'Alvaro Leal'!$P41)</f>
        <v/>
      </c>
      <c r="Q361" s="131" t="str">
        <f aca="false">IF('Alvaro Leal'!$B41="","","Alvaro Leal")</f>
        <v/>
      </c>
      <c r="R361" s="131" t="n">
        <f aca="true">IF(OR($B361="",$I361="Complete",$L361=""),0,IF($L361&lt;TODAY(),1,0))</f>
        <v>0</v>
      </c>
      <c r="S361" s="131" t="n">
        <f aca="true">IF(OR($B361="",$I361="Complete",$L361=""),0,IF(AND($L361&gt;=TODAY(),$L361&lt;=TODAY()+7),1,0))</f>
        <v>0</v>
      </c>
      <c r="T361" s="131" t="str">
        <f aca="true">IF(OR($B361="",$L361=""),"",$L361-TODAY())</f>
        <v/>
      </c>
      <c r="U361" s="135" t="str">
        <f aca="false">IF($B361="","",IF($I361="Complete",1,IF($J361="",0,$J361)))</f>
        <v/>
      </c>
      <c r="V361" s="131" t="n">
        <f aca="false">IF($B361="",0,IF($N361="",0,1))</f>
        <v>0</v>
      </c>
      <c r="W361" s="131" t="n">
        <f aca="false">IF($B361="",0,1)</f>
        <v>0</v>
      </c>
    </row>
    <row r="362" customFormat="false" ht="15" hidden="false" customHeight="false" outlineLevel="0" collapsed="false">
      <c r="A362" s="131" t="str">
        <f aca="false">IF('Alvaro Leal'!$B42="","",'Alvaro Leal'!$A42)</f>
        <v/>
      </c>
      <c r="B362" s="131" t="str">
        <f aca="false">IF('Alvaro Leal'!$B42="","",'Alvaro Leal'!$B42)</f>
        <v/>
      </c>
      <c r="C362" s="132" t="str">
        <f aca="false">IF('Alvaro Leal'!$B42="","",'Alvaro Leal'!$C42)</f>
        <v/>
      </c>
      <c r="D362" s="132" t="str">
        <f aca="false">IF('Alvaro Leal'!$B42="","",'Alvaro Leal'!$D42)</f>
        <v/>
      </c>
      <c r="E362" s="132" t="str">
        <f aca="false">IF('Alvaro Leal'!$B42="","",'Alvaro Leal'!$E42)</f>
        <v/>
      </c>
      <c r="F362" s="132" t="str">
        <f aca="false">IF('Alvaro Leal'!$B42="","",'Alvaro Leal'!$F42)</f>
        <v/>
      </c>
      <c r="G362" s="132" t="str">
        <f aca="false">IF('Alvaro Leal'!$B42="","",'Alvaro Leal'!$G42)</f>
        <v/>
      </c>
      <c r="H362" s="131" t="str">
        <f aca="false">IF('Alvaro Leal'!$B42="","",'Alvaro Leal'!$H42)</f>
        <v/>
      </c>
      <c r="I362" s="131" t="str">
        <f aca="false">IF('Alvaro Leal'!$B42="","",'Alvaro Leal'!$I42)</f>
        <v/>
      </c>
      <c r="J362" s="133" t="str">
        <f aca="false">IF('Alvaro Leal'!$B42="","",'Alvaro Leal'!$J42)</f>
        <v/>
      </c>
      <c r="K362" s="134" t="str">
        <f aca="false">IF('Alvaro Leal'!$B42="","",'Alvaro Leal'!$K42)</f>
        <v/>
      </c>
      <c r="L362" s="134" t="str">
        <f aca="false">IF('Alvaro Leal'!$B42="","",'Alvaro Leal'!$L42)</f>
        <v/>
      </c>
      <c r="M362" s="132" t="str">
        <f aca="false">IF('Alvaro Leal'!$B42="","",'Alvaro Leal'!$M42)</f>
        <v/>
      </c>
      <c r="N362" s="132" t="str">
        <f aca="false">IF('Alvaro Leal'!$B42="","",'Alvaro Leal'!$N42)</f>
        <v/>
      </c>
      <c r="O362" s="134" t="str">
        <f aca="false">IF('Alvaro Leal'!$B42="","",'Alvaro Leal'!$O42)</f>
        <v/>
      </c>
      <c r="P362" s="132" t="str">
        <f aca="false">IF('Alvaro Leal'!$B42="","",'Alvaro Leal'!$P42)</f>
        <v/>
      </c>
      <c r="Q362" s="131" t="str">
        <f aca="false">IF('Alvaro Leal'!$B42="","","Alvaro Leal")</f>
        <v/>
      </c>
      <c r="R362" s="131" t="n">
        <f aca="true">IF(OR($B362="",$I362="Complete",$L362=""),0,IF($L362&lt;TODAY(),1,0))</f>
        <v>0</v>
      </c>
      <c r="S362" s="131" t="n">
        <f aca="true">IF(OR($B362="",$I362="Complete",$L362=""),0,IF(AND($L362&gt;=TODAY(),$L362&lt;=TODAY()+7),1,0))</f>
        <v>0</v>
      </c>
      <c r="T362" s="131" t="str">
        <f aca="true">IF(OR($B362="",$L362=""),"",$L362-TODAY())</f>
        <v/>
      </c>
      <c r="U362" s="135" t="str">
        <f aca="false">IF($B362="","",IF($I362="Complete",1,IF($J362="",0,$J362)))</f>
        <v/>
      </c>
      <c r="V362" s="131" t="n">
        <f aca="false">IF($B362="",0,IF($N362="",0,1))</f>
        <v>0</v>
      </c>
      <c r="W362" s="131" t="n">
        <f aca="false">IF($B362="",0,1)</f>
        <v>0</v>
      </c>
    </row>
    <row r="363" customFormat="false" ht="15" hidden="false" customHeight="false" outlineLevel="0" collapsed="false">
      <c r="A363" s="131" t="str">
        <f aca="false">IF('Alvaro Leal'!$B43="","",'Alvaro Leal'!$A43)</f>
        <v/>
      </c>
      <c r="B363" s="131" t="str">
        <f aca="false">IF('Alvaro Leal'!$B43="","",'Alvaro Leal'!$B43)</f>
        <v/>
      </c>
      <c r="C363" s="132" t="str">
        <f aca="false">IF('Alvaro Leal'!$B43="","",'Alvaro Leal'!$C43)</f>
        <v/>
      </c>
      <c r="D363" s="132" t="str">
        <f aca="false">IF('Alvaro Leal'!$B43="","",'Alvaro Leal'!$D43)</f>
        <v/>
      </c>
      <c r="E363" s="132" t="str">
        <f aca="false">IF('Alvaro Leal'!$B43="","",'Alvaro Leal'!$E43)</f>
        <v/>
      </c>
      <c r="F363" s="132" t="str">
        <f aca="false">IF('Alvaro Leal'!$B43="","",'Alvaro Leal'!$F43)</f>
        <v/>
      </c>
      <c r="G363" s="132" t="str">
        <f aca="false">IF('Alvaro Leal'!$B43="","",'Alvaro Leal'!$G43)</f>
        <v/>
      </c>
      <c r="H363" s="131" t="str">
        <f aca="false">IF('Alvaro Leal'!$B43="","",'Alvaro Leal'!$H43)</f>
        <v/>
      </c>
      <c r="I363" s="131" t="str">
        <f aca="false">IF('Alvaro Leal'!$B43="","",'Alvaro Leal'!$I43)</f>
        <v/>
      </c>
      <c r="J363" s="133" t="str">
        <f aca="false">IF('Alvaro Leal'!$B43="","",'Alvaro Leal'!$J43)</f>
        <v/>
      </c>
      <c r="K363" s="134" t="str">
        <f aca="false">IF('Alvaro Leal'!$B43="","",'Alvaro Leal'!$K43)</f>
        <v/>
      </c>
      <c r="L363" s="134" t="str">
        <f aca="false">IF('Alvaro Leal'!$B43="","",'Alvaro Leal'!$L43)</f>
        <v/>
      </c>
      <c r="M363" s="132" t="str">
        <f aca="false">IF('Alvaro Leal'!$B43="","",'Alvaro Leal'!$M43)</f>
        <v/>
      </c>
      <c r="N363" s="132" t="str">
        <f aca="false">IF('Alvaro Leal'!$B43="","",'Alvaro Leal'!$N43)</f>
        <v/>
      </c>
      <c r="O363" s="134" t="str">
        <f aca="false">IF('Alvaro Leal'!$B43="","",'Alvaro Leal'!$O43)</f>
        <v/>
      </c>
      <c r="P363" s="132" t="str">
        <f aca="false">IF('Alvaro Leal'!$B43="","",'Alvaro Leal'!$P43)</f>
        <v/>
      </c>
      <c r="Q363" s="131" t="str">
        <f aca="false">IF('Alvaro Leal'!$B43="","","Alvaro Leal")</f>
        <v/>
      </c>
      <c r="R363" s="131" t="n">
        <f aca="true">IF(OR($B363="",$I363="Complete",$L363=""),0,IF($L363&lt;TODAY(),1,0))</f>
        <v>0</v>
      </c>
      <c r="S363" s="131" t="n">
        <f aca="true">IF(OR($B363="",$I363="Complete",$L363=""),0,IF(AND($L363&gt;=TODAY(),$L363&lt;=TODAY()+7),1,0))</f>
        <v>0</v>
      </c>
      <c r="T363" s="131" t="str">
        <f aca="true">IF(OR($B363="",$L363=""),"",$L363-TODAY())</f>
        <v/>
      </c>
      <c r="U363" s="135" t="str">
        <f aca="false">IF($B363="","",IF($I363="Complete",1,IF($J363="",0,$J363)))</f>
        <v/>
      </c>
      <c r="V363" s="131" t="n">
        <f aca="false">IF($B363="",0,IF($N363="",0,1))</f>
        <v>0</v>
      </c>
      <c r="W363" s="131" t="n">
        <f aca="false">IF($B363="",0,1)</f>
        <v>0</v>
      </c>
    </row>
    <row r="364" customFormat="false" ht="15" hidden="false" customHeight="false" outlineLevel="0" collapsed="false">
      <c r="A364" s="131" t="str">
        <f aca="false">IF('Alvaro Leal'!$B44="","",'Alvaro Leal'!$A44)</f>
        <v/>
      </c>
      <c r="B364" s="131" t="str">
        <f aca="false">IF('Alvaro Leal'!$B44="","",'Alvaro Leal'!$B44)</f>
        <v/>
      </c>
      <c r="C364" s="132" t="str">
        <f aca="false">IF('Alvaro Leal'!$B44="","",'Alvaro Leal'!$C44)</f>
        <v/>
      </c>
      <c r="D364" s="132" t="str">
        <f aca="false">IF('Alvaro Leal'!$B44="","",'Alvaro Leal'!$D44)</f>
        <v/>
      </c>
      <c r="E364" s="132" t="str">
        <f aca="false">IF('Alvaro Leal'!$B44="","",'Alvaro Leal'!$E44)</f>
        <v/>
      </c>
      <c r="F364" s="132" t="str">
        <f aca="false">IF('Alvaro Leal'!$B44="","",'Alvaro Leal'!$F44)</f>
        <v/>
      </c>
      <c r="G364" s="132" t="str">
        <f aca="false">IF('Alvaro Leal'!$B44="","",'Alvaro Leal'!$G44)</f>
        <v/>
      </c>
      <c r="H364" s="131" t="str">
        <f aca="false">IF('Alvaro Leal'!$B44="","",'Alvaro Leal'!$H44)</f>
        <v/>
      </c>
      <c r="I364" s="131" t="str">
        <f aca="false">IF('Alvaro Leal'!$B44="","",'Alvaro Leal'!$I44)</f>
        <v/>
      </c>
      <c r="J364" s="133" t="str">
        <f aca="false">IF('Alvaro Leal'!$B44="","",'Alvaro Leal'!$J44)</f>
        <v/>
      </c>
      <c r="K364" s="134" t="str">
        <f aca="false">IF('Alvaro Leal'!$B44="","",'Alvaro Leal'!$K44)</f>
        <v/>
      </c>
      <c r="L364" s="134" t="str">
        <f aca="false">IF('Alvaro Leal'!$B44="","",'Alvaro Leal'!$L44)</f>
        <v/>
      </c>
      <c r="M364" s="132" t="str">
        <f aca="false">IF('Alvaro Leal'!$B44="","",'Alvaro Leal'!$M44)</f>
        <v/>
      </c>
      <c r="N364" s="132" t="str">
        <f aca="false">IF('Alvaro Leal'!$B44="","",'Alvaro Leal'!$N44)</f>
        <v/>
      </c>
      <c r="O364" s="134" t="str">
        <f aca="false">IF('Alvaro Leal'!$B44="","",'Alvaro Leal'!$O44)</f>
        <v/>
      </c>
      <c r="P364" s="132" t="str">
        <f aca="false">IF('Alvaro Leal'!$B44="","",'Alvaro Leal'!$P44)</f>
        <v/>
      </c>
      <c r="Q364" s="131" t="str">
        <f aca="false">IF('Alvaro Leal'!$B44="","","Alvaro Leal")</f>
        <v/>
      </c>
      <c r="R364" s="131" t="n">
        <f aca="true">IF(OR($B364="",$I364="Complete",$L364=""),0,IF($L364&lt;TODAY(),1,0))</f>
        <v>0</v>
      </c>
      <c r="S364" s="131" t="n">
        <f aca="true">IF(OR($B364="",$I364="Complete",$L364=""),0,IF(AND($L364&gt;=TODAY(),$L364&lt;=TODAY()+7),1,0))</f>
        <v>0</v>
      </c>
      <c r="T364" s="131" t="str">
        <f aca="true">IF(OR($B364="",$L364=""),"",$L364-TODAY())</f>
        <v/>
      </c>
      <c r="U364" s="135" t="str">
        <f aca="false">IF($B364="","",IF($I364="Complete",1,IF($J364="",0,$J364)))</f>
        <v/>
      </c>
      <c r="V364" s="131" t="n">
        <f aca="false">IF($B364="",0,IF($N364="",0,1))</f>
        <v>0</v>
      </c>
      <c r="W364" s="131" t="n">
        <f aca="false">IF($B364="",0,1)</f>
        <v>0</v>
      </c>
    </row>
    <row r="365" customFormat="false" ht="19.4" hidden="false" customHeight="false" outlineLevel="0" collapsed="false">
      <c r="A365" s="131" t="str">
        <f aca="false">IF('Cassidy Ford'!$B5="","",'Cassidy Ford'!$A5)</f>
        <v>CF-001</v>
      </c>
      <c r="B365" s="131" t="str">
        <f aca="false">IF('Cassidy Ford'!$B5="","",'Cassidy Ford'!$B5)</f>
        <v>P1-1</v>
      </c>
      <c r="C365" s="132" t="str">
        <f aca="false">IF('Cassidy Ford'!$B5="","",'Cassidy Ford'!$C5)</f>
        <v>1 – Unified Development System</v>
      </c>
      <c r="D365" s="132" t="str">
        <f aca="false">IF('Cassidy Ford'!$B5="","",'Cassidy Ford'!$D5)</f>
        <v>Implement standardized Mutual Evaluation Process (MEP) across all brands</v>
      </c>
      <c r="E365" s="132" t="str">
        <f aca="false">IF('Cassidy Ford'!$B5="","",'Cassidy Ford'!$E5)</f>
        <v>Cassidy Ford</v>
      </c>
      <c r="F365" s="132" t="str">
        <f aca="false">IF('Cassidy Ford'!$B5="","",'Cassidy Ford'!$F5)</f>
        <v>Contributor</v>
      </c>
      <c r="G365" s="132" t="str">
        <f aca="false">IF('Cassidy Ford'!$B5="","",'Cassidy Ford'!$G5)</f>
        <v>Training Section 1-3 in Fran Dev 101</v>
      </c>
      <c r="H365" s="131" t="str">
        <f aca="false">IF('Cassidy Ford'!$B5="","",'Cassidy Ford'!$H5)</f>
        <v>Medium</v>
      </c>
      <c r="I365" s="131" t="str">
        <f aca="false">IF('Cassidy Ford'!$B5="","",'Cassidy Ford'!$I5)</f>
        <v>In Progress</v>
      </c>
      <c r="J365" s="133" t="n">
        <f aca="false">IF('Cassidy Ford'!$B5="","",'Cassidy Ford'!$J5)</f>
        <v>0.5</v>
      </c>
      <c r="K365" s="134" t="n">
        <f aca="false">IF('Cassidy Ford'!$B5="","",'Cassidy Ford'!$K5)</f>
        <v>46162</v>
      </c>
      <c r="L365" s="134" t="n">
        <f aca="false">IF('Cassidy Ford'!$B5="","",'Cassidy Ford'!$L5)</f>
        <v>46186</v>
      </c>
      <c r="M365" s="132" t="n">
        <f aca="false">IF('Cassidy Ford'!$B5="","",'Cassidy Ford'!$M5)</f>
        <v>0</v>
      </c>
      <c r="N365" s="132" t="n">
        <f aca="false">IF('Cassidy Ford'!$B5="","",'Cassidy Ford'!$N5)</f>
        <v>0</v>
      </c>
      <c r="O365" s="134" t="str">
        <f aca="false">IF('Cassidy Ford'!$B5="","",'Cassidy Ford'!$O5)</f>
        <v>Assigned 5/20</v>
      </c>
      <c r="P365" s="132" t="str">
        <f aca="false">IF('Cassidy Ford'!$B5="","",'Cassidy Ford'!$P5)</f>
        <v>Complete sections 2-3</v>
      </c>
      <c r="Q365" s="131" t="str">
        <f aca="false">IF('Cassidy Ford'!$B5="","","Cassidy Ford")</f>
        <v>Cassidy Ford</v>
      </c>
      <c r="R365" s="131" t="n">
        <f aca="true">IF(OR($B365="",$I365="Complete",$L365=""),0,IF($L365&lt;TODAY(),1,0))</f>
        <v>0</v>
      </c>
      <c r="S365" s="131" t="n">
        <f aca="true">IF(OR($B365="",$I365="Complete",$L365=""),0,IF(AND($L365&gt;=TODAY(),$L365&lt;=TODAY()+7),1,0))</f>
        <v>0</v>
      </c>
      <c r="T365" s="131" t="n">
        <f aca="true">IF(OR($B365="",$L365=""),"",$L365-TODAY())</f>
        <v>16</v>
      </c>
      <c r="U365" s="135" t="n">
        <f aca="false">IF($B365="","",IF($I365="Complete",1,IF($J365="",0,$J365)))</f>
        <v>0.5</v>
      </c>
      <c r="V365" s="131" t="n">
        <f aca="false">IF($B365="",0,IF($N365="",0,1))</f>
        <v>0</v>
      </c>
      <c r="W365" s="131" t="n">
        <f aca="false">IF($B365="",0,1)</f>
        <v>1</v>
      </c>
    </row>
    <row r="366" customFormat="false" ht="15" hidden="false" customHeight="false" outlineLevel="0" collapsed="false">
      <c r="A366" s="131" t="str">
        <f aca="false">IF('Cassidy Ford'!$B6="","",'Cassidy Ford'!$A6)</f>
        <v/>
      </c>
      <c r="B366" s="131" t="str">
        <f aca="false">IF('Cassidy Ford'!$B6="","",'Cassidy Ford'!$B6)</f>
        <v/>
      </c>
      <c r="C366" s="132" t="str">
        <f aca="false">IF('Cassidy Ford'!$B6="","",'Cassidy Ford'!$C6)</f>
        <v/>
      </c>
      <c r="D366" s="132" t="str">
        <f aca="false">IF('Cassidy Ford'!$B6="","",'Cassidy Ford'!$D6)</f>
        <v/>
      </c>
      <c r="E366" s="132" t="str">
        <f aca="false">IF('Cassidy Ford'!$B6="","",'Cassidy Ford'!$E6)</f>
        <v/>
      </c>
      <c r="F366" s="132" t="str">
        <f aca="false">IF('Cassidy Ford'!$B6="","",'Cassidy Ford'!$F6)</f>
        <v/>
      </c>
      <c r="G366" s="132" t="str">
        <f aca="false">IF('Cassidy Ford'!$B6="","",'Cassidy Ford'!$G6)</f>
        <v/>
      </c>
      <c r="H366" s="131" t="str">
        <f aca="false">IF('Cassidy Ford'!$B6="","",'Cassidy Ford'!$H6)</f>
        <v/>
      </c>
      <c r="I366" s="131" t="str">
        <f aca="false">IF('Cassidy Ford'!$B6="","",'Cassidy Ford'!$I6)</f>
        <v/>
      </c>
      <c r="J366" s="133" t="str">
        <f aca="false">IF('Cassidy Ford'!$B6="","",'Cassidy Ford'!$J6)</f>
        <v/>
      </c>
      <c r="K366" s="134" t="str">
        <f aca="false">IF('Cassidy Ford'!$B6="","",'Cassidy Ford'!$K6)</f>
        <v/>
      </c>
      <c r="L366" s="134" t="str">
        <f aca="false">IF('Cassidy Ford'!$B6="","",'Cassidy Ford'!$L6)</f>
        <v/>
      </c>
      <c r="M366" s="132" t="str">
        <f aca="false">IF('Cassidy Ford'!$B6="","",'Cassidy Ford'!$M6)</f>
        <v/>
      </c>
      <c r="N366" s="132" t="str">
        <f aca="false">IF('Cassidy Ford'!$B6="","",'Cassidy Ford'!$N6)</f>
        <v/>
      </c>
      <c r="O366" s="134" t="str">
        <f aca="false">IF('Cassidy Ford'!$B6="","",'Cassidy Ford'!$O6)</f>
        <v/>
      </c>
      <c r="P366" s="132" t="str">
        <f aca="false">IF('Cassidy Ford'!$B6="","",'Cassidy Ford'!$P6)</f>
        <v/>
      </c>
      <c r="Q366" s="131" t="str">
        <f aca="false">IF('Cassidy Ford'!$B6="","","Cassidy Ford")</f>
        <v/>
      </c>
      <c r="R366" s="131" t="n">
        <f aca="true">IF(OR($B366="",$I366="Complete",$L366=""),0,IF($L366&lt;TODAY(),1,0))</f>
        <v>0</v>
      </c>
      <c r="S366" s="131" t="n">
        <f aca="true">IF(OR($B366="",$I366="Complete",$L366=""),0,IF(AND($L366&gt;=TODAY(),$L366&lt;=TODAY()+7),1,0))</f>
        <v>0</v>
      </c>
      <c r="T366" s="131" t="str">
        <f aca="true">IF(OR($B366="",$L366=""),"",$L366-TODAY())</f>
        <v/>
      </c>
      <c r="U366" s="135" t="str">
        <f aca="false">IF($B366="","",IF($I366="Complete",1,IF($J366="",0,$J366)))</f>
        <v/>
      </c>
      <c r="V366" s="131" t="n">
        <f aca="false">IF($B366="",0,IF($N366="",0,1))</f>
        <v>0</v>
      </c>
      <c r="W366" s="131" t="n">
        <f aca="false">IF($B366="",0,1)</f>
        <v>0</v>
      </c>
    </row>
    <row r="367" customFormat="false" ht="15" hidden="false" customHeight="false" outlineLevel="0" collapsed="false">
      <c r="A367" s="131" t="str">
        <f aca="false">IF('Cassidy Ford'!$B7="","",'Cassidy Ford'!$A7)</f>
        <v/>
      </c>
      <c r="B367" s="131" t="str">
        <f aca="false">IF('Cassidy Ford'!$B7="","",'Cassidy Ford'!$B7)</f>
        <v/>
      </c>
      <c r="C367" s="132" t="str">
        <f aca="false">IF('Cassidy Ford'!$B7="","",'Cassidy Ford'!$C7)</f>
        <v/>
      </c>
      <c r="D367" s="132" t="str">
        <f aca="false">IF('Cassidy Ford'!$B7="","",'Cassidy Ford'!$D7)</f>
        <v/>
      </c>
      <c r="E367" s="132" t="str">
        <f aca="false">IF('Cassidy Ford'!$B7="","",'Cassidy Ford'!$E7)</f>
        <v/>
      </c>
      <c r="F367" s="132" t="str">
        <f aca="false">IF('Cassidy Ford'!$B7="","",'Cassidy Ford'!$F7)</f>
        <v/>
      </c>
      <c r="G367" s="132" t="str">
        <f aca="false">IF('Cassidy Ford'!$B7="","",'Cassidy Ford'!$G7)</f>
        <v/>
      </c>
      <c r="H367" s="131" t="str">
        <f aca="false">IF('Cassidy Ford'!$B7="","",'Cassidy Ford'!$H7)</f>
        <v/>
      </c>
      <c r="I367" s="131" t="str">
        <f aca="false">IF('Cassidy Ford'!$B7="","",'Cassidy Ford'!$I7)</f>
        <v/>
      </c>
      <c r="J367" s="133" t="str">
        <f aca="false">IF('Cassidy Ford'!$B7="","",'Cassidy Ford'!$J7)</f>
        <v/>
      </c>
      <c r="K367" s="134" t="str">
        <f aca="false">IF('Cassidy Ford'!$B7="","",'Cassidy Ford'!$K7)</f>
        <v/>
      </c>
      <c r="L367" s="134" t="str">
        <f aca="false">IF('Cassidy Ford'!$B7="","",'Cassidy Ford'!$L7)</f>
        <v/>
      </c>
      <c r="M367" s="132" t="str">
        <f aca="false">IF('Cassidy Ford'!$B7="","",'Cassidy Ford'!$M7)</f>
        <v/>
      </c>
      <c r="N367" s="132" t="str">
        <f aca="false">IF('Cassidy Ford'!$B7="","",'Cassidy Ford'!$N7)</f>
        <v/>
      </c>
      <c r="O367" s="134" t="str">
        <f aca="false">IF('Cassidy Ford'!$B7="","",'Cassidy Ford'!$O7)</f>
        <v/>
      </c>
      <c r="P367" s="132" t="str">
        <f aca="false">IF('Cassidy Ford'!$B7="","",'Cassidy Ford'!$P7)</f>
        <v/>
      </c>
      <c r="Q367" s="131" t="str">
        <f aca="false">IF('Cassidy Ford'!$B7="","","Cassidy Ford")</f>
        <v/>
      </c>
      <c r="R367" s="131" t="n">
        <f aca="true">IF(OR($B367="",$I367="Complete",$L367=""),0,IF($L367&lt;TODAY(),1,0))</f>
        <v>0</v>
      </c>
      <c r="S367" s="131" t="n">
        <f aca="true">IF(OR($B367="",$I367="Complete",$L367=""),0,IF(AND($L367&gt;=TODAY(),$L367&lt;=TODAY()+7),1,0))</f>
        <v>0</v>
      </c>
      <c r="T367" s="131" t="str">
        <f aca="true">IF(OR($B367="",$L367=""),"",$L367-TODAY())</f>
        <v/>
      </c>
      <c r="U367" s="135" t="str">
        <f aca="false">IF($B367="","",IF($I367="Complete",1,IF($J367="",0,$J367)))</f>
        <v/>
      </c>
      <c r="V367" s="131" t="n">
        <f aca="false">IF($B367="",0,IF($N367="",0,1))</f>
        <v>0</v>
      </c>
      <c r="W367" s="131" t="n">
        <f aca="false">IF($B367="",0,1)</f>
        <v>0</v>
      </c>
    </row>
    <row r="368" customFormat="false" ht="15" hidden="false" customHeight="false" outlineLevel="0" collapsed="false">
      <c r="A368" s="131" t="str">
        <f aca="false">IF('Cassidy Ford'!$B8="","",'Cassidy Ford'!$A8)</f>
        <v/>
      </c>
      <c r="B368" s="131" t="str">
        <f aca="false">IF('Cassidy Ford'!$B8="","",'Cassidy Ford'!$B8)</f>
        <v/>
      </c>
      <c r="C368" s="132" t="str">
        <f aca="false">IF('Cassidy Ford'!$B8="","",'Cassidy Ford'!$C8)</f>
        <v/>
      </c>
      <c r="D368" s="132" t="str">
        <f aca="false">IF('Cassidy Ford'!$B8="","",'Cassidy Ford'!$D8)</f>
        <v/>
      </c>
      <c r="E368" s="132" t="str">
        <f aca="false">IF('Cassidy Ford'!$B8="","",'Cassidy Ford'!$E8)</f>
        <v/>
      </c>
      <c r="F368" s="132" t="str">
        <f aca="false">IF('Cassidy Ford'!$B8="","",'Cassidy Ford'!$F8)</f>
        <v/>
      </c>
      <c r="G368" s="132" t="str">
        <f aca="false">IF('Cassidy Ford'!$B8="","",'Cassidy Ford'!$G8)</f>
        <v/>
      </c>
      <c r="H368" s="131" t="str">
        <f aca="false">IF('Cassidy Ford'!$B8="","",'Cassidy Ford'!$H8)</f>
        <v/>
      </c>
      <c r="I368" s="131" t="str">
        <f aca="false">IF('Cassidy Ford'!$B8="","",'Cassidy Ford'!$I8)</f>
        <v/>
      </c>
      <c r="J368" s="133" t="str">
        <f aca="false">IF('Cassidy Ford'!$B8="","",'Cassidy Ford'!$J8)</f>
        <v/>
      </c>
      <c r="K368" s="134" t="str">
        <f aca="false">IF('Cassidy Ford'!$B8="","",'Cassidy Ford'!$K8)</f>
        <v/>
      </c>
      <c r="L368" s="134" t="str">
        <f aca="false">IF('Cassidy Ford'!$B8="","",'Cassidy Ford'!$L8)</f>
        <v/>
      </c>
      <c r="M368" s="132" t="str">
        <f aca="false">IF('Cassidy Ford'!$B8="","",'Cassidy Ford'!$M8)</f>
        <v/>
      </c>
      <c r="N368" s="132" t="str">
        <f aca="false">IF('Cassidy Ford'!$B8="","",'Cassidy Ford'!$N8)</f>
        <v/>
      </c>
      <c r="O368" s="134" t="str">
        <f aca="false">IF('Cassidy Ford'!$B8="","",'Cassidy Ford'!$O8)</f>
        <v/>
      </c>
      <c r="P368" s="132" t="str">
        <f aca="false">IF('Cassidy Ford'!$B8="","",'Cassidy Ford'!$P8)</f>
        <v/>
      </c>
      <c r="Q368" s="131" t="str">
        <f aca="false">IF('Cassidy Ford'!$B8="","","Cassidy Ford")</f>
        <v/>
      </c>
      <c r="R368" s="131" t="n">
        <f aca="true">IF(OR($B368="",$I368="Complete",$L368=""),0,IF($L368&lt;TODAY(),1,0))</f>
        <v>0</v>
      </c>
      <c r="S368" s="131" t="n">
        <f aca="true">IF(OR($B368="",$I368="Complete",$L368=""),0,IF(AND($L368&gt;=TODAY(),$L368&lt;=TODAY()+7),1,0))</f>
        <v>0</v>
      </c>
      <c r="T368" s="131" t="str">
        <f aca="true">IF(OR($B368="",$L368=""),"",$L368-TODAY())</f>
        <v/>
      </c>
      <c r="U368" s="135" t="str">
        <f aca="false">IF($B368="","",IF($I368="Complete",1,IF($J368="",0,$J368)))</f>
        <v/>
      </c>
      <c r="V368" s="131" t="n">
        <f aca="false">IF($B368="",0,IF($N368="",0,1))</f>
        <v>0</v>
      </c>
      <c r="W368" s="131" t="n">
        <f aca="false">IF($B368="",0,1)</f>
        <v>0</v>
      </c>
    </row>
    <row r="369" customFormat="false" ht="15" hidden="false" customHeight="false" outlineLevel="0" collapsed="false">
      <c r="A369" s="131" t="str">
        <f aca="false">IF('Cassidy Ford'!$B9="","",'Cassidy Ford'!$A9)</f>
        <v/>
      </c>
      <c r="B369" s="131" t="str">
        <f aca="false">IF('Cassidy Ford'!$B9="","",'Cassidy Ford'!$B9)</f>
        <v/>
      </c>
      <c r="C369" s="132" t="str">
        <f aca="false">IF('Cassidy Ford'!$B9="","",'Cassidy Ford'!$C9)</f>
        <v/>
      </c>
      <c r="D369" s="132" t="str">
        <f aca="false">IF('Cassidy Ford'!$B9="","",'Cassidy Ford'!$D9)</f>
        <v/>
      </c>
      <c r="E369" s="132" t="str">
        <f aca="false">IF('Cassidy Ford'!$B9="","",'Cassidy Ford'!$E9)</f>
        <v/>
      </c>
      <c r="F369" s="132" t="str">
        <f aca="false">IF('Cassidy Ford'!$B9="","",'Cassidy Ford'!$F9)</f>
        <v/>
      </c>
      <c r="G369" s="132" t="str">
        <f aca="false">IF('Cassidy Ford'!$B9="","",'Cassidy Ford'!$G9)</f>
        <v/>
      </c>
      <c r="H369" s="131" t="str">
        <f aca="false">IF('Cassidy Ford'!$B9="","",'Cassidy Ford'!$H9)</f>
        <v/>
      </c>
      <c r="I369" s="131" t="str">
        <f aca="false">IF('Cassidy Ford'!$B9="","",'Cassidy Ford'!$I9)</f>
        <v/>
      </c>
      <c r="J369" s="133" t="str">
        <f aca="false">IF('Cassidy Ford'!$B9="","",'Cassidy Ford'!$J9)</f>
        <v/>
      </c>
      <c r="K369" s="134" t="str">
        <f aca="false">IF('Cassidy Ford'!$B9="","",'Cassidy Ford'!$K9)</f>
        <v/>
      </c>
      <c r="L369" s="134" t="str">
        <f aca="false">IF('Cassidy Ford'!$B9="","",'Cassidy Ford'!$L9)</f>
        <v/>
      </c>
      <c r="M369" s="132" t="str">
        <f aca="false">IF('Cassidy Ford'!$B9="","",'Cassidy Ford'!$M9)</f>
        <v/>
      </c>
      <c r="N369" s="132" t="str">
        <f aca="false">IF('Cassidy Ford'!$B9="","",'Cassidy Ford'!$N9)</f>
        <v/>
      </c>
      <c r="O369" s="134" t="str">
        <f aca="false">IF('Cassidy Ford'!$B9="","",'Cassidy Ford'!$O9)</f>
        <v/>
      </c>
      <c r="P369" s="132" t="str">
        <f aca="false">IF('Cassidy Ford'!$B9="","",'Cassidy Ford'!$P9)</f>
        <v/>
      </c>
      <c r="Q369" s="131" t="str">
        <f aca="false">IF('Cassidy Ford'!$B9="","","Cassidy Ford")</f>
        <v/>
      </c>
      <c r="R369" s="131" t="n">
        <f aca="true">IF(OR($B369="",$I369="Complete",$L369=""),0,IF($L369&lt;TODAY(),1,0))</f>
        <v>0</v>
      </c>
      <c r="S369" s="131" t="n">
        <f aca="true">IF(OR($B369="",$I369="Complete",$L369=""),0,IF(AND($L369&gt;=TODAY(),$L369&lt;=TODAY()+7),1,0))</f>
        <v>0</v>
      </c>
      <c r="T369" s="131" t="str">
        <f aca="true">IF(OR($B369="",$L369=""),"",$L369-TODAY())</f>
        <v/>
      </c>
      <c r="U369" s="135" t="str">
        <f aca="false">IF($B369="","",IF($I369="Complete",1,IF($J369="",0,$J369)))</f>
        <v/>
      </c>
      <c r="V369" s="131" t="n">
        <f aca="false">IF($B369="",0,IF($N369="",0,1))</f>
        <v>0</v>
      </c>
      <c r="W369" s="131" t="n">
        <f aca="false">IF($B369="",0,1)</f>
        <v>0</v>
      </c>
    </row>
    <row r="370" customFormat="false" ht="15" hidden="false" customHeight="false" outlineLevel="0" collapsed="false">
      <c r="A370" s="131" t="str">
        <f aca="false">IF('Cassidy Ford'!$B10="","",'Cassidy Ford'!$A10)</f>
        <v/>
      </c>
      <c r="B370" s="131" t="str">
        <f aca="false">IF('Cassidy Ford'!$B10="","",'Cassidy Ford'!$B10)</f>
        <v/>
      </c>
      <c r="C370" s="132" t="str">
        <f aca="false">IF('Cassidy Ford'!$B10="","",'Cassidy Ford'!$C10)</f>
        <v/>
      </c>
      <c r="D370" s="132" t="str">
        <f aca="false">IF('Cassidy Ford'!$B10="","",'Cassidy Ford'!$D10)</f>
        <v/>
      </c>
      <c r="E370" s="132" t="str">
        <f aca="false">IF('Cassidy Ford'!$B10="","",'Cassidy Ford'!$E10)</f>
        <v/>
      </c>
      <c r="F370" s="132" t="str">
        <f aca="false">IF('Cassidy Ford'!$B10="","",'Cassidy Ford'!$F10)</f>
        <v/>
      </c>
      <c r="G370" s="132" t="str">
        <f aca="false">IF('Cassidy Ford'!$B10="","",'Cassidy Ford'!$G10)</f>
        <v/>
      </c>
      <c r="H370" s="131" t="str">
        <f aca="false">IF('Cassidy Ford'!$B10="","",'Cassidy Ford'!$H10)</f>
        <v/>
      </c>
      <c r="I370" s="131" t="str">
        <f aca="false">IF('Cassidy Ford'!$B10="","",'Cassidy Ford'!$I10)</f>
        <v/>
      </c>
      <c r="J370" s="133" t="str">
        <f aca="false">IF('Cassidy Ford'!$B10="","",'Cassidy Ford'!$J10)</f>
        <v/>
      </c>
      <c r="K370" s="134" t="str">
        <f aca="false">IF('Cassidy Ford'!$B10="","",'Cassidy Ford'!$K10)</f>
        <v/>
      </c>
      <c r="L370" s="134" t="str">
        <f aca="false">IF('Cassidy Ford'!$B10="","",'Cassidy Ford'!$L10)</f>
        <v/>
      </c>
      <c r="M370" s="132" t="str">
        <f aca="false">IF('Cassidy Ford'!$B10="","",'Cassidy Ford'!$M10)</f>
        <v/>
      </c>
      <c r="N370" s="132" t="str">
        <f aca="false">IF('Cassidy Ford'!$B10="","",'Cassidy Ford'!$N10)</f>
        <v/>
      </c>
      <c r="O370" s="134" t="str">
        <f aca="false">IF('Cassidy Ford'!$B10="","",'Cassidy Ford'!$O10)</f>
        <v/>
      </c>
      <c r="P370" s="132" t="str">
        <f aca="false">IF('Cassidy Ford'!$B10="","",'Cassidy Ford'!$P10)</f>
        <v/>
      </c>
      <c r="Q370" s="131" t="str">
        <f aca="false">IF('Cassidy Ford'!$B10="","","Cassidy Ford")</f>
        <v/>
      </c>
      <c r="R370" s="131" t="n">
        <f aca="true">IF(OR($B370="",$I370="Complete",$L370=""),0,IF($L370&lt;TODAY(),1,0))</f>
        <v>0</v>
      </c>
      <c r="S370" s="131" t="n">
        <f aca="true">IF(OR($B370="",$I370="Complete",$L370=""),0,IF(AND($L370&gt;=TODAY(),$L370&lt;=TODAY()+7),1,0))</f>
        <v>0</v>
      </c>
      <c r="T370" s="131" t="str">
        <f aca="true">IF(OR($B370="",$L370=""),"",$L370-TODAY())</f>
        <v/>
      </c>
      <c r="U370" s="135" t="str">
        <f aca="false">IF($B370="","",IF($I370="Complete",1,IF($J370="",0,$J370)))</f>
        <v/>
      </c>
      <c r="V370" s="131" t="n">
        <f aca="false">IF($B370="",0,IF($N370="",0,1))</f>
        <v>0</v>
      </c>
      <c r="W370" s="131" t="n">
        <f aca="false">IF($B370="",0,1)</f>
        <v>0</v>
      </c>
    </row>
    <row r="371" customFormat="false" ht="15" hidden="false" customHeight="false" outlineLevel="0" collapsed="false">
      <c r="A371" s="131" t="str">
        <f aca="false">IF('Cassidy Ford'!$B11="","",'Cassidy Ford'!$A11)</f>
        <v/>
      </c>
      <c r="B371" s="131" t="str">
        <f aca="false">IF('Cassidy Ford'!$B11="","",'Cassidy Ford'!$B11)</f>
        <v/>
      </c>
      <c r="C371" s="132" t="str">
        <f aca="false">IF('Cassidy Ford'!$B11="","",'Cassidy Ford'!$C11)</f>
        <v/>
      </c>
      <c r="D371" s="132" t="str">
        <f aca="false">IF('Cassidy Ford'!$B11="","",'Cassidy Ford'!$D11)</f>
        <v/>
      </c>
      <c r="E371" s="132" t="str">
        <f aca="false">IF('Cassidy Ford'!$B11="","",'Cassidy Ford'!$E11)</f>
        <v/>
      </c>
      <c r="F371" s="132" t="str">
        <f aca="false">IF('Cassidy Ford'!$B11="","",'Cassidy Ford'!$F11)</f>
        <v/>
      </c>
      <c r="G371" s="132" t="str">
        <f aca="false">IF('Cassidy Ford'!$B11="","",'Cassidy Ford'!$G11)</f>
        <v/>
      </c>
      <c r="H371" s="131" t="str">
        <f aca="false">IF('Cassidy Ford'!$B11="","",'Cassidy Ford'!$H11)</f>
        <v/>
      </c>
      <c r="I371" s="131" t="str">
        <f aca="false">IF('Cassidy Ford'!$B11="","",'Cassidy Ford'!$I11)</f>
        <v/>
      </c>
      <c r="J371" s="133" t="str">
        <f aca="false">IF('Cassidy Ford'!$B11="","",'Cassidy Ford'!$J11)</f>
        <v/>
      </c>
      <c r="K371" s="134" t="str">
        <f aca="false">IF('Cassidy Ford'!$B11="","",'Cassidy Ford'!$K11)</f>
        <v/>
      </c>
      <c r="L371" s="134" t="str">
        <f aca="false">IF('Cassidy Ford'!$B11="","",'Cassidy Ford'!$L11)</f>
        <v/>
      </c>
      <c r="M371" s="132" t="str">
        <f aca="false">IF('Cassidy Ford'!$B11="","",'Cassidy Ford'!$M11)</f>
        <v/>
      </c>
      <c r="N371" s="132" t="str">
        <f aca="false">IF('Cassidy Ford'!$B11="","",'Cassidy Ford'!$N11)</f>
        <v/>
      </c>
      <c r="O371" s="134" t="str">
        <f aca="false">IF('Cassidy Ford'!$B11="","",'Cassidy Ford'!$O11)</f>
        <v/>
      </c>
      <c r="P371" s="132" t="str">
        <f aca="false">IF('Cassidy Ford'!$B11="","",'Cassidy Ford'!$P11)</f>
        <v/>
      </c>
      <c r="Q371" s="131" t="str">
        <f aca="false">IF('Cassidy Ford'!$B11="","","Cassidy Ford")</f>
        <v/>
      </c>
      <c r="R371" s="131" t="n">
        <f aca="true">IF(OR($B371="",$I371="Complete",$L371=""),0,IF($L371&lt;TODAY(),1,0))</f>
        <v>0</v>
      </c>
      <c r="S371" s="131" t="n">
        <f aca="true">IF(OR($B371="",$I371="Complete",$L371=""),0,IF(AND($L371&gt;=TODAY(),$L371&lt;=TODAY()+7),1,0))</f>
        <v>0</v>
      </c>
      <c r="T371" s="131" t="str">
        <f aca="true">IF(OR($B371="",$L371=""),"",$L371-TODAY())</f>
        <v/>
      </c>
      <c r="U371" s="135" t="str">
        <f aca="false">IF($B371="","",IF($I371="Complete",1,IF($J371="",0,$J371)))</f>
        <v/>
      </c>
      <c r="V371" s="131" t="n">
        <f aca="false">IF($B371="",0,IF($N371="",0,1))</f>
        <v>0</v>
      </c>
      <c r="W371" s="131" t="n">
        <f aca="false">IF($B371="",0,1)</f>
        <v>0</v>
      </c>
    </row>
    <row r="372" customFormat="false" ht="15" hidden="false" customHeight="false" outlineLevel="0" collapsed="false">
      <c r="A372" s="131" t="str">
        <f aca="false">IF('Cassidy Ford'!$B12="","",'Cassidy Ford'!$A12)</f>
        <v/>
      </c>
      <c r="B372" s="131" t="str">
        <f aca="false">IF('Cassidy Ford'!$B12="","",'Cassidy Ford'!$B12)</f>
        <v/>
      </c>
      <c r="C372" s="132" t="str">
        <f aca="false">IF('Cassidy Ford'!$B12="","",'Cassidy Ford'!$C12)</f>
        <v/>
      </c>
      <c r="D372" s="132" t="str">
        <f aca="false">IF('Cassidy Ford'!$B12="","",'Cassidy Ford'!$D12)</f>
        <v/>
      </c>
      <c r="E372" s="132" t="str">
        <f aca="false">IF('Cassidy Ford'!$B12="","",'Cassidy Ford'!$E12)</f>
        <v/>
      </c>
      <c r="F372" s="132" t="str">
        <f aca="false">IF('Cassidy Ford'!$B12="","",'Cassidy Ford'!$F12)</f>
        <v/>
      </c>
      <c r="G372" s="132" t="str">
        <f aca="false">IF('Cassidy Ford'!$B12="","",'Cassidy Ford'!$G12)</f>
        <v/>
      </c>
      <c r="H372" s="131" t="str">
        <f aca="false">IF('Cassidy Ford'!$B12="","",'Cassidy Ford'!$H12)</f>
        <v/>
      </c>
      <c r="I372" s="131" t="str">
        <f aca="false">IF('Cassidy Ford'!$B12="","",'Cassidy Ford'!$I12)</f>
        <v/>
      </c>
      <c r="J372" s="133" t="str">
        <f aca="false">IF('Cassidy Ford'!$B12="","",'Cassidy Ford'!$J12)</f>
        <v/>
      </c>
      <c r="K372" s="134" t="str">
        <f aca="false">IF('Cassidy Ford'!$B12="","",'Cassidy Ford'!$K12)</f>
        <v/>
      </c>
      <c r="L372" s="134" t="str">
        <f aca="false">IF('Cassidy Ford'!$B12="","",'Cassidy Ford'!$L12)</f>
        <v/>
      </c>
      <c r="M372" s="132" t="str">
        <f aca="false">IF('Cassidy Ford'!$B12="","",'Cassidy Ford'!$M12)</f>
        <v/>
      </c>
      <c r="N372" s="132" t="str">
        <f aca="false">IF('Cassidy Ford'!$B12="","",'Cassidy Ford'!$N12)</f>
        <v/>
      </c>
      <c r="O372" s="134" t="str">
        <f aca="false">IF('Cassidy Ford'!$B12="","",'Cassidy Ford'!$O12)</f>
        <v/>
      </c>
      <c r="P372" s="132" t="str">
        <f aca="false">IF('Cassidy Ford'!$B12="","",'Cassidy Ford'!$P12)</f>
        <v/>
      </c>
      <c r="Q372" s="131" t="str">
        <f aca="false">IF('Cassidy Ford'!$B12="","","Cassidy Ford")</f>
        <v/>
      </c>
      <c r="R372" s="131" t="n">
        <f aca="true">IF(OR($B372="",$I372="Complete",$L372=""),0,IF($L372&lt;TODAY(),1,0))</f>
        <v>0</v>
      </c>
      <c r="S372" s="131" t="n">
        <f aca="true">IF(OR($B372="",$I372="Complete",$L372=""),0,IF(AND($L372&gt;=TODAY(),$L372&lt;=TODAY()+7),1,0))</f>
        <v>0</v>
      </c>
      <c r="T372" s="131" t="str">
        <f aca="true">IF(OR($B372="",$L372=""),"",$L372-TODAY())</f>
        <v/>
      </c>
      <c r="U372" s="135" t="str">
        <f aca="false">IF($B372="","",IF($I372="Complete",1,IF($J372="",0,$J372)))</f>
        <v/>
      </c>
      <c r="V372" s="131" t="n">
        <f aca="false">IF($B372="",0,IF($N372="",0,1))</f>
        <v>0</v>
      </c>
      <c r="W372" s="131" t="n">
        <f aca="false">IF($B372="",0,1)</f>
        <v>0</v>
      </c>
    </row>
    <row r="373" customFormat="false" ht="15" hidden="false" customHeight="false" outlineLevel="0" collapsed="false">
      <c r="A373" s="131" t="str">
        <f aca="false">IF('Cassidy Ford'!$B13="","",'Cassidy Ford'!$A13)</f>
        <v/>
      </c>
      <c r="B373" s="131" t="str">
        <f aca="false">IF('Cassidy Ford'!$B13="","",'Cassidy Ford'!$B13)</f>
        <v/>
      </c>
      <c r="C373" s="132" t="str">
        <f aca="false">IF('Cassidy Ford'!$B13="","",'Cassidy Ford'!$C13)</f>
        <v/>
      </c>
      <c r="D373" s="132" t="str">
        <f aca="false">IF('Cassidy Ford'!$B13="","",'Cassidy Ford'!$D13)</f>
        <v/>
      </c>
      <c r="E373" s="132" t="str">
        <f aca="false">IF('Cassidy Ford'!$B13="","",'Cassidy Ford'!$E13)</f>
        <v/>
      </c>
      <c r="F373" s="132" t="str">
        <f aca="false">IF('Cassidy Ford'!$B13="","",'Cassidy Ford'!$F13)</f>
        <v/>
      </c>
      <c r="G373" s="132" t="str">
        <f aca="false">IF('Cassidy Ford'!$B13="","",'Cassidy Ford'!$G13)</f>
        <v/>
      </c>
      <c r="H373" s="131" t="str">
        <f aca="false">IF('Cassidy Ford'!$B13="","",'Cassidy Ford'!$H13)</f>
        <v/>
      </c>
      <c r="I373" s="131" t="str">
        <f aca="false">IF('Cassidy Ford'!$B13="","",'Cassidy Ford'!$I13)</f>
        <v/>
      </c>
      <c r="J373" s="133" t="str">
        <f aca="false">IF('Cassidy Ford'!$B13="","",'Cassidy Ford'!$J13)</f>
        <v/>
      </c>
      <c r="K373" s="134" t="str">
        <f aca="false">IF('Cassidy Ford'!$B13="","",'Cassidy Ford'!$K13)</f>
        <v/>
      </c>
      <c r="L373" s="134" t="str">
        <f aca="false">IF('Cassidy Ford'!$B13="","",'Cassidy Ford'!$L13)</f>
        <v/>
      </c>
      <c r="M373" s="132" t="str">
        <f aca="false">IF('Cassidy Ford'!$B13="","",'Cassidy Ford'!$M13)</f>
        <v/>
      </c>
      <c r="N373" s="132" t="str">
        <f aca="false">IF('Cassidy Ford'!$B13="","",'Cassidy Ford'!$N13)</f>
        <v/>
      </c>
      <c r="O373" s="134" t="str">
        <f aca="false">IF('Cassidy Ford'!$B13="","",'Cassidy Ford'!$O13)</f>
        <v/>
      </c>
      <c r="P373" s="132" t="str">
        <f aca="false">IF('Cassidy Ford'!$B13="","",'Cassidy Ford'!$P13)</f>
        <v/>
      </c>
      <c r="Q373" s="131" t="str">
        <f aca="false">IF('Cassidy Ford'!$B13="","","Cassidy Ford")</f>
        <v/>
      </c>
      <c r="R373" s="131" t="n">
        <f aca="true">IF(OR($B373="",$I373="Complete",$L373=""),0,IF($L373&lt;TODAY(),1,0))</f>
        <v>0</v>
      </c>
      <c r="S373" s="131" t="n">
        <f aca="true">IF(OR($B373="",$I373="Complete",$L373=""),0,IF(AND($L373&gt;=TODAY(),$L373&lt;=TODAY()+7),1,0))</f>
        <v>0</v>
      </c>
      <c r="T373" s="131" t="str">
        <f aca="true">IF(OR($B373="",$L373=""),"",$L373-TODAY())</f>
        <v/>
      </c>
      <c r="U373" s="135" t="str">
        <f aca="false">IF($B373="","",IF($I373="Complete",1,IF($J373="",0,$J373)))</f>
        <v/>
      </c>
      <c r="V373" s="131" t="n">
        <f aca="false">IF($B373="",0,IF($N373="",0,1))</f>
        <v>0</v>
      </c>
      <c r="W373" s="131" t="n">
        <f aca="false">IF($B373="",0,1)</f>
        <v>0</v>
      </c>
    </row>
    <row r="374" customFormat="false" ht="15" hidden="false" customHeight="false" outlineLevel="0" collapsed="false">
      <c r="A374" s="131" t="str">
        <f aca="false">IF('Cassidy Ford'!$B14="","",'Cassidy Ford'!$A14)</f>
        <v/>
      </c>
      <c r="B374" s="131" t="str">
        <f aca="false">IF('Cassidy Ford'!$B14="","",'Cassidy Ford'!$B14)</f>
        <v/>
      </c>
      <c r="C374" s="132" t="str">
        <f aca="false">IF('Cassidy Ford'!$B14="","",'Cassidy Ford'!$C14)</f>
        <v/>
      </c>
      <c r="D374" s="132" t="str">
        <f aca="false">IF('Cassidy Ford'!$B14="","",'Cassidy Ford'!$D14)</f>
        <v/>
      </c>
      <c r="E374" s="132" t="str">
        <f aca="false">IF('Cassidy Ford'!$B14="","",'Cassidy Ford'!$E14)</f>
        <v/>
      </c>
      <c r="F374" s="132" t="str">
        <f aca="false">IF('Cassidy Ford'!$B14="","",'Cassidy Ford'!$F14)</f>
        <v/>
      </c>
      <c r="G374" s="132" t="str">
        <f aca="false">IF('Cassidy Ford'!$B14="","",'Cassidy Ford'!$G14)</f>
        <v/>
      </c>
      <c r="H374" s="131" t="str">
        <f aca="false">IF('Cassidy Ford'!$B14="","",'Cassidy Ford'!$H14)</f>
        <v/>
      </c>
      <c r="I374" s="131" t="str">
        <f aca="false">IF('Cassidy Ford'!$B14="","",'Cassidy Ford'!$I14)</f>
        <v/>
      </c>
      <c r="J374" s="133" t="str">
        <f aca="false">IF('Cassidy Ford'!$B14="","",'Cassidy Ford'!$J14)</f>
        <v/>
      </c>
      <c r="K374" s="134" t="str">
        <f aca="false">IF('Cassidy Ford'!$B14="","",'Cassidy Ford'!$K14)</f>
        <v/>
      </c>
      <c r="L374" s="134" t="str">
        <f aca="false">IF('Cassidy Ford'!$B14="","",'Cassidy Ford'!$L14)</f>
        <v/>
      </c>
      <c r="M374" s="132" t="str">
        <f aca="false">IF('Cassidy Ford'!$B14="","",'Cassidy Ford'!$M14)</f>
        <v/>
      </c>
      <c r="N374" s="132" t="str">
        <f aca="false">IF('Cassidy Ford'!$B14="","",'Cassidy Ford'!$N14)</f>
        <v/>
      </c>
      <c r="O374" s="134" t="str">
        <f aca="false">IF('Cassidy Ford'!$B14="","",'Cassidy Ford'!$O14)</f>
        <v/>
      </c>
      <c r="P374" s="132" t="str">
        <f aca="false">IF('Cassidy Ford'!$B14="","",'Cassidy Ford'!$P14)</f>
        <v/>
      </c>
      <c r="Q374" s="131" t="str">
        <f aca="false">IF('Cassidy Ford'!$B14="","","Cassidy Ford")</f>
        <v/>
      </c>
      <c r="R374" s="131" t="n">
        <f aca="true">IF(OR($B374="",$I374="Complete",$L374=""),0,IF($L374&lt;TODAY(),1,0))</f>
        <v>0</v>
      </c>
      <c r="S374" s="131" t="n">
        <f aca="true">IF(OR($B374="",$I374="Complete",$L374=""),0,IF(AND($L374&gt;=TODAY(),$L374&lt;=TODAY()+7),1,0))</f>
        <v>0</v>
      </c>
      <c r="T374" s="131" t="str">
        <f aca="true">IF(OR($B374="",$L374=""),"",$L374-TODAY())</f>
        <v/>
      </c>
      <c r="U374" s="135" t="str">
        <f aca="false">IF($B374="","",IF($I374="Complete",1,IF($J374="",0,$J374)))</f>
        <v/>
      </c>
      <c r="V374" s="131" t="n">
        <f aca="false">IF($B374="",0,IF($N374="",0,1))</f>
        <v>0</v>
      </c>
      <c r="W374" s="131" t="n">
        <f aca="false">IF($B374="",0,1)</f>
        <v>0</v>
      </c>
    </row>
    <row r="375" customFormat="false" ht="15" hidden="false" customHeight="false" outlineLevel="0" collapsed="false">
      <c r="A375" s="131" t="str">
        <f aca="false">IF('Cassidy Ford'!$B15="","",'Cassidy Ford'!$A15)</f>
        <v/>
      </c>
      <c r="B375" s="131" t="str">
        <f aca="false">IF('Cassidy Ford'!$B15="","",'Cassidy Ford'!$B15)</f>
        <v/>
      </c>
      <c r="C375" s="132" t="str">
        <f aca="false">IF('Cassidy Ford'!$B15="","",'Cassidy Ford'!$C15)</f>
        <v/>
      </c>
      <c r="D375" s="132" t="str">
        <f aca="false">IF('Cassidy Ford'!$B15="","",'Cassidy Ford'!$D15)</f>
        <v/>
      </c>
      <c r="E375" s="132" t="str">
        <f aca="false">IF('Cassidy Ford'!$B15="","",'Cassidy Ford'!$E15)</f>
        <v/>
      </c>
      <c r="F375" s="132" t="str">
        <f aca="false">IF('Cassidy Ford'!$B15="","",'Cassidy Ford'!$F15)</f>
        <v/>
      </c>
      <c r="G375" s="132" t="str">
        <f aca="false">IF('Cassidy Ford'!$B15="","",'Cassidy Ford'!$G15)</f>
        <v/>
      </c>
      <c r="H375" s="131" t="str">
        <f aca="false">IF('Cassidy Ford'!$B15="","",'Cassidy Ford'!$H15)</f>
        <v/>
      </c>
      <c r="I375" s="131" t="str">
        <f aca="false">IF('Cassidy Ford'!$B15="","",'Cassidy Ford'!$I15)</f>
        <v/>
      </c>
      <c r="J375" s="133" t="str">
        <f aca="false">IF('Cassidy Ford'!$B15="","",'Cassidy Ford'!$J15)</f>
        <v/>
      </c>
      <c r="K375" s="134" t="str">
        <f aca="false">IF('Cassidy Ford'!$B15="","",'Cassidy Ford'!$K15)</f>
        <v/>
      </c>
      <c r="L375" s="134" t="str">
        <f aca="false">IF('Cassidy Ford'!$B15="","",'Cassidy Ford'!$L15)</f>
        <v/>
      </c>
      <c r="M375" s="132" t="str">
        <f aca="false">IF('Cassidy Ford'!$B15="","",'Cassidy Ford'!$M15)</f>
        <v/>
      </c>
      <c r="N375" s="132" t="str">
        <f aca="false">IF('Cassidy Ford'!$B15="","",'Cassidy Ford'!$N15)</f>
        <v/>
      </c>
      <c r="O375" s="134" t="str">
        <f aca="false">IF('Cassidy Ford'!$B15="","",'Cassidy Ford'!$O15)</f>
        <v/>
      </c>
      <c r="P375" s="132" t="str">
        <f aca="false">IF('Cassidy Ford'!$B15="","",'Cassidy Ford'!$P15)</f>
        <v/>
      </c>
      <c r="Q375" s="131" t="str">
        <f aca="false">IF('Cassidy Ford'!$B15="","","Cassidy Ford")</f>
        <v/>
      </c>
      <c r="R375" s="131" t="n">
        <f aca="true">IF(OR($B375="",$I375="Complete",$L375=""),0,IF($L375&lt;TODAY(),1,0))</f>
        <v>0</v>
      </c>
      <c r="S375" s="131" t="n">
        <f aca="true">IF(OR($B375="",$I375="Complete",$L375=""),0,IF(AND($L375&gt;=TODAY(),$L375&lt;=TODAY()+7),1,0))</f>
        <v>0</v>
      </c>
      <c r="T375" s="131" t="str">
        <f aca="true">IF(OR($B375="",$L375=""),"",$L375-TODAY())</f>
        <v/>
      </c>
      <c r="U375" s="135" t="str">
        <f aca="false">IF($B375="","",IF($I375="Complete",1,IF($J375="",0,$J375)))</f>
        <v/>
      </c>
      <c r="V375" s="131" t="n">
        <f aca="false">IF($B375="",0,IF($N375="",0,1))</f>
        <v>0</v>
      </c>
      <c r="W375" s="131" t="n">
        <f aca="false">IF($B375="",0,1)</f>
        <v>0</v>
      </c>
    </row>
    <row r="376" customFormat="false" ht="15" hidden="false" customHeight="false" outlineLevel="0" collapsed="false">
      <c r="A376" s="131" t="str">
        <f aca="false">IF('Cassidy Ford'!$B16="","",'Cassidy Ford'!$A16)</f>
        <v/>
      </c>
      <c r="B376" s="131" t="str">
        <f aca="false">IF('Cassidy Ford'!$B16="","",'Cassidy Ford'!$B16)</f>
        <v/>
      </c>
      <c r="C376" s="132" t="str">
        <f aca="false">IF('Cassidy Ford'!$B16="","",'Cassidy Ford'!$C16)</f>
        <v/>
      </c>
      <c r="D376" s="132" t="str">
        <f aca="false">IF('Cassidy Ford'!$B16="","",'Cassidy Ford'!$D16)</f>
        <v/>
      </c>
      <c r="E376" s="132" t="str">
        <f aca="false">IF('Cassidy Ford'!$B16="","",'Cassidy Ford'!$E16)</f>
        <v/>
      </c>
      <c r="F376" s="132" t="str">
        <f aca="false">IF('Cassidy Ford'!$B16="","",'Cassidy Ford'!$F16)</f>
        <v/>
      </c>
      <c r="G376" s="132" t="str">
        <f aca="false">IF('Cassidy Ford'!$B16="","",'Cassidy Ford'!$G16)</f>
        <v/>
      </c>
      <c r="H376" s="131" t="str">
        <f aca="false">IF('Cassidy Ford'!$B16="","",'Cassidy Ford'!$H16)</f>
        <v/>
      </c>
      <c r="I376" s="131" t="str">
        <f aca="false">IF('Cassidy Ford'!$B16="","",'Cassidy Ford'!$I16)</f>
        <v/>
      </c>
      <c r="J376" s="133" t="str">
        <f aca="false">IF('Cassidy Ford'!$B16="","",'Cassidy Ford'!$J16)</f>
        <v/>
      </c>
      <c r="K376" s="134" t="str">
        <f aca="false">IF('Cassidy Ford'!$B16="","",'Cassidy Ford'!$K16)</f>
        <v/>
      </c>
      <c r="L376" s="134" t="str">
        <f aca="false">IF('Cassidy Ford'!$B16="","",'Cassidy Ford'!$L16)</f>
        <v/>
      </c>
      <c r="M376" s="132" t="str">
        <f aca="false">IF('Cassidy Ford'!$B16="","",'Cassidy Ford'!$M16)</f>
        <v/>
      </c>
      <c r="N376" s="132" t="str">
        <f aca="false">IF('Cassidy Ford'!$B16="","",'Cassidy Ford'!$N16)</f>
        <v/>
      </c>
      <c r="O376" s="134" t="str">
        <f aca="false">IF('Cassidy Ford'!$B16="","",'Cassidy Ford'!$O16)</f>
        <v/>
      </c>
      <c r="P376" s="132" t="str">
        <f aca="false">IF('Cassidy Ford'!$B16="","",'Cassidy Ford'!$P16)</f>
        <v/>
      </c>
      <c r="Q376" s="131" t="str">
        <f aca="false">IF('Cassidy Ford'!$B16="","","Cassidy Ford")</f>
        <v/>
      </c>
      <c r="R376" s="131" t="n">
        <f aca="true">IF(OR($B376="",$I376="Complete",$L376=""),0,IF($L376&lt;TODAY(),1,0))</f>
        <v>0</v>
      </c>
      <c r="S376" s="131" t="n">
        <f aca="true">IF(OR($B376="",$I376="Complete",$L376=""),0,IF(AND($L376&gt;=TODAY(),$L376&lt;=TODAY()+7),1,0))</f>
        <v>0</v>
      </c>
      <c r="T376" s="131" t="str">
        <f aca="true">IF(OR($B376="",$L376=""),"",$L376-TODAY())</f>
        <v/>
      </c>
      <c r="U376" s="135" t="str">
        <f aca="false">IF($B376="","",IF($I376="Complete",1,IF($J376="",0,$J376)))</f>
        <v/>
      </c>
      <c r="V376" s="131" t="n">
        <f aca="false">IF($B376="",0,IF($N376="",0,1))</f>
        <v>0</v>
      </c>
      <c r="W376" s="131" t="n">
        <f aca="false">IF($B376="",0,1)</f>
        <v>0</v>
      </c>
    </row>
    <row r="377" customFormat="false" ht="15" hidden="false" customHeight="false" outlineLevel="0" collapsed="false">
      <c r="A377" s="131" t="str">
        <f aca="false">IF('Cassidy Ford'!$B17="","",'Cassidy Ford'!$A17)</f>
        <v/>
      </c>
      <c r="B377" s="131" t="str">
        <f aca="false">IF('Cassidy Ford'!$B17="","",'Cassidy Ford'!$B17)</f>
        <v/>
      </c>
      <c r="C377" s="132" t="str">
        <f aca="false">IF('Cassidy Ford'!$B17="","",'Cassidy Ford'!$C17)</f>
        <v/>
      </c>
      <c r="D377" s="132" t="str">
        <f aca="false">IF('Cassidy Ford'!$B17="","",'Cassidy Ford'!$D17)</f>
        <v/>
      </c>
      <c r="E377" s="132" t="str">
        <f aca="false">IF('Cassidy Ford'!$B17="","",'Cassidy Ford'!$E17)</f>
        <v/>
      </c>
      <c r="F377" s="132" t="str">
        <f aca="false">IF('Cassidy Ford'!$B17="","",'Cassidy Ford'!$F17)</f>
        <v/>
      </c>
      <c r="G377" s="132" t="str">
        <f aca="false">IF('Cassidy Ford'!$B17="","",'Cassidy Ford'!$G17)</f>
        <v/>
      </c>
      <c r="H377" s="131" t="str">
        <f aca="false">IF('Cassidy Ford'!$B17="","",'Cassidy Ford'!$H17)</f>
        <v/>
      </c>
      <c r="I377" s="131" t="str">
        <f aca="false">IF('Cassidy Ford'!$B17="","",'Cassidy Ford'!$I17)</f>
        <v/>
      </c>
      <c r="J377" s="133" t="str">
        <f aca="false">IF('Cassidy Ford'!$B17="","",'Cassidy Ford'!$J17)</f>
        <v/>
      </c>
      <c r="K377" s="134" t="str">
        <f aca="false">IF('Cassidy Ford'!$B17="","",'Cassidy Ford'!$K17)</f>
        <v/>
      </c>
      <c r="L377" s="134" t="str">
        <f aca="false">IF('Cassidy Ford'!$B17="","",'Cassidy Ford'!$L17)</f>
        <v/>
      </c>
      <c r="M377" s="132" t="str">
        <f aca="false">IF('Cassidy Ford'!$B17="","",'Cassidy Ford'!$M17)</f>
        <v/>
      </c>
      <c r="N377" s="132" t="str">
        <f aca="false">IF('Cassidy Ford'!$B17="","",'Cassidy Ford'!$N17)</f>
        <v/>
      </c>
      <c r="O377" s="134" t="str">
        <f aca="false">IF('Cassidy Ford'!$B17="","",'Cassidy Ford'!$O17)</f>
        <v/>
      </c>
      <c r="P377" s="132" t="str">
        <f aca="false">IF('Cassidy Ford'!$B17="","",'Cassidy Ford'!$P17)</f>
        <v/>
      </c>
      <c r="Q377" s="131" t="str">
        <f aca="false">IF('Cassidy Ford'!$B17="","","Cassidy Ford")</f>
        <v/>
      </c>
      <c r="R377" s="131" t="n">
        <f aca="true">IF(OR($B377="",$I377="Complete",$L377=""),0,IF($L377&lt;TODAY(),1,0))</f>
        <v>0</v>
      </c>
      <c r="S377" s="131" t="n">
        <f aca="true">IF(OR($B377="",$I377="Complete",$L377=""),0,IF(AND($L377&gt;=TODAY(),$L377&lt;=TODAY()+7),1,0))</f>
        <v>0</v>
      </c>
      <c r="T377" s="131" t="str">
        <f aca="true">IF(OR($B377="",$L377=""),"",$L377-TODAY())</f>
        <v/>
      </c>
      <c r="U377" s="135" t="str">
        <f aca="false">IF($B377="","",IF($I377="Complete",1,IF($J377="",0,$J377)))</f>
        <v/>
      </c>
      <c r="V377" s="131" t="n">
        <f aca="false">IF($B377="",0,IF($N377="",0,1))</f>
        <v>0</v>
      </c>
      <c r="W377" s="131" t="n">
        <f aca="false">IF($B377="",0,1)</f>
        <v>0</v>
      </c>
    </row>
    <row r="378" customFormat="false" ht="15" hidden="false" customHeight="false" outlineLevel="0" collapsed="false">
      <c r="A378" s="131" t="str">
        <f aca="false">IF('Cassidy Ford'!$B18="","",'Cassidy Ford'!$A18)</f>
        <v/>
      </c>
      <c r="B378" s="131" t="str">
        <f aca="false">IF('Cassidy Ford'!$B18="","",'Cassidy Ford'!$B18)</f>
        <v/>
      </c>
      <c r="C378" s="132" t="str">
        <f aca="false">IF('Cassidy Ford'!$B18="","",'Cassidy Ford'!$C18)</f>
        <v/>
      </c>
      <c r="D378" s="132" t="str">
        <f aca="false">IF('Cassidy Ford'!$B18="","",'Cassidy Ford'!$D18)</f>
        <v/>
      </c>
      <c r="E378" s="132" t="str">
        <f aca="false">IF('Cassidy Ford'!$B18="","",'Cassidy Ford'!$E18)</f>
        <v/>
      </c>
      <c r="F378" s="132" t="str">
        <f aca="false">IF('Cassidy Ford'!$B18="","",'Cassidy Ford'!$F18)</f>
        <v/>
      </c>
      <c r="G378" s="132" t="str">
        <f aca="false">IF('Cassidy Ford'!$B18="","",'Cassidy Ford'!$G18)</f>
        <v/>
      </c>
      <c r="H378" s="131" t="str">
        <f aca="false">IF('Cassidy Ford'!$B18="","",'Cassidy Ford'!$H18)</f>
        <v/>
      </c>
      <c r="I378" s="131" t="str">
        <f aca="false">IF('Cassidy Ford'!$B18="","",'Cassidy Ford'!$I18)</f>
        <v/>
      </c>
      <c r="J378" s="133" t="str">
        <f aca="false">IF('Cassidy Ford'!$B18="","",'Cassidy Ford'!$J18)</f>
        <v/>
      </c>
      <c r="K378" s="134" t="str">
        <f aca="false">IF('Cassidy Ford'!$B18="","",'Cassidy Ford'!$K18)</f>
        <v/>
      </c>
      <c r="L378" s="134" t="str">
        <f aca="false">IF('Cassidy Ford'!$B18="","",'Cassidy Ford'!$L18)</f>
        <v/>
      </c>
      <c r="M378" s="132" t="str">
        <f aca="false">IF('Cassidy Ford'!$B18="","",'Cassidy Ford'!$M18)</f>
        <v/>
      </c>
      <c r="N378" s="132" t="str">
        <f aca="false">IF('Cassidy Ford'!$B18="","",'Cassidy Ford'!$N18)</f>
        <v/>
      </c>
      <c r="O378" s="134" t="str">
        <f aca="false">IF('Cassidy Ford'!$B18="","",'Cassidy Ford'!$O18)</f>
        <v/>
      </c>
      <c r="P378" s="132" t="str">
        <f aca="false">IF('Cassidy Ford'!$B18="","",'Cassidy Ford'!$P18)</f>
        <v/>
      </c>
      <c r="Q378" s="131" t="str">
        <f aca="false">IF('Cassidy Ford'!$B18="","","Cassidy Ford")</f>
        <v/>
      </c>
      <c r="R378" s="131" t="n">
        <f aca="true">IF(OR($B378="",$I378="Complete",$L378=""),0,IF($L378&lt;TODAY(),1,0))</f>
        <v>0</v>
      </c>
      <c r="S378" s="131" t="n">
        <f aca="true">IF(OR($B378="",$I378="Complete",$L378=""),0,IF(AND($L378&gt;=TODAY(),$L378&lt;=TODAY()+7),1,0))</f>
        <v>0</v>
      </c>
      <c r="T378" s="131" t="str">
        <f aca="true">IF(OR($B378="",$L378=""),"",$L378-TODAY())</f>
        <v/>
      </c>
      <c r="U378" s="135" t="str">
        <f aca="false">IF($B378="","",IF($I378="Complete",1,IF($J378="",0,$J378)))</f>
        <v/>
      </c>
      <c r="V378" s="131" t="n">
        <f aca="false">IF($B378="",0,IF($N378="",0,1))</f>
        <v>0</v>
      </c>
      <c r="W378" s="131" t="n">
        <f aca="false">IF($B378="",0,1)</f>
        <v>0</v>
      </c>
    </row>
    <row r="379" customFormat="false" ht="15" hidden="false" customHeight="false" outlineLevel="0" collapsed="false">
      <c r="A379" s="131" t="str">
        <f aca="false">IF('Cassidy Ford'!$B19="","",'Cassidy Ford'!$A19)</f>
        <v/>
      </c>
      <c r="B379" s="131" t="str">
        <f aca="false">IF('Cassidy Ford'!$B19="","",'Cassidy Ford'!$B19)</f>
        <v/>
      </c>
      <c r="C379" s="132" t="str">
        <f aca="false">IF('Cassidy Ford'!$B19="","",'Cassidy Ford'!$C19)</f>
        <v/>
      </c>
      <c r="D379" s="132" t="str">
        <f aca="false">IF('Cassidy Ford'!$B19="","",'Cassidy Ford'!$D19)</f>
        <v/>
      </c>
      <c r="E379" s="132" t="str">
        <f aca="false">IF('Cassidy Ford'!$B19="","",'Cassidy Ford'!$E19)</f>
        <v/>
      </c>
      <c r="F379" s="132" t="str">
        <f aca="false">IF('Cassidy Ford'!$B19="","",'Cassidy Ford'!$F19)</f>
        <v/>
      </c>
      <c r="G379" s="132" t="str">
        <f aca="false">IF('Cassidy Ford'!$B19="","",'Cassidy Ford'!$G19)</f>
        <v/>
      </c>
      <c r="H379" s="131" t="str">
        <f aca="false">IF('Cassidy Ford'!$B19="","",'Cassidy Ford'!$H19)</f>
        <v/>
      </c>
      <c r="I379" s="131" t="str">
        <f aca="false">IF('Cassidy Ford'!$B19="","",'Cassidy Ford'!$I19)</f>
        <v/>
      </c>
      <c r="J379" s="133" t="str">
        <f aca="false">IF('Cassidy Ford'!$B19="","",'Cassidy Ford'!$J19)</f>
        <v/>
      </c>
      <c r="K379" s="134" t="str">
        <f aca="false">IF('Cassidy Ford'!$B19="","",'Cassidy Ford'!$K19)</f>
        <v/>
      </c>
      <c r="L379" s="134" t="str">
        <f aca="false">IF('Cassidy Ford'!$B19="","",'Cassidy Ford'!$L19)</f>
        <v/>
      </c>
      <c r="M379" s="132" t="str">
        <f aca="false">IF('Cassidy Ford'!$B19="","",'Cassidy Ford'!$M19)</f>
        <v/>
      </c>
      <c r="N379" s="132" t="str">
        <f aca="false">IF('Cassidy Ford'!$B19="","",'Cassidy Ford'!$N19)</f>
        <v/>
      </c>
      <c r="O379" s="134" t="str">
        <f aca="false">IF('Cassidy Ford'!$B19="","",'Cassidy Ford'!$O19)</f>
        <v/>
      </c>
      <c r="P379" s="132" t="str">
        <f aca="false">IF('Cassidy Ford'!$B19="","",'Cassidy Ford'!$P19)</f>
        <v/>
      </c>
      <c r="Q379" s="131" t="str">
        <f aca="false">IF('Cassidy Ford'!$B19="","","Cassidy Ford")</f>
        <v/>
      </c>
      <c r="R379" s="131" t="n">
        <f aca="true">IF(OR($B379="",$I379="Complete",$L379=""),0,IF($L379&lt;TODAY(),1,0))</f>
        <v>0</v>
      </c>
      <c r="S379" s="131" t="n">
        <f aca="true">IF(OR($B379="",$I379="Complete",$L379=""),0,IF(AND($L379&gt;=TODAY(),$L379&lt;=TODAY()+7),1,0))</f>
        <v>0</v>
      </c>
      <c r="T379" s="131" t="str">
        <f aca="true">IF(OR($B379="",$L379=""),"",$L379-TODAY())</f>
        <v/>
      </c>
      <c r="U379" s="135" t="str">
        <f aca="false">IF($B379="","",IF($I379="Complete",1,IF($J379="",0,$J379)))</f>
        <v/>
      </c>
      <c r="V379" s="131" t="n">
        <f aca="false">IF($B379="",0,IF($N379="",0,1))</f>
        <v>0</v>
      </c>
      <c r="W379" s="131" t="n">
        <f aca="false">IF($B379="",0,1)</f>
        <v>0</v>
      </c>
    </row>
    <row r="380" customFormat="false" ht="15" hidden="false" customHeight="false" outlineLevel="0" collapsed="false">
      <c r="A380" s="131" t="str">
        <f aca="false">IF('Cassidy Ford'!$B20="","",'Cassidy Ford'!$A20)</f>
        <v/>
      </c>
      <c r="B380" s="131" t="str">
        <f aca="false">IF('Cassidy Ford'!$B20="","",'Cassidy Ford'!$B20)</f>
        <v/>
      </c>
      <c r="C380" s="132" t="str">
        <f aca="false">IF('Cassidy Ford'!$B20="","",'Cassidy Ford'!$C20)</f>
        <v/>
      </c>
      <c r="D380" s="132" t="str">
        <f aca="false">IF('Cassidy Ford'!$B20="","",'Cassidy Ford'!$D20)</f>
        <v/>
      </c>
      <c r="E380" s="132" t="str">
        <f aca="false">IF('Cassidy Ford'!$B20="","",'Cassidy Ford'!$E20)</f>
        <v/>
      </c>
      <c r="F380" s="132" t="str">
        <f aca="false">IF('Cassidy Ford'!$B20="","",'Cassidy Ford'!$F20)</f>
        <v/>
      </c>
      <c r="G380" s="132" t="str">
        <f aca="false">IF('Cassidy Ford'!$B20="","",'Cassidy Ford'!$G20)</f>
        <v/>
      </c>
      <c r="H380" s="131" t="str">
        <f aca="false">IF('Cassidy Ford'!$B20="","",'Cassidy Ford'!$H20)</f>
        <v/>
      </c>
      <c r="I380" s="131" t="str">
        <f aca="false">IF('Cassidy Ford'!$B20="","",'Cassidy Ford'!$I20)</f>
        <v/>
      </c>
      <c r="J380" s="133" t="str">
        <f aca="false">IF('Cassidy Ford'!$B20="","",'Cassidy Ford'!$J20)</f>
        <v/>
      </c>
      <c r="K380" s="134" t="str">
        <f aca="false">IF('Cassidy Ford'!$B20="","",'Cassidy Ford'!$K20)</f>
        <v/>
      </c>
      <c r="L380" s="134" t="str">
        <f aca="false">IF('Cassidy Ford'!$B20="","",'Cassidy Ford'!$L20)</f>
        <v/>
      </c>
      <c r="M380" s="132" t="str">
        <f aca="false">IF('Cassidy Ford'!$B20="","",'Cassidy Ford'!$M20)</f>
        <v/>
      </c>
      <c r="N380" s="132" t="str">
        <f aca="false">IF('Cassidy Ford'!$B20="","",'Cassidy Ford'!$N20)</f>
        <v/>
      </c>
      <c r="O380" s="134" t="str">
        <f aca="false">IF('Cassidy Ford'!$B20="","",'Cassidy Ford'!$O20)</f>
        <v/>
      </c>
      <c r="P380" s="132" t="str">
        <f aca="false">IF('Cassidy Ford'!$B20="","",'Cassidy Ford'!$P20)</f>
        <v/>
      </c>
      <c r="Q380" s="131" t="str">
        <f aca="false">IF('Cassidy Ford'!$B20="","","Cassidy Ford")</f>
        <v/>
      </c>
      <c r="R380" s="131" t="n">
        <f aca="true">IF(OR($B380="",$I380="Complete",$L380=""),0,IF($L380&lt;TODAY(),1,0))</f>
        <v>0</v>
      </c>
      <c r="S380" s="131" t="n">
        <f aca="true">IF(OR($B380="",$I380="Complete",$L380=""),0,IF(AND($L380&gt;=TODAY(),$L380&lt;=TODAY()+7),1,0))</f>
        <v>0</v>
      </c>
      <c r="T380" s="131" t="str">
        <f aca="true">IF(OR($B380="",$L380=""),"",$L380-TODAY())</f>
        <v/>
      </c>
      <c r="U380" s="135" t="str">
        <f aca="false">IF($B380="","",IF($I380="Complete",1,IF($J380="",0,$J380)))</f>
        <v/>
      </c>
      <c r="V380" s="131" t="n">
        <f aca="false">IF($B380="",0,IF($N380="",0,1))</f>
        <v>0</v>
      </c>
      <c r="W380" s="131" t="n">
        <f aca="false">IF($B380="",0,1)</f>
        <v>0</v>
      </c>
    </row>
    <row r="381" customFormat="false" ht="15" hidden="false" customHeight="false" outlineLevel="0" collapsed="false">
      <c r="A381" s="131" t="str">
        <f aca="false">IF('Cassidy Ford'!$B21="","",'Cassidy Ford'!$A21)</f>
        <v/>
      </c>
      <c r="B381" s="131" t="str">
        <f aca="false">IF('Cassidy Ford'!$B21="","",'Cassidy Ford'!$B21)</f>
        <v/>
      </c>
      <c r="C381" s="132" t="str">
        <f aca="false">IF('Cassidy Ford'!$B21="","",'Cassidy Ford'!$C21)</f>
        <v/>
      </c>
      <c r="D381" s="132" t="str">
        <f aca="false">IF('Cassidy Ford'!$B21="","",'Cassidy Ford'!$D21)</f>
        <v/>
      </c>
      <c r="E381" s="132" t="str">
        <f aca="false">IF('Cassidy Ford'!$B21="","",'Cassidy Ford'!$E21)</f>
        <v/>
      </c>
      <c r="F381" s="132" t="str">
        <f aca="false">IF('Cassidy Ford'!$B21="","",'Cassidy Ford'!$F21)</f>
        <v/>
      </c>
      <c r="G381" s="132" t="str">
        <f aca="false">IF('Cassidy Ford'!$B21="","",'Cassidy Ford'!$G21)</f>
        <v/>
      </c>
      <c r="H381" s="131" t="str">
        <f aca="false">IF('Cassidy Ford'!$B21="","",'Cassidy Ford'!$H21)</f>
        <v/>
      </c>
      <c r="I381" s="131" t="str">
        <f aca="false">IF('Cassidy Ford'!$B21="","",'Cassidy Ford'!$I21)</f>
        <v/>
      </c>
      <c r="J381" s="133" t="str">
        <f aca="false">IF('Cassidy Ford'!$B21="","",'Cassidy Ford'!$J21)</f>
        <v/>
      </c>
      <c r="K381" s="134" t="str">
        <f aca="false">IF('Cassidy Ford'!$B21="","",'Cassidy Ford'!$K21)</f>
        <v/>
      </c>
      <c r="L381" s="134" t="str">
        <f aca="false">IF('Cassidy Ford'!$B21="","",'Cassidy Ford'!$L21)</f>
        <v/>
      </c>
      <c r="M381" s="132" t="str">
        <f aca="false">IF('Cassidy Ford'!$B21="","",'Cassidy Ford'!$M21)</f>
        <v/>
      </c>
      <c r="N381" s="132" t="str">
        <f aca="false">IF('Cassidy Ford'!$B21="","",'Cassidy Ford'!$N21)</f>
        <v/>
      </c>
      <c r="O381" s="134" t="str">
        <f aca="false">IF('Cassidy Ford'!$B21="","",'Cassidy Ford'!$O21)</f>
        <v/>
      </c>
      <c r="P381" s="132" t="str">
        <f aca="false">IF('Cassidy Ford'!$B21="","",'Cassidy Ford'!$P21)</f>
        <v/>
      </c>
      <c r="Q381" s="131" t="str">
        <f aca="false">IF('Cassidy Ford'!$B21="","","Cassidy Ford")</f>
        <v/>
      </c>
      <c r="R381" s="131" t="n">
        <f aca="true">IF(OR($B381="",$I381="Complete",$L381=""),0,IF($L381&lt;TODAY(),1,0))</f>
        <v>0</v>
      </c>
      <c r="S381" s="131" t="n">
        <f aca="true">IF(OR($B381="",$I381="Complete",$L381=""),0,IF(AND($L381&gt;=TODAY(),$L381&lt;=TODAY()+7),1,0))</f>
        <v>0</v>
      </c>
      <c r="T381" s="131" t="str">
        <f aca="true">IF(OR($B381="",$L381=""),"",$L381-TODAY())</f>
        <v/>
      </c>
      <c r="U381" s="135" t="str">
        <f aca="false">IF($B381="","",IF($I381="Complete",1,IF($J381="",0,$J381)))</f>
        <v/>
      </c>
      <c r="V381" s="131" t="n">
        <f aca="false">IF($B381="",0,IF($N381="",0,1))</f>
        <v>0</v>
      </c>
      <c r="W381" s="131" t="n">
        <f aca="false">IF($B381="",0,1)</f>
        <v>0</v>
      </c>
    </row>
    <row r="382" customFormat="false" ht="15" hidden="false" customHeight="false" outlineLevel="0" collapsed="false">
      <c r="A382" s="131" t="str">
        <f aca="false">IF('Cassidy Ford'!$B22="","",'Cassidy Ford'!$A22)</f>
        <v/>
      </c>
      <c r="B382" s="131" t="str">
        <f aca="false">IF('Cassidy Ford'!$B22="","",'Cassidy Ford'!$B22)</f>
        <v/>
      </c>
      <c r="C382" s="132" t="str">
        <f aca="false">IF('Cassidy Ford'!$B22="","",'Cassidy Ford'!$C22)</f>
        <v/>
      </c>
      <c r="D382" s="132" t="str">
        <f aca="false">IF('Cassidy Ford'!$B22="","",'Cassidy Ford'!$D22)</f>
        <v/>
      </c>
      <c r="E382" s="132" t="str">
        <f aca="false">IF('Cassidy Ford'!$B22="","",'Cassidy Ford'!$E22)</f>
        <v/>
      </c>
      <c r="F382" s="132" t="str">
        <f aca="false">IF('Cassidy Ford'!$B22="","",'Cassidy Ford'!$F22)</f>
        <v/>
      </c>
      <c r="G382" s="132" t="str">
        <f aca="false">IF('Cassidy Ford'!$B22="","",'Cassidy Ford'!$G22)</f>
        <v/>
      </c>
      <c r="H382" s="131" t="str">
        <f aca="false">IF('Cassidy Ford'!$B22="","",'Cassidy Ford'!$H22)</f>
        <v/>
      </c>
      <c r="I382" s="131" t="str">
        <f aca="false">IF('Cassidy Ford'!$B22="","",'Cassidy Ford'!$I22)</f>
        <v/>
      </c>
      <c r="J382" s="133" t="str">
        <f aca="false">IF('Cassidy Ford'!$B22="","",'Cassidy Ford'!$J22)</f>
        <v/>
      </c>
      <c r="K382" s="134" t="str">
        <f aca="false">IF('Cassidy Ford'!$B22="","",'Cassidy Ford'!$K22)</f>
        <v/>
      </c>
      <c r="L382" s="134" t="str">
        <f aca="false">IF('Cassidy Ford'!$B22="","",'Cassidy Ford'!$L22)</f>
        <v/>
      </c>
      <c r="M382" s="132" t="str">
        <f aca="false">IF('Cassidy Ford'!$B22="","",'Cassidy Ford'!$M22)</f>
        <v/>
      </c>
      <c r="N382" s="132" t="str">
        <f aca="false">IF('Cassidy Ford'!$B22="","",'Cassidy Ford'!$N22)</f>
        <v/>
      </c>
      <c r="O382" s="134" t="str">
        <f aca="false">IF('Cassidy Ford'!$B22="","",'Cassidy Ford'!$O22)</f>
        <v/>
      </c>
      <c r="P382" s="132" t="str">
        <f aca="false">IF('Cassidy Ford'!$B22="","",'Cassidy Ford'!$P22)</f>
        <v/>
      </c>
      <c r="Q382" s="131" t="str">
        <f aca="false">IF('Cassidy Ford'!$B22="","","Cassidy Ford")</f>
        <v/>
      </c>
      <c r="R382" s="131" t="n">
        <f aca="true">IF(OR($B382="",$I382="Complete",$L382=""),0,IF($L382&lt;TODAY(),1,0))</f>
        <v>0</v>
      </c>
      <c r="S382" s="131" t="n">
        <f aca="true">IF(OR($B382="",$I382="Complete",$L382=""),0,IF(AND($L382&gt;=TODAY(),$L382&lt;=TODAY()+7),1,0))</f>
        <v>0</v>
      </c>
      <c r="T382" s="131" t="str">
        <f aca="true">IF(OR($B382="",$L382=""),"",$L382-TODAY())</f>
        <v/>
      </c>
      <c r="U382" s="135" t="str">
        <f aca="false">IF($B382="","",IF($I382="Complete",1,IF($J382="",0,$J382)))</f>
        <v/>
      </c>
      <c r="V382" s="131" t="n">
        <f aca="false">IF($B382="",0,IF($N382="",0,1))</f>
        <v>0</v>
      </c>
      <c r="W382" s="131" t="n">
        <f aca="false">IF($B382="",0,1)</f>
        <v>0</v>
      </c>
    </row>
    <row r="383" customFormat="false" ht="15" hidden="false" customHeight="false" outlineLevel="0" collapsed="false">
      <c r="A383" s="131" t="str">
        <f aca="false">IF('Cassidy Ford'!$B23="","",'Cassidy Ford'!$A23)</f>
        <v/>
      </c>
      <c r="B383" s="131" t="str">
        <f aca="false">IF('Cassidy Ford'!$B23="","",'Cassidy Ford'!$B23)</f>
        <v/>
      </c>
      <c r="C383" s="132" t="str">
        <f aca="false">IF('Cassidy Ford'!$B23="","",'Cassidy Ford'!$C23)</f>
        <v/>
      </c>
      <c r="D383" s="132" t="str">
        <f aca="false">IF('Cassidy Ford'!$B23="","",'Cassidy Ford'!$D23)</f>
        <v/>
      </c>
      <c r="E383" s="132" t="str">
        <f aca="false">IF('Cassidy Ford'!$B23="","",'Cassidy Ford'!$E23)</f>
        <v/>
      </c>
      <c r="F383" s="132" t="str">
        <f aca="false">IF('Cassidy Ford'!$B23="","",'Cassidy Ford'!$F23)</f>
        <v/>
      </c>
      <c r="G383" s="132" t="str">
        <f aca="false">IF('Cassidy Ford'!$B23="","",'Cassidy Ford'!$G23)</f>
        <v/>
      </c>
      <c r="H383" s="131" t="str">
        <f aca="false">IF('Cassidy Ford'!$B23="","",'Cassidy Ford'!$H23)</f>
        <v/>
      </c>
      <c r="I383" s="131" t="str">
        <f aca="false">IF('Cassidy Ford'!$B23="","",'Cassidy Ford'!$I23)</f>
        <v/>
      </c>
      <c r="J383" s="133" t="str">
        <f aca="false">IF('Cassidy Ford'!$B23="","",'Cassidy Ford'!$J23)</f>
        <v/>
      </c>
      <c r="K383" s="134" t="str">
        <f aca="false">IF('Cassidy Ford'!$B23="","",'Cassidy Ford'!$K23)</f>
        <v/>
      </c>
      <c r="L383" s="134" t="str">
        <f aca="false">IF('Cassidy Ford'!$B23="","",'Cassidy Ford'!$L23)</f>
        <v/>
      </c>
      <c r="M383" s="132" t="str">
        <f aca="false">IF('Cassidy Ford'!$B23="","",'Cassidy Ford'!$M23)</f>
        <v/>
      </c>
      <c r="N383" s="132" t="str">
        <f aca="false">IF('Cassidy Ford'!$B23="","",'Cassidy Ford'!$N23)</f>
        <v/>
      </c>
      <c r="O383" s="134" t="str">
        <f aca="false">IF('Cassidy Ford'!$B23="","",'Cassidy Ford'!$O23)</f>
        <v/>
      </c>
      <c r="P383" s="132" t="str">
        <f aca="false">IF('Cassidy Ford'!$B23="","",'Cassidy Ford'!$P23)</f>
        <v/>
      </c>
      <c r="Q383" s="131" t="str">
        <f aca="false">IF('Cassidy Ford'!$B23="","","Cassidy Ford")</f>
        <v/>
      </c>
      <c r="R383" s="131" t="n">
        <f aca="true">IF(OR($B383="",$I383="Complete",$L383=""),0,IF($L383&lt;TODAY(),1,0))</f>
        <v>0</v>
      </c>
      <c r="S383" s="131" t="n">
        <f aca="true">IF(OR($B383="",$I383="Complete",$L383=""),0,IF(AND($L383&gt;=TODAY(),$L383&lt;=TODAY()+7),1,0))</f>
        <v>0</v>
      </c>
      <c r="T383" s="131" t="str">
        <f aca="true">IF(OR($B383="",$L383=""),"",$L383-TODAY())</f>
        <v/>
      </c>
      <c r="U383" s="135" t="str">
        <f aca="false">IF($B383="","",IF($I383="Complete",1,IF($J383="",0,$J383)))</f>
        <v/>
      </c>
      <c r="V383" s="131" t="n">
        <f aca="false">IF($B383="",0,IF($N383="",0,1))</f>
        <v>0</v>
      </c>
      <c r="W383" s="131" t="n">
        <f aca="false">IF($B383="",0,1)</f>
        <v>0</v>
      </c>
    </row>
    <row r="384" customFormat="false" ht="15" hidden="false" customHeight="false" outlineLevel="0" collapsed="false">
      <c r="A384" s="131" t="str">
        <f aca="false">IF('Cassidy Ford'!$B24="","",'Cassidy Ford'!$A24)</f>
        <v/>
      </c>
      <c r="B384" s="131" t="str">
        <f aca="false">IF('Cassidy Ford'!$B24="","",'Cassidy Ford'!$B24)</f>
        <v/>
      </c>
      <c r="C384" s="132" t="str">
        <f aca="false">IF('Cassidy Ford'!$B24="","",'Cassidy Ford'!$C24)</f>
        <v/>
      </c>
      <c r="D384" s="132" t="str">
        <f aca="false">IF('Cassidy Ford'!$B24="","",'Cassidy Ford'!$D24)</f>
        <v/>
      </c>
      <c r="E384" s="132" t="str">
        <f aca="false">IF('Cassidy Ford'!$B24="","",'Cassidy Ford'!$E24)</f>
        <v/>
      </c>
      <c r="F384" s="132" t="str">
        <f aca="false">IF('Cassidy Ford'!$B24="","",'Cassidy Ford'!$F24)</f>
        <v/>
      </c>
      <c r="G384" s="132" t="str">
        <f aca="false">IF('Cassidy Ford'!$B24="","",'Cassidy Ford'!$G24)</f>
        <v/>
      </c>
      <c r="H384" s="131" t="str">
        <f aca="false">IF('Cassidy Ford'!$B24="","",'Cassidy Ford'!$H24)</f>
        <v/>
      </c>
      <c r="I384" s="131" t="str">
        <f aca="false">IF('Cassidy Ford'!$B24="","",'Cassidy Ford'!$I24)</f>
        <v/>
      </c>
      <c r="J384" s="133" t="str">
        <f aca="false">IF('Cassidy Ford'!$B24="","",'Cassidy Ford'!$J24)</f>
        <v/>
      </c>
      <c r="K384" s="134" t="str">
        <f aca="false">IF('Cassidy Ford'!$B24="","",'Cassidy Ford'!$K24)</f>
        <v/>
      </c>
      <c r="L384" s="134" t="str">
        <f aca="false">IF('Cassidy Ford'!$B24="","",'Cassidy Ford'!$L24)</f>
        <v/>
      </c>
      <c r="M384" s="132" t="str">
        <f aca="false">IF('Cassidy Ford'!$B24="","",'Cassidy Ford'!$M24)</f>
        <v/>
      </c>
      <c r="N384" s="132" t="str">
        <f aca="false">IF('Cassidy Ford'!$B24="","",'Cassidy Ford'!$N24)</f>
        <v/>
      </c>
      <c r="O384" s="134" t="str">
        <f aca="false">IF('Cassidy Ford'!$B24="","",'Cassidy Ford'!$O24)</f>
        <v/>
      </c>
      <c r="P384" s="132" t="str">
        <f aca="false">IF('Cassidy Ford'!$B24="","",'Cassidy Ford'!$P24)</f>
        <v/>
      </c>
      <c r="Q384" s="131" t="str">
        <f aca="false">IF('Cassidy Ford'!$B24="","","Cassidy Ford")</f>
        <v/>
      </c>
      <c r="R384" s="131" t="n">
        <f aca="true">IF(OR($B384="",$I384="Complete",$L384=""),0,IF($L384&lt;TODAY(),1,0))</f>
        <v>0</v>
      </c>
      <c r="S384" s="131" t="n">
        <f aca="true">IF(OR($B384="",$I384="Complete",$L384=""),0,IF(AND($L384&gt;=TODAY(),$L384&lt;=TODAY()+7),1,0))</f>
        <v>0</v>
      </c>
      <c r="T384" s="131" t="str">
        <f aca="true">IF(OR($B384="",$L384=""),"",$L384-TODAY())</f>
        <v/>
      </c>
      <c r="U384" s="135" t="str">
        <f aca="false">IF($B384="","",IF($I384="Complete",1,IF($J384="",0,$J384)))</f>
        <v/>
      </c>
      <c r="V384" s="131" t="n">
        <f aca="false">IF($B384="",0,IF($N384="",0,1))</f>
        <v>0</v>
      </c>
      <c r="W384" s="131" t="n">
        <f aca="false">IF($B384="",0,1)</f>
        <v>0</v>
      </c>
    </row>
    <row r="385" customFormat="false" ht="15" hidden="false" customHeight="false" outlineLevel="0" collapsed="false">
      <c r="A385" s="131" t="str">
        <f aca="false">IF('Cassidy Ford'!$B25="","",'Cassidy Ford'!$A25)</f>
        <v/>
      </c>
      <c r="B385" s="131" t="str">
        <f aca="false">IF('Cassidy Ford'!$B25="","",'Cassidy Ford'!$B25)</f>
        <v/>
      </c>
      <c r="C385" s="132" t="str">
        <f aca="false">IF('Cassidy Ford'!$B25="","",'Cassidy Ford'!$C25)</f>
        <v/>
      </c>
      <c r="D385" s="132" t="str">
        <f aca="false">IF('Cassidy Ford'!$B25="","",'Cassidy Ford'!$D25)</f>
        <v/>
      </c>
      <c r="E385" s="132" t="str">
        <f aca="false">IF('Cassidy Ford'!$B25="","",'Cassidy Ford'!$E25)</f>
        <v/>
      </c>
      <c r="F385" s="132" t="str">
        <f aca="false">IF('Cassidy Ford'!$B25="","",'Cassidy Ford'!$F25)</f>
        <v/>
      </c>
      <c r="G385" s="132" t="str">
        <f aca="false">IF('Cassidy Ford'!$B25="","",'Cassidy Ford'!$G25)</f>
        <v/>
      </c>
      <c r="H385" s="131" t="str">
        <f aca="false">IF('Cassidy Ford'!$B25="","",'Cassidy Ford'!$H25)</f>
        <v/>
      </c>
      <c r="I385" s="131" t="str">
        <f aca="false">IF('Cassidy Ford'!$B25="","",'Cassidy Ford'!$I25)</f>
        <v/>
      </c>
      <c r="J385" s="133" t="str">
        <f aca="false">IF('Cassidy Ford'!$B25="","",'Cassidy Ford'!$J25)</f>
        <v/>
      </c>
      <c r="K385" s="134" t="str">
        <f aca="false">IF('Cassidy Ford'!$B25="","",'Cassidy Ford'!$K25)</f>
        <v/>
      </c>
      <c r="L385" s="134" t="str">
        <f aca="false">IF('Cassidy Ford'!$B25="","",'Cassidy Ford'!$L25)</f>
        <v/>
      </c>
      <c r="M385" s="132" t="str">
        <f aca="false">IF('Cassidy Ford'!$B25="","",'Cassidy Ford'!$M25)</f>
        <v/>
      </c>
      <c r="N385" s="132" t="str">
        <f aca="false">IF('Cassidy Ford'!$B25="","",'Cassidy Ford'!$N25)</f>
        <v/>
      </c>
      <c r="O385" s="134" t="str">
        <f aca="false">IF('Cassidy Ford'!$B25="","",'Cassidy Ford'!$O25)</f>
        <v/>
      </c>
      <c r="P385" s="132" t="str">
        <f aca="false">IF('Cassidy Ford'!$B25="","",'Cassidy Ford'!$P25)</f>
        <v/>
      </c>
      <c r="Q385" s="131" t="str">
        <f aca="false">IF('Cassidy Ford'!$B25="","","Cassidy Ford")</f>
        <v/>
      </c>
      <c r="R385" s="131" t="n">
        <f aca="true">IF(OR($B385="",$I385="Complete",$L385=""),0,IF($L385&lt;TODAY(),1,0))</f>
        <v>0</v>
      </c>
      <c r="S385" s="131" t="n">
        <f aca="true">IF(OR($B385="",$I385="Complete",$L385=""),0,IF(AND($L385&gt;=TODAY(),$L385&lt;=TODAY()+7),1,0))</f>
        <v>0</v>
      </c>
      <c r="T385" s="131" t="str">
        <f aca="true">IF(OR($B385="",$L385=""),"",$L385-TODAY())</f>
        <v/>
      </c>
      <c r="U385" s="135" t="str">
        <f aca="false">IF($B385="","",IF($I385="Complete",1,IF($J385="",0,$J385)))</f>
        <v/>
      </c>
      <c r="V385" s="131" t="n">
        <f aca="false">IF($B385="",0,IF($N385="",0,1))</f>
        <v>0</v>
      </c>
      <c r="W385" s="131" t="n">
        <f aca="false">IF($B385="",0,1)</f>
        <v>0</v>
      </c>
    </row>
    <row r="386" customFormat="false" ht="15" hidden="false" customHeight="false" outlineLevel="0" collapsed="false">
      <c r="A386" s="131" t="str">
        <f aca="false">IF('Cassidy Ford'!$B26="","",'Cassidy Ford'!$A26)</f>
        <v/>
      </c>
      <c r="B386" s="131" t="str">
        <f aca="false">IF('Cassidy Ford'!$B26="","",'Cassidy Ford'!$B26)</f>
        <v/>
      </c>
      <c r="C386" s="132" t="str">
        <f aca="false">IF('Cassidy Ford'!$B26="","",'Cassidy Ford'!$C26)</f>
        <v/>
      </c>
      <c r="D386" s="132" t="str">
        <f aca="false">IF('Cassidy Ford'!$B26="","",'Cassidy Ford'!$D26)</f>
        <v/>
      </c>
      <c r="E386" s="132" t="str">
        <f aca="false">IF('Cassidy Ford'!$B26="","",'Cassidy Ford'!$E26)</f>
        <v/>
      </c>
      <c r="F386" s="132" t="str">
        <f aca="false">IF('Cassidy Ford'!$B26="","",'Cassidy Ford'!$F26)</f>
        <v/>
      </c>
      <c r="G386" s="132" t="str">
        <f aca="false">IF('Cassidy Ford'!$B26="","",'Cassidy Ford'!$G26)</f>
        <v/>
      </c>
      <c r="H386" s="131" t="str">
        <f aca="false">IF('Cassidy Ford'!$B26="","",'Cassidy Ford'!$H26)</f>
        <v/>
      </c>
      <c r="I386" s="131" t="str">
        <f aca="false">IF('Cassidy Ford'!$B26="","",'Cassidy Ford'!$I26)</f>
        <v/>
      </c>
      <c r="J386" s="133" t="str">
        <f aca="false">IF('Cassidy Ford'!$B26="","",'Cassidy Ford'!$J26)</f>
        <v/>
      </c>
      <c r="K386" s="134" t="str">
        <f aca="false">IF('Cassidy Ford'!$B26="","",'Cassidy Ford'!$K26)</f>
        <v/>
      </c>
      <c r="L386" s="134" t="str">
        <f aca="false">IF('Cassidy Ford'!$B26="","",'Cassidy Ford'!$L26)</f>
        <v/>
      </c>
      <c r="M386" s="132" t="str">
        <f aca="false">IF('Cassidy Ford'!$B26="","",'Cassidy Ford'!$M26)</f>
        <v/>
      </c>
      <c r="N386" s="132" t="str">
        <f aca="false">IF('Cassidy Ford'!$B26="","",'Cassidy Ford'!$N26)</f>
        <v/>
      </c>
      <c r="O386" s="134" t="str">
        <f aca="false">IF('Cassidy Ford'!$B26="","",'Cassidy Ford'!$O26)</f>
        <v/>
      </c>
      <c r="P386" s="132" t="str">
        <f aca="false">IF('Cassidy Ford'!$B26="","",'Cassidy Ford'!$P26)</f>
        <v/>
      </c>
      <c r="Q386" s="131" t="str">
        <f aca="false">IF('Cassidy Ford'!$B26="","","Cassidy Ford")</f>
        <v/>
      </c>
      <c r="R386" s="131" t="n">
        <f aca="true">IF(OR($B386="",$I386="Complete",$L386=""),0,IF($L386&lt;TODAY(),1,0))</f>
        <v>0</v>
      </c>
      <c r="S386" s="131" t="n">
        <f aca="true">IF(OR($B386="",$I386="Complete",$L386=""),0,IF(AND($L386&gt;=TODAY(),$L386&lt;=TODAY()+7),1,0))</f>
        <v>0</v>
      </c>
      <c r="T386" s="131" t="str">
        <f aca="true">IF(OR($B386="",$L386=""),"",$L386-TODAY())</f>
        <v/>
      </c>
      <c r="U386" s="135" t="str">
        <f aca="false">IF($B386="","",IF($I386="Complete",1,IF($J386="",0,$J386)))</f>
        <v/>
      </c>
      <c r="V386" s="131" t="n">
        <f aca="false">IF($B386="",0,IF($N386="",0,1))</f>
        <v>0</v>
      </c>
      <c r="W386" s="131" t="n">
        <f aca="false">IF($B386="",0,1)</f>
        <v>0</v>
      </c>
    </row>
    <row r="387" customFormat="false" ht="15" hidden="false" customHeight="false" outlineLevel="0" collapsed="false">
      <c r="A387" s="131" t="str">
        <f aca="false">IF('Cassidy Ford'!$B27="","",'Cassidy Ford'!$A27)</f>
        <v/>
      </c>
      <c r="B387" s="131" t="str">
        <f aca="false">IF('Cassidy Ford'!$B27="","",'Cassidy Ford'!$B27)</f>
        <v/>
      </c>
      <c r="C387" s="132" t="str">
        <f aca="false">IF('Cassidy Ford'!$B27="","",'Cassidy Ford'!$C27)</f>
        <v/>
      </c>
      <c r="D387" s="132" t="str">
        <f aca="false">IF('Cassidy Ford'!$B27="","",'Cassidy Ford'!$D27)</f>
        <v/>
      </c>
      <c r="E387" s="132" t="str">
        <f aca="false">IF('Cassidy Ford'!$B27="","",'Cassidy Ford'!$E27)</f>
        <v/>
      </c>
      <c r="F387" s="132" t="str">
        <f aca="false">IF('Cassidy Ford'!$B27="","",'Cassidy Ford'!$F27)</f>
        <v/>
      </c>
      <c r="G387" s="132" t="str">
        <f aca="false">IF('Cassidy Ford'!$B27="","",'Cassidy Ford'!$G27)</f>
        <v/>
      </c>
      <c r="H387" s="131" t="str">
        <f aca="false">IF('Cassidy Ford'!$B27="","",'Cassidy Ford'!$H27)</f>
        <v/>
      </c>
      <c r="I387" s="131" t="str">
        <f aca="false">IF('Cassidy Ford'!$B27="","",'Cassidy Ford'!$I27)</f>
        <v/>
      </c>
      <c r="J387" s="133" t="str">
        <f aca="false">IF('Cassidy Ford'!$B27="","",'Cassidy Ford'!$J27)</f>
        <v/>
      </c>
      <c r="K387" s="134" t="str">
        <f aca="false">IF('Cassidy Ford'!$B27="","",'Cassidy Ford'!$K27)</f>
        <v/>
      </c>
      <c r="L387" s="134" t="str">
        <f aca="false">IF('Cassidy Ford'!$B27="","",'Cassidy Ford'!$L27)</f>
        <v/>
      </c>
      <c r="M387" s="132" t="str">
        <f aca="false">IF('Cassidy Ford'!$B27="","",'Cassidy Ford'!$M27)</f>
        <v/>
      </c>
      <c r="N387" s="132" t="str">
        <f aca="false">IF('Cassidy Ford'!$B27="","",'Cassidy Ford'!$N27)</f>
        <v/>
      </c>
      <c r="O387" s="134" t="str">
        <f aca="false">IF('Cassidy Ford'!$B27="","",'Cassidy Ford'!$O27)</f>
        <v/>
      </c>
      <c r="P387" s="132" t="str">
        <f aca="false">IF('Cassidy Ford'!$B27="","",'Cassidy Ford'!$P27)</f>
        <v/>
      </c>
      <c r="Q387" s="131" t="str">
        <f aca="false">IF('Cassidy Ford'!$B27="","","Cassidy Ford")</f>
        <v/>
      </c>
      <c r="R387" s="131" t="n">
        <f aca="true">IF(OR($B387="",$I387="Complete",$L387=""),0,IF($L387&lt;TODAY(),1,0))</f>
        <v>0</v>
      </c>
      <c r="S387" s="131" t="n">
        <f aca="true">IF(OR($B387="",$I387="Complete",$L387=""),0,IF(AND($L387&gt;=TODAY(),$L387&lt;=TODAY()+7),1,0))</f>
        <v>0</v>
      </c>
      <c r="T387" s="131" t="str">
        <f aca="true">IF(OR($B387="",$L387=""),"",$L387-TODAY())</f>
        <v/>
      </c>
      <c r="U387" s="135" t="str">
        <f aca="false">IF($B387="","",IF($I387="Complete",1,IF($J387="",0,$J387)))</f>
        <v/>
      </c>
      <c r="V387" s="131" t="n">
        <f aca="false">IF($B387="",0,IF($N387="",0,1))</f>
        <v>0</v>
      </c>
      <c r="W387" s="131" t="n">
        <f aca="false">IF($B387="",0,1)</f>
        <v>0</v>
      </c>
    </row>
    <row r="388" customFormat="false" ht="15" hidden="false" customHeight="false" outlineLevel="0" collapsed="false">
      <c r="A388" s="131" t="str">
        <f aca="false">IF('Cassidy Ford'!$B28="","",'Cassidy Ford'!$A28)</f>
        <v/>
      </c>
      <c r="B388" s="131" t="str">
        <f aca="false">IF('Cassidy Ford'!$B28="","",'Cassidy Ford'!$B28)</f>
        <v/>
      </c>
      <c r="C388" s="132" t="str">
        <f aca="false">IF('Cassidy Ford'!$B28="","",'Cassidy Ford'!$C28)</f>
        <v/>
      </c>
      <c r="D388" s="132" t="str">
        <f aca="false">IF('Cassidy Ford'!$B28="","",'Cassidy Ford'!$D28)</f>
        <v/>
      </c>
      <c r="E388" s="132" t="str">
        <f aca="false">IF('Cassidy Ford'!$B28="","",'Cassidy Ford'!$E28)</f>
        <v/>
      </c>
      <c r="F388" s="132" t="str">
        <f aca="false">IF('Cassidy Ford'!$B28="","",'Cassidy Ford'!$F28)</f>
        <v/>
      </c>
      <c r="G388" s="132" t="str">
        <f aca="false">IF('Cassidy Ford'!$B28="","",'Cassidy Ford'!$G28)</f>
        <v/>
      </c>
      <c r="H388" s="131" t="str">
        <f aca="false">IF('Cassidy Ford'!$B28="","",'Cassidy Ford'!$H28)</f>
        <v/>
      </c>
      <c r="I388" s="131" t="str">
        <f aca="false">IF('Cassidy Ford'!$B28="","",'Cassidy Ford'!$I28)</f>
        <v/>
      </c>
      <c r="J388" s="133" t="str">
        <f aca="false">IF('Cassidy Ford'!$B28="","",'Cassidy Ford'!$J28)</f>
        <v/>
      </c>
      <c r="K388" s="134" t="str">
        <f aca="false">IF('Cassidy Ford'!$B28="","",'Cassidy Ford'!$K28)</f>
        <v/>
      </c>
      <c r="L388" s="134" t="str">
        <f aca="false">IF('Cassidy Ford'!$B28="","",'Cassidy Ford'!$L28)</f>
        <v/>
      </c>
      <c r="M388" s="132" t="str">
        <f aca="false">IF('Cassidy Ford'!$B28="","",'Cassidy Ford'!$M28)</f>
        <v/>
      </c>
      <c r="N388" s="132" t="str">
        <f aca="false">IF('Cassidy Ford'!$B28="","",'Cassidy Ford'!$N28)</f>
        <v/>
      </c>
      <c r="O388" s="134" t="str">
        <f aca="false">IF('Cassidy Ford'!$B28="","",'Cassidy Ford'!$O28)</f>
        <v/>
      </c>
      <c r="P388" s="132" t="str">
        <f aca="false">IF('Cassidy Ford'!$B28="","",'Cassidy Ford'!$P28)</f>
        <v/>
      </c>
      <c r="Q388" s="131" t="str">
        <f aca="false">IF('Cassidy Ford'!$B28="","","Cassidy Ford")</f>
        <v/>
      </c>
      <c r="R388" s="131" t="n">
        <f aca="true">IF(OR($B388="",$I388="Complete",$L388=""),0,IF($L388&lt;TODAY(),1,0))</f>
        <v>0</v>
      </c>
      <c r="S388" s="131" t="n">
        <f aca="true">IF(OR($B388="",$I388="Complete",$L388=""),0,IF(AND($L388&gt;=TODAY(),$L388&lt;=TODAY()+7),1,0))</f>
        <v>0</v>
      </c>
      <c r="T388" s="131" t="str">
        <f aca="true">IF(OR($B388="",$L388=""),"",$L388-TODAY())</f>
        <v/>
      </c>
      <c r="U388" s="135" t="str">
        <f aca="false">IF($B388="","",IF($I388="Complete",1,IF($J388="",0,$J388)))</f>
        <v/>
      </c>
      <c r="V388" s="131" t="n">
        <f aca="false">IF($B388="",0,IF($N388="",0,1))</f>
        <v>0</v>
      </c>
      <c r="W388" s="131" t="n">
        <f aca="false">IF($B388="",0,1)</f>
        <v>0</v>
      </c>
    </row>
    <row r="389" customFormat="false" ht="15" hidden="false" customHeight="false" outlineLevel="0" collapsed="false">
      <c r="A389" s="131" t="str">
        <f aca="false">IF('Cassidy Ford'!$B29="","",'Cassidy Ford'!$A29)</f>
        <v/>
      </c>
      <c r="B389" s="131" t="str">
        <f aca="false">IF('Cassidy Ford'!$B29="","",'Cassidy Ford'!$B29)</f>
        <v/>
      </c>
      <c r="C389" s="132" t="str">
        <f aca="false">IF('Cassidy Ford'!$B29="","",'Cassidy Ford'!$C29)</f>
        <v/>
      </c>
      <c r="D389" s="132" t="str">
        <f aca="false">IF('Cassidy Ford'!$B29="","",'Cassidy Ford'!$D29)</f>
        <v/>
      </c>
      <c r="E389" s="132" t="str">
        <f aca="false">IF('Cassidy Ford'!$B29="","",'Cassidy Ford'!$E29)</f>
        <v/>
      </c>
      <c r="F389" s="132" t="str">
        <f aca="false">IF('Cassidy Ford'!$B29="","",'Cassidy Ford'!$F29)</f>
        <v/>
      </c>
      <c r="G389" s="132" t="str">
        <f aca="false">IF('Cassidy Ford'!$B29="","",'Cassidy Ford'!$G29)</f>
        <v/>
      </c>
      <c r="H389" s="131" t="str">
        <f aca="false">IF('Cassidy Ford'!$B29="","",'Cassidy Ford'!$H29)</f>
        <v/>
      </c>
      <c r="I389" s="131" t="str">
        <f aca="false">IF('Cassidy Ford'!$B29="","",'Cassidy Ford'!$I29)</f>
        <v/>
      </c>
      <c r="J389" s="133" t="str">
        <f aca="false">IF('Cassidy Ford'!$B29="","",'Cassidy Ford'!$J29)</f>
        <v/>
      </c>
      <c r="K389" s="134" t="str">
        <f aca="false">IF('Cassidy Ford'!$B29="","",'Cassidy Ford'!$K29)</f>
        <v/>
      </c>
      <c r="L389" s="134" t="str">
        <f aca="false">IF('Cassidy Ford'!$B29="","",'Cassidy Ford'!$L29)</f>
        <v/>
      </c>
      <c r="M389" s="132" t="str">
        <f aca="false">IF('Cassidy Ford'!$B29="","",'Cassidy Ford'!$M29)</f>
        <v/>
      </c>
      <c r="N389" s="132" t="str">
        <f aca="false">IF('Cassidy Ford'!$B29="","",'Cassidy Ford'!$N29)</f>
        <v/>
      </c>
      <c r="O389" s="134" t="str">
        <f aca="false">IF('Cassidy Ford'!$B29="","",'Cassidy Ford'!$O29)</f>
        <v/>
      </c>
      <c r="P389" s="132" t="str">
        <f aca="false">IF('Cassidy Ford'!$B29="","",'Cassidy Ford'!$P29)</f>
        <v/>
      </c>
      <c r="Q389" s="131" t="str">
        <f aca="false">IF('Cassidy Ford'!$B29="","","Cassidy Ford")</f>
        <v/>
      </c>
      <c r="R389" s="131" t="n">
        <f aca="true">IF(OR($B389="",$I389="Complete",$L389=""),0,IF($L389&lt;TODAY(),1,0))</f>
        <v>0</v>
      </c>
      <c r="S389" s="131" t="n">
        <f aca="true">IF(OR($B389="",$I389="Complete",$L389=""),0,IF(AND($L389&gt;=TODAY(),$L389&lt;=TODAY()+7),1,0))</f>
        <v>0</v>
      </c>
      <c r="T389" s="131" t="str">
        <f aca="true">IF(OR($B389="",$L389=""),"",$L389-TODAY())</f>
        <v/>
      </c>
      <c r="U389" s="135" t="str">
        <f aca="false">IF($B389="","",IF($I389="Complete",1,IF($J389="",0,$J389)))</f>
        <v/>
      </c>
      <c r="V389" s="131" t="n">
        <f aca="false">IF($B389="",0,IF($N389="",0,1))</f>
        <v>0</v>
      </c>
      <c r="W389" s="131" t="n">
        <f aca="false">IF($B389="",0,1)</f>
        <v>0</v>
      </c>
    </row>
    <row r="390" customFormat="false" ht="15" hidden="false" customHeight="false" outlineLevel="0" collapsed="false">
      <c r="A390" s="131" t="str">
        <f aca="false">IF('Cassidy Ford'!$B30="","",'Cassidy Ford'!$A30)</f>
        <v/>
      </c>
      <c r="B390" s="131" t="str">
        <f aca="false">IF('Cassidy Ford'!$B30="","",'Cassidy Ford'!$B30)</f>
        <v/>
      </c>
      <c r="C390" s="132" t="str">
        <f aca="false">IF('Cassidy Ford'!$B30="","",'Cassidy Ford'!$C30)</f>
        <v/>
      </c>
      <c r="D390" s="132" t="str">
        <f aca="false">IF('Cassidy Ford'!$B30="","",'Cassidy Ford'!$D30)</f>
        <v/>
      </c>
      <c r="E390" s="132" t="str">
        <f aca="false">IF('Cassidy Ford'!$B30="","",'Cassidy Ford'!$E30)</f>
        <v/>
      </c>
      <c r="F390" s="132" t="str">
        <f aca="false">IF('Cassidy Ford'!$B30="","",'Cassidy Ford'!$F30)</f>
        <v/>
      </c>
      <c r="G390" s="132" t="str">
        <f aca="false">IF('Cassidy Ford'!$B30="","",'Cassidy Ford'!$G30)</f>
        <v/>
      </c>
      <c r="H390" s="131" t="str">
        <f aca="false">IF('Cassidy Ford'!$B30="","",'Cassidy Ford'!$H30)</f>
        <v/>
      </c>
      <c r="I390" s="131" t="str">
        <f aca="false">IF('Cassidy Ford'!$B30="","",'Cassidy Ford'!$I30)</f>
        <v/>
      </c>
      <c r="J390" s="133" t="str">
        <f aca="false">IF('Cassidy Ford'!$B30="","",'Cassidy Ford'!$J30)</f>
        <v/>
      </c>
      <c r="K390" s="134" t="str">
        <f aca="false">IF('Cassidy Ford'!$B30="","",'Cassidy Ford'!$K30)</f>
        <v/>
      </c>
      <c r="L390" s="134" t="str">
        <f aca="false">IF('Cassidy Ford'!$B30="","",'Cassidy Ford'!$L30)</f>
        <v/>
      </c>
      <c r="M390" s="132" t="str">
        <f aca="false">IF('Cassidy Ford'!$B30="","",'Cassidy Ford'!$M30)</f>
        <v/>
      </c>
      <c r="N390" s="132" t="str">
        <f aca="false">IF('Cassidy Ford'!$B30="","",'Cassidy Ford'!$N30)</f>
        <v/>
      </c>
      <c r="O390" s="134" t="str">
        <f aca="false">IF('Cassidy Ford'!$B30="","",'Cassidy Ford'!$O30)</f>
        <v/>
      </c>
      <c r="P390" s="132" t="str">
        <f aca="false">IF('Cassidy Ford'!$B30="","",'Cassidy Ford'!$P30)</f>
        <v/>
      </c>
      <c r="Q390" s="131" t="str">
        <f aca="false">IF('Cassidy Ford'!$B30="","","Cassidy Ford")</f>
        <v/>
      </c>
      <c r="R390" s="131" t="n">
        <f aca="true">IF(OR($B390="",$I390="Complete",$L390=""),0,IF($L390&lt;TODAY(),1,0))</f>
        <v>0</v>
      </c>
      <c r="S390" s="131" t="n">
        <f aca="true">IF(OR($B390="",$I390="Complete",$L390=""),0,IF(AND($L390&gt;=TODAY(),$L390&lt;=TODAY()+7),1,0))</f>
        <v>0</v>
      </c>
      <c r="T390" s="131" t="str">
        <f aca="true">IF(OR($B390="",$L390=""),"",$L390-TODAY())</f>
        <v/>
      </c>
      <c r="U390" s="135" t="str">
        <f aca="false">IF($B390="","",IF($I390="Complete",1,IF($J390="",0,$J390)))</f>
        <v/>
      </c>
      <c r="V390" s="131" t="n">
        <f aca="false">IF($B390="",0,IF($N390="",0,1))</f>
        <v>0</v>
      </c>
      <c r="W390" s="131" t="n">
        <f aca="false">IF($B390="",0,1)</f>
        <v>0</v>
      </c>
    </row>
    <row r="391" customFormat="false" ht="15" hidden="false" customHeight="false" outlineLevel="0" collapsed="false">
      <c r="A391" s="131" t="str">
        <f aca="false">IF('Cassidy Ford'!$B31="","",'Cassidy Ford'!$A31)</f>
        <v/>
      </c>
      <c r="B391" s="131" t="str">
        <f aca="false">IF('Cassidy Ford'!$B31="","",'Cassidy Ford'!$B31)</f>
        <v/>
      </c>
      <c r="C391" s="132" t="str">
        <f aca="false">IF('Cassidy Ford'!$B31="","",'Cassidy Ford'!$C31)</f>
        <v/>
      </c>
      <c r="D391" s="132" t="str">
        <f aca="false">IF('Cassidy Ford'!$B31="","",'Cassidy Ford'!$D31)</f>
        <v/>
      </c>
      <c r="E391" s="132" t="str">
        <f aca="false">IF('Cassidy Ford'!$B31="","",'Cassidy Ford'!$E31)</f>
        <v/>
      </c>
      <c r="F391" s="132" t="str">
        <f aca="false">IF('Cassidy Ford'!$B31="","",'Cassidy Ford'!$F31)</f>
        <v/>
      </c>
      <c r="G391" s="132" t="str">
        <f aca="false">IF('Cassidy Ford'!$B31="","",'Cassidy Ford'!$G31)</f>
        <v/>
      </c>
      <c r="H391" s="131" t="str">
        <f aca="false">IF('Cassidy Ford'!$B31="","",'Cassidy Ford'!$H31)</f>
        <v/>
      </c>
      <c r="I391" s="131" t="str">
        <f aca="false">IF('Cassidy Ford'!$B31="","",'Cassidy Ford'!$I31)</f>
        <v/>
      </c>
      <c r="J391" s="133" t="str">
        <f aca="false">IF('Cassidy Ford'!$B31="","",'Cassidy Ford'!$J31)</f>
        <v/>
      </c>
      <c r="K391" s="134" t="str">
        <f aca="false">IF('Cassidy Ford'!$B31="","",'Cassidy Ford'!$K31)</f>
        <v/>
      </c>
      <c r="L391" s="134" t="str">
        <f aca="false">IF('Cassidy Ford'!$B31="","",'Cassidy Ford'!$L31)</f>
        <v/>
      </c>
      <c r="M391" s="132" t="str">
        <f aca="false">IF('Cassidy Ford'!$B31="","",'Cassidy Ford'!$M31)</f>
        <v/>
      </c>
      <c r="N391" s="132" t="str">
        <f aca="false">IF('Cassidy Ford'!$B31="","",'Cassidy Ford'!$N31)</f>
        <v/>
      </c>
      <c r="O391" s="134" t="str">
        <f aca="false">IF('Cassidy Ford'!$B31="","",'Cassidy Ford'!$O31)</f>
        <v/>
      </c>
      <c r="P391" s="132" t="str">
        <f aca="false">IF('Cassidy Ford'!$B31="","",'Cassidy Ford'!$P31)</f>
        <v/>
      </c>
      <c r="Q391" s="131" t="str">
        <f aca="false">IF('Cassidy Ford'!$B31="","","Cassidy Ford")</f>
        <v/>
      </c>
      <c r="R391" s="131" t="n">
        <f aca="true">IF(OR($B391="",$I391="Complete",$L391=""),0,IF($L391&lt;TODAY(),1,0))</f>
        <v>0</v>
      </c>
      <c r="S391" s="131" t="n">
        <f aca="true">IF(OR($B391="",$I391="Complete",$L391=""),0,IF(AND($L391&gt;=TODAY(),$L391&lt;=TODAY()+7),1,0))</f>
        <v>0</v>
      </c>
      <c r="T391" s="131" t="str">
        <f aca="true">IF(OR($B391="",$L391=""),"",$L391-TODAY())</f>
        <v/>
      </c>
      <c r="U391" s="135" t="str">
        <f aca="false">IF($B391="","",IF($I391="Complete",1,IF($J391="",0,$J391)))</f>
        <v/>
      </c>
      <c r="V391" s="131" t="n">
        <f aca="false">IF($B391="",0,IF($N391="",0,1))</f>
        <v>0</v>
      </c>
      <c r="W391" s="131" t="n">
        <f aca="false">IF($B391="",0,1)</f>
        <v>0</v>
      </c>
    </row>
    <row r="392" customFormat="false" ht="15" hidden="false" customHeight="false" outlineLevel="0" collapsed="false">
      <c r="A392" s="131" t="str">
        <f aca="false">IF('Cassidy Ford'!$B32="","",'Cassidy Ford'!$A32)</f>
        <v/>
      </c>
      <c r="B392" s="131" t="str">
        <f aca="false">IF('Cassidy Ford'!$B32="","",'Cassidy Ford'!$B32)</f>
        <v/>
      </c>
      <c r="C392" s="132" t="str">
        <f aca="false">IF('Cassidy Ford'!$B32="","",'Cassidy Ford'!$C32)</f>
        <v/>
      </c>
      <c r="D392" s="132" t="str">
        <f aca="false">IF('Cassidy Ford'!$B32="","",'Cassidy Ford'!$D32)</f>
        <v/>
      </c>
      <c r="E392" s="132" t="str">
        <f aca="false">IF('Cassidy Ford'!$B32="","",'Cassidy Ford'!$E32)</f>
        <v/>
      </c>
      <c r="F392" s="132" t="str">
        <f aca="false">IF('Cassidy Ford'!$B32="","",'Cassidy Ford'!$F32)</f>
        <v/>
      </c>
      <c r="G392" s="132" t="str">
        <f aca="false">IF('Cassidy Ford'!$B32="","",'Cassidy Ford'!$G32)</f>
        <v/>
      </c>
      <c r="H392" s="131" t="str">
        <f aca="false">IF('Cassidy Ford'!$B32="","",'Cassidy Ford'!$H32)</f>
        <v/>
      </c>
      <c r="I392" s="131" t="str">
        <f aca="false">IF('Cassidy Ford'!$B32="","",'Cassidy Ford'!$I32)</f>
        <v/>
      </c>
      <c r="J392" s="133" t="str">
        <f aca="false">IF('Cassidy Ford'!$B32="","",'Cassidy Ford'!$J32)</f>
        <v/>
      </c>
      <c r="K392" s="134" t="str">
        <f aca="false">IF('Cassidy Ford'!$B32="","",'Cassidy Ford'!$K32)</f>
        <v/>
      </c>
      <c r="L392" s="134" t="str">
        <f aca="false">IF('Cassidy Ford'!$B32="","",'Cassidy Ford'!$L32)</f>
        <v/>
      </c>
      <c r="M392" s="132" t="str">
        <f aca="false">IF('Cassidy Ford'!$B32="","",'Cassidy Ford'!$M32)</f>
        <v/>
      </c>
      <c r="N392" s="132" t="str">
        <f aca="false">IF('Cassidy Ford'!$B32="","",'Cassidy Ford'!$N32)</f>
        <v/>
      </c>
      <c r="O392" s="134" t="str">
        <f aca="false">IF('Cassidy Ford'!$B32="","",'Cassidy Ford'!$O32)</f>
        <v/>
      </c>
      <c r="P392" s="132" t="str">
        <f aca="false">IF('Cassidy Ford'!$B32="","",'Cassidy Ford'!$P32)</f>
        <v/>
      </c>
      <c r="Q392" s="131" t="str">
        <f aca="false">IF('Cassidy Ford'!$B32="","","Cassidy Ford")</f>
        <v/>
      </c>
      <c r="R392" s="131" t="n">
        <f aca="true">IF(OR($B392="",$I392="Complete",$L392=""),0,IF($L392&lt;TODAY(),1,0))</f>
        <v>0</v>
      </c>
      <c r="S392" s="131" t="n">
        <f aca="true">IF(OR($B392="",$I392="Complete",$L392=""),0,IF(AND($L392&gt;=TODAY(),$L392&lt;=TODAY()+7),1,0))</f>
        <v>0</v>
      </c>
      <c r="T392" s="131" t="str">
        <f aca="true">IF(OR($B392="",$L392=""),"",$L392-TODAY())</f>
        <v/>
      </c>
      <c r="U392" s="135" t="str">
        <f aca="false">IF($B392="","",IF($I392="Complete",1,IF($J392="",0,$J392)))</f>
        <v/>
      </c>
      <c r="V392" s="131" t="n">
        <f aca="false">IF($B392="",0,IF($N392="",0,1))</f>
        <v>0</v>
      </c>
      <c r="W392" s="131" t="n">
        <f aca="false">IF($B392="",0,1)</f>
        <v>0</v>
      </c>
    </row>
    <row r="393" customFormat="false" ht="15" hidden="false" customHeight="false" outlineLevel="0" collapsed="false">
      <c r="A393" s="131" t="str">
        <f aca="false">IF('Cassidy Ford'!$B33="","",'Cassidy Ford'!$A33)</f>
        <v/>
      </c>
      <c r="B393" s="131" t="str">
        <f aca="false">IF('Cassidy Ford'!$B33="","",'Cassidy Ford'!$B33)</f>
        <v/>
      </c>
      <c r="C393" s="132" t="str">
        <f aca="false">IF('Cassidy Ford'!$B33="","",'Cassidy Ford'!$C33)</f>
        <v/>
      </c>
      <c r="D393" s="132" t="str">
        <f aca="false">IF('Cassidy Ford'!$B33="","",'Cassidy Ford'!$D33)</f>
        <v/>
      </c>
      <c r="E393" s="132" t="str">
        <f aca="false">IF('Cassidy Ford'!$B33="","",'Cassidy Ford'!$E33)</f>
        <v/>
      </c>
      <c r="F393" s="132" t="str">
        <f aca="false">IF('Cassidy Ford'!$B33="","",'Cassidy Ford'!$F33)</f>
        <v/>
      </c>
      <c r="G393" s="132" t="str">
        <f aca="false">IF('Cassidy Ford'!$B33="","",'Cassidy Ford'!$G33)</f>
        <v/>
      </c>
      <c r="H393" s="131" t="str">
        <f aca="false">IF('Cassidy Ford'!$B33="","",'Cassidy Ford'!$H33)</f>
        <v/>
      </c>
      <c r="I393" s="131" t="str">
        <f aca="false">IF('Cassidy Ford'!$B33="","",'Cassidy Ford'!$I33)</f>
        <v/>
      </c>
      <c r="J393" s="133" t="str">
        <f aca="false">IF('Cassidy Ford'!$B33="","",'Cassidy Ford'!$J33)</f>
        <v/>
      </c>
      <c r="K393" s="134" t="str">
        <f aca="false">IF('Cassidy Ford'!$B33="","",'Cassidy Ford'!$K33)</f>
        <v/>
      </c>
      <c r="L393" s="134" t="str">
        <f aca="false">IF('Cassidy Ford'!$B33="","",'Cassidy Ford'!$L33)</f>
        <v/>
      </c>
      <c r="M393" s="132" t="str">
        <f aca="false">IF('Cassidy Ford'!$B33="","",'Cassidy Ford'!$M33)</f>
        <v/>
      </c>
      <c r="N393" s="132" t="str">
        <f aca="false">IF('Cassidy Ford'!$B33="","",'Cassidy Ford'!$N33)</f>
        <v/>
      </c>
      <c r="O393" s="134" t="str">
        <f aca="false">IF('Cassidy Ford'!$B33="","",'Cassidy Ford'!$O33)</f>
        <v/>
      </c>
      <c r="P393" s="132" t="str">
        <f aca="false">IF('Cassidy Ford'!$B33="","",'Cassidy Ford'!$P33)</f>
        <v/>
      </c>
      <c r="Q393" s="131" t="str">
        <f aca="false">IF('Cassidy Ford'!$B33="","","Cassidy Ford")</f>
        <v/>
      </c>
      <c r="R393" s="131" t="n">
        <f aca="true">IF(OR($B393="",$I393="Complete",$L393=""),0,IF($L393&lt;TODAY(),1,0))</f>
        <v>0</v>
      </c>
      <c r="S393" s="131" t="n">
        <f aca="true">IF(OR($B393="",$I393="Complete",$L393=""),0,IF(AND($L393&gt;=TODAY(),$L393&lt;=TODAY()+7),1,0))</f>
        <v>0</v>
      </c>
      <c r="T393" s="131" t="str">
        <f aca="true">IF(OR($B393="",$L393=""),"",$L393-TODAY())</f>
        <v/>
      </c>
      <c r="U393" s="135" t="str">
        <f aca="false">IF($B393="","",IF($I393="Complete",1,IF($J393="",0,$J393)))</f>
        <v/>
      </c>
      <c r="V393" s="131" t="n">
        <f aca="false">IF($B393="",0,IF($N393="",0,1))</f>
        <v>0</v>
      </c>
      <c r="W393" s="131" t="n">
        <f aca="false">IF($B393="",0,1)</f>
        <v>0</v>
      </c>
    </row>
    <row r="394" customFormat="false" ht="15" hidden="false" customHeight="false" outlineLevel="0" collapsed="false">
      <c r="A394" s="131" t="str">
        <f aca="false">IF('Cassidy Ford'!$B34="","",'Cassidy Ford'!$A34)</f>
        <v/>
      </c>
      <c r="B394" s="131" t="str">
        <f aca="false">IF('Cassidy Ford'!$B34="","",'Cassidy Ford'!$B34)</f>
        <v/>
      </c>
      <c r="C394" s="132" t="str">
        <f aca="false">IF('Cassidy Ford'!$B34="","",'Cassidy Ford'!$C34)</f>
        <v/>
      </c>
      <c r="D394" s="132" t="str">
        <f aca="false">IF('Cassidy Ford'!$B34="","",'Cassidy Ford'!$D34)</f>
        <v/>
      </c>
      <c r="E394" s="132" t="str">
        <f aca="false">IF('Cassidy Ford'!$B34="","",'Cassidy Ford'!$E34)</f>
        <v/>
      </c>
      <c r="F394" s="132" t="str">
        <f aca="false">IF('Cassidy Ford'!$B34="","",'Cassidy Ford'!$F34)</f>
        <v/>
      </c>
      <c r="G394" s="132" t="str">
        <f aca="false">IF('Cassidy Ford'!$B34="","",'Cassidy Ford'!$G34)</f>
        <v/>
      </c>
      <c r="H394" s="131" t="str">
        <f aca="false">IF('Cassidy Ford'!$B34="","",'Cassidy Ford'!$H34)</f>
        <v/>
      </c>
      <c r="I394" s="131" t="str">
        <f aca="false">IF('Cassidy Ford'!$B34="","",'Cassidy Ford'!$I34)</f>
        <v/>
      </c>
      <c r="J394" s="133" t="str">
        <f aca="false">IF('Cassidy Ford'!$B34="","",'Cassidy Ford'!$J34)</f>
        <v/>
      </c>
      <c r="K394" s="134" t="str">
        <f aca="false">IF('Cassidy Ford'!$B34="","",'Cassidy Ford'!$K34)</f>
        <v/>
      </c>
      <c r="L394" s="134" t="str">
        <f aca="false">IF('Cassidy Ford'!$B34="","",'Cassidy Ford'!$L34)</f>
        <v/>
      </c>
      <c r="M394" s="132" t="str">
        <f aca="false">IF('Cassidy Ford'!$B34="","",'Cassidy Ford'!$M34)</f>
        <v/>
      </c>
      <c r="N394" s="132" t="str">
        <f aca="false">IF('Cassidy Ford'!$B34="","",'Cassidy Ford'!$N34)</f>
        <v/>
      </c>
      <c r="O394" s="134" t="str">
        <f aca="false">IF('Cassidy Ford'!$B34="","",'Cassidy Ford'!$O34)</f>
        <v/>
      </c>
      <c r="P394" s="132" t="str">
        <f aca="false">IF('Cassidy Ford'!$B34="","",'Cassidy Ford'!$P34)</f>
        <v/>
      </c>
      <c r="Q394" s="131" t="str">
        <f aca="false">IF('Cassidy Ford'!$B34="","","Cassidy Ford")</f>
        <v/>
      </c>
      <c r="R394" s="131" t="n">
        <f aca="true">IF(OR($B394="",$I394="Complete",$L394=""),0,IF($L394&lt;TODAY(),1,0))</f>
        <v>0</v>
      </c>
      <c r="S394" s="131" t="n">
        <f aca="true">IF(OR($B394="",$I394="Complete",$L394=""),0,IF(AND($L394&gt;=TODAY(),$L394&lt;=TODAY()+7),1,0))</f>
        <v>0</v>
      </c>
      <c r="T394" s="131" t="str">
        <f aca="true">IF(OR($B394="",$L394=""),"",$L394-TODAY())</f>
        <v/>
      </c>
      <c r="U394" s="135" t="str">
        <f aca="false">IF($B394="","",IF($I394="Complete",1,IF($J394="",0,$J394)))</f>
        <v/>
      </c>
      <c r="V394" s="131" t="n">
        <f aca="false">IF($B394="",0,IF($N394="",0,1))</f>
        <v>0</v>
      </c>
      <c r="W394" s="131" t="n">
        <f aca="false">IF($B394="",0,1)</f>
        <v>0</v>
      </c>
    </row>
    <row r="395" customFormat="false" ht="15" hidden="false" customHeight="false" outlineLevel="0" collapsed="false">
      <c r="A395" s="131" t="str">
        <f aca="false">IF('Cassidy Ford'!$B35="","",'Cassidy Ford'!$A35)</f>
        <v/>
      </c>
      <c r="B395" s="131" t="str">
        <f aca="false">IF('Cassidy Ford'!$B35="","",'Cassidy Ford'!$B35)</f>
        <v/>
      </c>
      <c r="C395" s="132" t="str">
        <f aca="false">IF('Cassidy Ford'!$B35="","",'Cassidy Ford'!$C35)</f>
        <v/>
      </c>
      <c r="D395" s="132" t="str">
        <f aca="false">IF('Cassidy Ford'!$B35="","",'Cassidy Ford'!$D35)</f>
        <v/>
      </c>
      <c r="E395" s="132" t="str">
        <f aca="false">IF('Cassidy Ford'!$B35="","",'Cassidy Ford'!$E35)</f>
        <v/>
      </c>
      <c r="F395" s="132" t="str">
        <f aca="false">IF('Cassidy Ford'!$B35="","",'Cassidy Ford'!$F35)</f>
        <v/>
      </c>
      <c r="G395" s="132" t="str">
        <f aca="false">IF('Cassidy Ford'!$B35="","",'Cassidy Ford'!$G35)</f>
        <v/>
      </c>
      <c r="H395" s="131" t="str">
        <f aca="false">IF('Cassidy Ford'!$B35="","",'Cassidy Ford'!$H35)</f>
        <v/>
      </c>
      <c r="I395" s="131" t="str">
        <f aca="false">IF('Cassidy Ford'!$B35="","",'Cassidy Ford'!$I35)</f>
        <v/>
      </c>
      <c r="J395" s="133" t="str">
        <f aca="false">IF('Cassidy Ford'!$B35="","",'Cassidy Ford'!$J35)</f>
        <v/>
      </c>
      <c r="K395" s="134" t="str">
        <f aca="false">IF('Cassidy Ford'!$B35="","",'Cassidy Ford'!$K35)</f>
        <v/>
      </c>
      <c r="L395" s="134" t="str">
        <f aca="false">IF('Cassidy Ford'!$B35="","",'Cassidy Ford'!$L35)</f>
        <v/>
      </c>
      <c r="M395" s="132" t="str">
        <f aca="false">IF('Cassidy Ford'!$B35="","",'Cassidy Ford'!$M35)</f>
        <v/>
      </c>
      <c r="N395" s="132" t="str">
        <f aca="false">IF('Cassidy Ford'!$B35="","",'Cassidy Ford'!$N35)</f>
        <v/>
      </c>
      <c r="O395" s="134" t="str">
        <f aca="false">IF('Cassidy Ford'!$B35="","",'Cassidy Ford'!$O35)</f>
        <v/>
      </c>
      <c r="P395" s="132" t="str">
        <f aca="false">IF('Cassidy Ford'!$B35="","",'Cassidy Ford'!$P35)</f>
        <v/>
      </c>
      <c r="Q395" s="131" t="str">
        <f aca="false">IF('Cassidy Ford'!$B35="","","Cassidy Ford")</f>
        <v/>
      </c>
      <c r="R395" s="131" t="n">
        <f aca="true">IF(OR($B395="",$I395="Complete",$L395=""),0,IF($L395&lt;TODAY(),1,0))</f>
        <v>0</v>
      </c>
      <c r="S395" s="131" t="n">
        <f aca="true">IF(OR($B395="",$I395="Complete",$L395=""),0,IF(AND($L395&gt;=TODAY(),$L395&lt;=TODAY()+7),1,0))</f>
        <v>0</v>
      </c>
      <c r="T395" s="131" t="str">
        <f aca="true">IF(OR($B395="",$L395=""),"",$L395-TODAY())</f>
        <v/>
      </c>
      <c r="U395" s="135" t="str">
        <f aca="false">IF($B395="","",IF($I395="Complete",1,IF($J395="",0,$J395)))</f>
        <v/>
      </c>
      <c r="V395" s="131" t="n">
        <f aca="false">IF($B395="",0,IF($N395="",0,1))</f>
        <v>0</v>
      </c>
      <c r="W395" s="131" t="n">
        <f aca="false">IF($B395="",0,1)</f>
        <v>0</v>
      </c>
    </row>
    <row r="396" customFormat="false" ht="15" hidden="false" customHeight="false" outlineLevel="0" collapsed="false">
      <c r="A396" s="131" t="str">
        <f aca="false">IF('Cassidy Ford'!$B36="","",'Cassidy Ford'!$A36)</f>
        <v/>
      </c>
      <c r="B396" s="131" t="str">
        <f aca="false">IF('Cassidy Ford'!$B36="","",'Cassidy Ford'!$B36)</f>
        <v/>
      </c>
      <c r="C396" s="132" t="str">
        <f aca="false">IF('Cassidy Ford'!$B36="","",'Cassidy Ford'!$C36)</f>
        <v/>
      </c>
      <c r="D396" s="132" t="str">
        <f aca="false">IF('Cassidy Ford'!$B36="","",'Cassidy Ford'!$D36)</f>
        <v/>
      </c>
      <c r="E396" s="132" t="str">
        <f aca="false">IF('Cassidy Ford'!$B36="","",'Cassidy Ford'!$E36)</f>
        <v/>
      </c>
      <c r="F396" s="132" t="str">
        <f aca="false">IF('Cassidy Ford'!$B36="","",'Cassidy Ford'!$F36)</f>
        <v/>
      </c>
      <c r="G396" s="132" t="str">
        <f aca="false">IF('Cassidy Ford'!$B36="","",'Cassidy Ford'!$G36)</f>
        <v/>
      </c>
      <c r="H396" s="131" t="str">
        <f aca="false">IF('Cassidy Ford'!$B36="","",'Cassidy Ford'!$H36)</f>
        <v/>
      </c>
      <c r="I396" s="131" t="str">
        <f aca="false">IF('Cassidy Ford'!$B36="","",'Cassidy Ford'!$I36)</f>
        <v/>
      </c>
      <c r="J396" s="133" t="str">
        <f aca="false">IF('Cassidy Ford'!$B36="","",'Cassidy Ford'!$J36)</f>
        <v/>
      </c>
      <c r="K396" s="134" t="str">
        <f aca="false">IF('Cassidy Ford'!$B36="","",'Cassidy Ford'!$K36)</f>
        <v/>
      </c>
      <c r="L396" s="134" t="str">
        <f aca="false">IF('Cassidy Ford'!$B36="","",'Cassidy Ford'!$L36)</f>
        <v/>
      </c>
      <c r="M396" s="132" t="str">
        <f aca="false">IF('Cassidy Ford'!$B36="","",'Cassidy Ford'!$M36)</f>
        <v/>
      </c>
      <c r="N396" s="132" t="str">
        <f aca="false">IF('Cassidy Ford'!$B36="","",'Cassidy Ford'!$N36)</f>
        <v/>
      </c>
      <c r="O396" s="134" t="str">
        <f aca="false">IF('Cassidy Ford'!$B36="","",'Cassidy Ford'!$O36)</f>
        <v/>
      </c>
      <c r="P396" s="132" t="str">
        <f aca="false">IF('Cassidy Ford'!$B36="","",'Cassidy Ford'!$P36)</f>
        <v/>
      </c>
      <c r="Q396" s="131" t="str">
        <f aca="false">IF('Cassidy Ford'!$B36="","","Cassidy Ford")</f>
        <v/>
      </c>
      <c r="R396" s="131" t="n">
        <f aca="true">IF(OR($B396="",$I396="Complete",$L396=""),0,IF($L396&lt;TODAY(),1,0))</f>
        <v>0</v>
      </c>
      <c r="S396" s="131" t="n">
        <f aca="true">IF(OR($B396="",$I396="Complete",$L396=""),0,IF(AND($L396&gt;=TODAY(),$L396&lt;=TODAY()+7),1,0))</f>
        <v>0</v>
      </c>
      <c r="T396" s="131" t="str">
        <f aca="true">IF(OR($B396="",$L396=""),"",$L396-TODAY())</f>
        <v/>
      </c>
      <c r="U396" s="135" t="str">
        <f aca="false">IF($B396="","",IF($I396="Complete",1,IF($J396="",0,$J396)))</f>
        <v/>
      </c>
      <c r="V396" s="131" t="n">
        <f aca="false">IF($B396="",0,IF($N396="",0,1))</f>
        <v>0</v>
      </c>
      <c r="W396" s="131" t="n">
        <f aca="false">IF($B396="",0,1)</f>
        <v>0</v>
      </c>
    </row>
    <row r="397" customFormat="false" ht="15" hidden="false" customHeight="false" outlineLevel="0" collapsed="false">
      <c r="A397" s="131" t="str">
        <f aca="false">IF('Cassidy Ford'!$B37="","",'Cassidy Ford'!$A37)</f>
        <v/>
      </c>
      <c r="B397" s="131" t="str">
        <f aca="false">IF('Cassidy Ford'!$B37="","",'Cassidy Ford'!$B37)</f>
        <v/>
      </c>
      <c r="C397" s="132" t="str">
        <f aca="false">IF('Cassidy Ford'!$B37="","",'Cassidy Ford'!$C37)</f>
        <v/>
      </c>
      <c r="D397" s="132" t="str">
        <f aca="false">IF('Cassidy Ford'!$B37="","",'Cassidy Ford'!$D37)</f>
        <v/>
      </c>
      <c r="E397" s="132" t="str">
        <f aca="false">IF('Cassidy Ford'!$B37="","",'Cassidy Ford'!$E37)</f>
        <v/>
      </c>
      <c r="F397" s="132" t="str">
        <f aca="false">IF('Cassidy Ford'!$B37="","",'Cassidy Ford'!$F37)</f>
        <v/>
      </c>
      <c r="G397" s="132" t="str">
        <f aca="false">IF('Cassidy Ford'!$B37="","",'Cassidy Ford'!$G37)</f>
        <v/>
      </c>
      <c r="H397" s="131" t="str">
        <f aca="false">IF('Cassidy Ford'!$B37="","",'Cassidy Ford'!$H37)</f>
        <v/>
      </c>
      <c r="I397" s="131" t="str">
        <f aca="false">IF('Cassidy Ford'!$B37="","",'Cassidy Ford'!$I37)</f>
        <v/>
      </c>
      <c r="J397" s="133" t="str">
        <f aca="false">IF('Cassidy Ford'!$B37="","",'Cassidy Ford'!$J37)</f>
        <v/>
      </c>
      <c r="K397" s="134" t="str">
        <f aca="false">IF('Cassidy Ford'!$B37="","",'Cassidy Ford'!$K37)</f>
        <v/>
      </c>
      <c r="L397" s="134" t="str">
        <f aca="false">IF('Cassidy Ford'!$B37="","",'Cassidy Ford'!$L37)</f>
        <v/>
      </c>
      <c r="M397" s="132" t="str">
        <f aca="false">IF('Cassidy Ford'!$B37="","",'Cassidy Ford'!$M37)</f>
        <v/>
      </c>
      <c r="N397" s="132" t="str">
        <f aca="false">IF('Cassidy Ford'!$B37="","",'Cassidy Ford'!$N37)</f>
        <v/>
      </c>
      <c r="O397" s="134" t="str">
        <f aca="false">IF('Cassidy Ford'!$B37="","",'Cassidy Ford'!$O37)</f>
        <v/>
      </c>
      <c r="P397" s="132" t="str">
        <f aca="false">IF('Cassidy Ford'!$B37="","",'Cassidy Ford'!$P37)</f>
        <v/>
      </c>
      <c r="Q397" s="131" t="str">
        <f aca="false">IF('Cassidy Ford'!$B37="","","Cassidy Ford")</f>
        <v/>
      </c>
      <c r="R397" s="131" t="n">
        <f aca="true">IF(OR($B397="",$I397="Complete",$L397=""),0,IF($L397&lt;TODAY(),1,0))</f>
        <v>0</v>
      </c>
      <c r="S397" s="131" t="n">
        <f aca="true">IF(OR($B397="",$I397="Complete",$L397=""),0,IF(AND($L397&gt;=TODAY(),$L397&lt;=TODAY()+7),1,0))</f>
        <v>0</v>
      </c>
      <c r="T397" s="131" t="str">
        <f aca="true">IF(OR($B397="",$L397=""),"",$L397-TODAY())</f>
        <v/>
      </c>
      <c r="U397" s="135" t="str">
        <f aca="false">IF($B397="","",IF($I397="Complete",1,IF($J397="",0,$J397)))</f>
        <v/>
      </c>
      <c r="V397" s="131" t="n">
        <f aca="false">IF($B397="",0,IF($N397="",0,1))</f>
        <v>0</v>
      </c>
      <c r="W397" s="131" t="n">
        <f aca="false">IF($B397="",0,1)</f>
        <v>0</v>
      </c>
    </row>
    <row r="398" customFormat="false" ht="15" hidden="false" customHeight="false" outlineLevel="0" collapsed="false">
      <c r="A398" s="131" t="str">
        <f aca="false">IF('Cassidy Ford'!$B38="","",'Cassidy Ford'!$A38)</f>
        <v/>
      </c>
      <c r="B398" s="131" t="str">
        <f aca="false">IF('Cassidy Ford'!$B38="","",'Cassidy Ford'!$B38)</f>
        <v/>
      </c>
      <c r="C398" s="132" t="str">
        <f aca="false">IF('Cassidy Ford'!$B38="","",'Cassidy Ford'!$C38)</f>
        <v/>
      </c>
      <c r="D398" s="132" t="str">
        <f aca="false">IF('Cassidy Ford'!$B38="","",'Cassidy Ford'!$D38)</f>
        <v/>
      </c>
      <c r="E398" s="132" t="str">
        <f aca="false">IF('Cassidy Ford'!$B38="","",'Cassidy Ford'!$E38)</f>
        <v/>
      </c>
      <c r="F398" s="132" t="str">
        <f aca="false">IF('Cassidy Ford'!$B38="","",'Cassidy Ford'!$F38)</f>
        <v/>
      </c>
      <c r="G398" s="132" t="str">
        <f aca="false">IF('Cassidy Ford'!$B38="","",'Cassidy Ford'!$G38)</f>
        <v/>
      </c>
      <c r="H398" s="131" t="str">
        <f aca="false">IF('Cassidy Ford'!$B38="","",'Cassidy Ford'!$H38)</f>
        <v/>
      </c>
      <c r="I398" s="131" t="str">
        <f aca="false">IF('Cassidy Ford'!$B38="","",'Cassidy Ford'!$I38)</f>
        <v/>
      </c>
      <c r="J398" s="133" t="str">
        <f aca="false">IF('Cassidy Ford'!$B38="","",'Cassidy Ford'!$J38)</f>
        <v/>
      </c>
      <c r="K398" s="134" t="str">
        <f aca="false">IF('Cassidy Ford'!$B38="","",'Cassidy Ford'!$K38)</f>
        <v/>
      </c>
      <c r="L398" s="134" t="str">
        <f aca="false">IF('Cassidy Ford'!$B38="","",'Cassidy Ford'!$L38)</f>
        <v/>
      </c>
      <c r="M398" s="132" t="str">
        <f aca="false">IF('Cassidy Ford'!$B38="","",'Cassidy Ford'!$M38)</f>
        <v/>
      </c>
      <c r="N398" s="132" t="str">
        <f aca="false">IF('Cassidy Ford'!$B38="","",'Cassidy Ford'!$N38)</f>
        <v/>
      </c>
      <c r="O398" s="134" t="str">
        <f aca="false">IF('Cassidy Ford'!$B38="","",'Cassidy Ford'!$O38)</f>
        <v/>
      </c>
      <c r="P398" s="132" t="str">
        <f aca="false">IF('Cassidy Ford'!$B38="","",'Cassidy Ford'!$P38)</f>
        <v/>
      </c>
      <c r="Q398" s="131" t="str">
        <f aca="false">IF('Cassidy Ford'!$B38="","","Cassidy Ford")</f>
        <v/>
      </c>
      <c r="R398" s="131" t="n">
        <f aca="true">IF(OR($B398="",$I398="Complete",$L398=""),0,IF($L398&lt;TODAY(),1,0))</f>
        <v>0</v>
      </c>
      <c r="S398" s="131" t="n">
        <f aca="true">IF(OR($B398="",$I398="Complete",$L398=""),0,IF(AND($L398&gt;=TODAY(),$L398&lt;=TODAY()+7),1,0))</f>
        <v>0</v>
      </c>
      <c r="T398" s="131" t="str">
        <f aca="true">IF(OR($B398="",$L398=""),"",$L398-TODAY())</f>
        <v/>
      </c>
      <c r="U398" s="135" t="str">
        <f aca="false">IF($B398="","",IF($I398="Complete",1,IF($J398="",0,$J398)))</f>
        <v/>
      </c>
      <c r="V398" s="131" t="n">
        <f aca="false">IF($B398="",0,IF($N398="",0,1))</f>
        <v>0</v>
      </c>
      <c r="W398" s="131" t="n">
        <f aca="false">IF($B398="",0,1)</f>
        <v>0</v>
      </c>
    </row>
    <row r="399" customFormat="false" ht="15" hidden="false" customHeight="false" outlineLevel="0" collapsed="false">
      <c r="A399" s="131" t="str">
        <f aca="false">IF('Cassidy Ford'!$B39="","",'Cassidy Ford'!$A39)</f>
        <v/>
      </c>
      <c r="B399" s="131" t="str">
        <f aca="false">IF('Cassidy Ford'!$B39="","",'Cassidy Ford'!$B39)</f>
        <v/>
      </c>
      <c r="C399" s="132" t="str">
        <f aca="false">IF('Cassidy Ford'!$B39="","",'Cassidy Ford'!$C39)</f>
        <v/>
      </c>
      <c r="D399" s="132" t="str">
        <f aca="false">IF('Cassidy Ford'!$B39="","",'Cassidy Ford'!$D39)</f>
        <v/>
      </c>
      <c r="E399" s="132" t="str">
        <f aca="false">IF('Cassidy Ford'!$B39="","",'Cassidy Ford'!$E39)</f>
        <v/>
      </c>
      <c r="F399" s="132" t="str">
        <f aca="false">IF('Cassidy Ford'!$B39="","",'Cassidy Ford'!$F39)</f>
        <v/>
      </c>
      <c r="G399" s="132" t="str">
        <f aca="false">IF('Cassidy Ford'!$B39="","",'Cassidy Ford'!$G39)</f>
        <v/>
      </c>
      <c r="H399" s="131" t="str">
        <f aca="false">IF('Cassidy Ford'!$B39="","",'Cassidy Ford'!$H39)</f>
        <v/>
      </c>
      <c r="I399" s="131" t="str">
        <f aca="false">IF('Cassidy Ford'!$B39="","",'Cassidy Ford'!$I39)</f>
        <v/>
      </c>
      <c r="J399" s="133" t="str">
        <f aca="false">IF('Cassidy Ford'!$B39="","",'Cassidy Ford'!$J39)</f>
        <v/>
      </c>
      <c r="K399" s="134" t="str">
        <f aca="false">IF('Cassidy Ford'!$B39="","",'Cassidy Ford'!$K39)</f>
        <v/>
      </c>
      <c r="L399" s="134" t="str">
        <f aca="false">IF('Cassidy Ford'!$B39="","",'Cassidy Ford'!$L39)</f>
        <v/>
      </c>
      <c r="M399" s="132" t="str">
        <f aca="false">IF('Cassidy Ford'!$B39="","",'Cassidy Ford'!$M39)</f>
        <v/>
      </c>
      <c r="N399" s="132" t="str">
        <f aca="false">IF('Cassidy Ford'!$B39="","",'Cassidy Ford'!$N39)</f>
        <v/>
      </c>
      <c r="O399" s="134" t="str">
        <f aca="false">IF('Cassidy Ford'!$B39="","",'Cassidy Ford'!$O39)</f>
        <v/>
      </c>
      <c r="P399" s="132" t="str">
        <f aca="false">IF('Cassidy Ford'!$B39="","",'Cassidy Ford'!$P39)</f>
        <v/>
      </c>
      <c r="Q399" s="131" t="str">
        <f aca="false">IF('Cassidy Ford'!$B39="","","Cassidy Ford")</f>
        <v/>
      </c>
      <c r="R399" s="131" t="n">
        <f aca="true">IF(OR($B399="",$I399="Complete",$L399=""),0,IF($L399&lt;TODAY(),1,0))</f>
        <v>0</v>
      </c>
      <c r="S399" s="131" t="n">
        <f aca="true">IF(OR($B399="",$I399="Complete",$L399=""),0,IF(AND($L399&gt;=TODAY(),$L399&lt;=TODAY()+7),1,0))</f>
        <v>0</v>
      </c>
      <c r="T399" s="131" t="str">
        <f aca="true">IF(OR($B399="",$L399=""),"",$L399-TODAY())</f>
        <v/>
      </c>
      <c r="U399" s="135" t="str">
        <f aca="false">IF($B399="","",IF($I399="Complete",1,IF($J399="",0,$J399)))</f>
        <v/>
      </c>
      <c r="V399" s="131" t="n">
        <f aca="false">IF($B399="",0,IF($N399="",0,1))</f>
        <v>0</v>
      </c>
      <c r="W399" s="131" t="n">
        <f aca="false">IF($B399="",0,1)</f>
        <v>0</v>
      </c>
    </row>
    <row r="400" customFormat="false" ht="15" hidden="false" customHeight="false" outlineLevel="0" collapsed="false">
      <c r="A400" s="131" t="str">
        <f aca="false">IF('Cassidy Ford'!$B40="","",'Cassidy Ford'!$A40)</f>
        <v/>
      </c>
      <c r="B400" s="131" t="str">
        <f aca="false">IF('Cassidy Ford'!$B40="","",'Cassidy Ford'!$B40)</f>
        <v/>
      </c>
      <c r="C400" s="132" t="str">
        <f aca="false">IF('Cassidy Ford'!$B40="","",'Cassidy Ford'!$C40)</f>
        <v/>
      </c>
      <c r="D400" s="132" t="str">
        <f aca="false">IF('Cassidy Ford'!$B40="","",'Cassidy Ford'!$D40)</f>
        <v/>
      </c>
      <c r="E400" s="132" t="str">
        <f aca="false">IF('Cassidy Ford'!$B40="","",'Cassidy Ford'!$E40)</f>
        <v/>
      </c>
      <c r="F400" s="132" t="str">
        <f aca="false">IF('Cassidy Ford'!$B40="","",'Cassidy Ford'!$F40)</f>
        <v/>
      </c>
      <c r="G400" s="132" t="str">
        <f aca="false">IF('Cassidy Ford'!$B40="","",'Cassidy Ford'!$G40)</f>
        <v/>
      </c>
      <c r="H400" s="131" t="str">
        <f aca="false">IF('Cassidy Ford'!$B40="","",'Cassidy Ford'!$H40)</f>
        <v/>
      </c>
      <c r="I400" s="131" t="str">
        <f aca="false">IF('Cassidy Ford'!$B40="","",'Cassidy Ford'!$I40)</f>
        <v/>
      </c>
      <c r="J400" s="133" t="str">
        <f aca="false">IF('Cassidy Ford'!$B40="","",'Cassidy Ford'!$J40)</f>
        <v/>
      </c>
      <c r="K400" s="134" t="str">
        <f aca="false">IF('Cassidy Ford'!$B40="","",'Cassidy Ford'!$K40)</f>
        <v/>
      </c>
      <c r="L400" s="134" t="str">
        <f aca="false">IF('Cassidy Ford'!$B40="","",'Cassidy Ford'!$L40)</f>
        <v/>
      </c>
      <c r="M400" s="132" t="str">
        <f aca="false">IF('Cassidy Ford'!$B40="","",'Cassidy Ford'!$M40)</f>
        <v/>
      </c>
      <c r="N400" s="132" t="str">
        <f aca="false">IF('Cassidy Ford'!$B40="","",'Cassidy Ford'!$N40)</f>
        <v/>
      </c>
      <c r="O400" s="134" t="str">
        <f aca="false">IF('Cassidy Ford'!$B40="","",'Cassidy Ford'!$O40)</f>
        <v/>
      </c>
      <c r="P400" s="132" t="str">
        <f aca="false">IF('Cassidy Ford'!$B40="","",'Cassidy Ford'!$P40)</f>
        <v/>
      </c>
      <c r="Q400" s="131" t="str">
        <f aca="false">IF('Cassidy Ford'!$B40="","","Cassidy Ford")</f>
        <v/>
      </c>
      <c r="R400" s="131" t="n">
        <f aca="true">IF(OR($B400="",$I400="Complete",$L400=""),0,IF($L400&lt;TODAY(),1,0))</f>
        <v>0</v>
      </c>
      <c r="S400" s="131" t="n">
        <f aca="true">IF(OR($B400="",$I400="Complete",$L400=""),0,IF(AND($L400&gt;=TODAY(),$L400&lt;=TODAY()+7),1,0))</f>
        <v>0</v>
      </c>
      <c r="T400" s="131" t="str">
        <f aca="true">IF(OR($B400="",$L400=""),"",$L400-TODAY())</f>
        <v/>
      </c>
      <c r="U400" s="135" t="str">
        <f aca="false">IF($B400="","",IF($I400="Complete",1,IF($J400="",0,$J400)))</f>
        <v/>
      </c>
      <c r="V400" s="131" t="n">
        <f aca="false">IF($B400="",0,IF($N400="",0,1))</f>
        <v>0</v>
      </c>
      <c r="W400" s="131" t="n">
        <f aca="false">IF($B400="",0,1)</f>
        <v>0</v>
      </c>
    </row>
    <row r="401" customFormat="false" ht="15" hidden="false" customHeight="false" outlineLevel="0" collapsed="false">
      <c r="A401" s="131" t="str">
        <f aca="false">IF('Cassidy Ford'!$B41="","",'Cassidy Ford'!$A41)</f>
        <v/>
      </c>
      <c r="B401" s="131" t="str">
        <f aca="false">IF('Cassidy Ford'!$B41="","",'Cassidy Ford'!$B41)</f>
        <v/>
      </c>
      <c r="C401" s="132" t="str">
        <f aca="false">IF('Cassidy Ford'!$B41="","",'Cassidy Ford'!$C41)</f>
        <v/>
      </c>
      <c r="D401" s="132" t="str">
        <f aca="false">IF('Cassidy Ford'!$B41="","",'Cassidy Ford'!$D41)</f>
        <v/>
      </c>
      <c r="E401" s="132" t="str">
        <f aca="false">IF('Cassidy Ford'!$B41="","",'Cassidy Ford'!$E41)</f>
        <v/>
      </c>
      <c r="F401" s="132" t="str">
        <f aca="false">IF('Cassidy Ford'!$B41="","",'Cassidy Ford'!$F41)</f>
        <v/>
      </c>
      <c r="G401" s="132" t="str">
        <f aca="false">IF('Cassidy Ford'!$B41="","",'Cassidy Ford'!$G41)</f>
        <v/>
      </c>
      <c r="H401" s="131" t="str">
        <f aca="false">IF('Cassidy Ford'!$B41="","",'Cassidy Ford'!$H41)</f>
        <v/>
      </c>
      <c r="I401" s="131" t="str">
        <f aca="false">IF('Cassidy Ford'!$B41="","",'Cassidy Ford'!$I41)</f>
        <v/>
      </c>
      <c r="J401" s="133" t="str">
        <f aca="false">IF('Cassidy Ford'!$B41="","",'Cassidy Ford'!$J41)</f>
        <v/>
      </c>
      <c r="K401" s="134" t="str">
        <f aca="false">IF('Cassidy Ford'!$B41="","",'Cassidy Ford'!$K41)</f>
        <v/>
      </c>
      <c r="L401" s="134" t="str">
        <f aca="false">IF('Cassidy Ford'!$B41="","",'Cassidy Ford'!$L41)</f>
        <v/>
      </c>
      <c r="M401" s="132" t="str">
        <f aca="false">IF('Cassidy Ford'!$B41="","",'Cassidy Ford'!$M41)</f>
        <v/>
      </c>
      <c r="N401" s="132" t="str">
        <f aca="false">IF('Cassidy Ford'!$B41="","",'Cassidy Ford'!$N41)</f>
        <v/>
      </c>
      <c r="O401" s="134" t="str">
        <f aca="false">IF('Cassidy Ford'!$B41="","",'Cassidy Ford'!$O41)</f>
        <v/>
      </c>
      <c r="P401" s="132" t="str">
        <f aca="false">IF('Cassidy Ford'!$B41="","",'Cassidy Ford'!$P41)</f>
        <v/>
      </c>
      <c r="Q401" s="131" t="str">
        <f aca="false">IF('Cassidy Ford'!$B41="","","Cassidy Ford")</f>
        <v/>
      </c>
      <c r="R401" s="131" t="n">
        <f aca="true">IF(OR($B401="",$I401="Complete",$L401=""),0,IF($L401&lt;TODAY(),1,0))</f>
        <v>0</v>
      </c>
      <c r="S401" s="131" t="n">
        <f aca="true">IF(OR($B401="",$I401="Complete",$L401=""),0,IF(AND($L401&gt;=TODAY(),$L401&lt;=TODAY()+7),1,0))</f>
        <v>0</v>
      </c>
      <c r="T401" s="131" t="str">
        <f aca="true">IF(OR($B401="",$L401=""),"",$L401-TODAY())</f>
        <v/>
      </c>
      <c r="U401" s="135" t="str">
        <f aca="false">IF($B401="","",IF($I401="Complete",1,IF($J401="",0,$J401)))</f>
        <v/>
      </c>
      <c r="V401" s="131" t="n">
        <f aca="false">IF($B401="",0,IF($N401="",0,1))</f>
        <v>0</v>
      </c>
      <c r="W401" s="131" t="n">
        <f aca="false">IF($B401="",0,1)</f>
        <v>0</v>
      </c>
    </row>
    <row r="402" customFormat="false" ht="15" hidden="false" customHeight="false" outlineLevel="0" collapsed="false">
      <c r="A402" s="131" t="str">
        <f aca="false">IF('Cassidy Ford'!$B42="","",'Cassidy Ford'!$A42)</f>
        <v/>
      </c>
      <c r="B402" s="131" t="str">
        <f aca="false">IF('Cassidy Ford'!$B42="","",'Cassidy Ford'!$B42)</f>
        <v/>
      </c>
      <c r="C402" s="132" t="str">
        <f aca="false">IF('Cassidy Ford'!$B42="","",'Cassidy Ford'!$C42)</f>
        <v/>
      </c>
      <c r="D402" s="132" t="str">
        <f aca="false">IF('Cassidy Ford'!$B42="","",'Cassidy Ford'!$D42)</f>
        <v/>
      </c>
      <c r="E402" s="132" t="str">
        <f aca="false">IF('Cassidy Ford'!$B42="","",'Cassidy Ford'!$E42)</f>
        <v/>
      </c>
      <c r="F402" s="132" t="str">
        <f aca="false">IF('Cassidy Ford'!$B42="","",'Cassidy Ford'!$F42)</f>
        <v/>
      </c>
      <c r="G402" s="132" t="str">
        <f aca="false">IF('Cassidy Ford'!$B42="","",'Cassidy Ford'!$G42)</f>
        <v/>
      </c>
      <c r="H402" s="131" t="str">
        <f aca="false">IF('Cassidy Ford'!$B42="","",'Cassidy Ford'!$H42)</f>
        <v/>
      </c>
      <c r="I402" s="131" t="str">
        <f aca="false">IF('Cassidy Ford'!$B42="","",'Cassidy Ford'!$I42)</f>
        <v/>
      </c>
      <c r="J402" s="133" t="str">
        <f aca="false">IF('Cassidy Ford'!$B42="","",'Cassidy Ford'!$J42)</f>
        <v/>
      </c>
      <c r="K402" s="134" t="str">
        <f aca="false">IF('Cassidy Ford'!$B42="","",'Cassidy Ford'!$K42)</f>
        <v/>
      </c>
      <c r="L402" s="134" t="str">
        <f aca="false">IF('Cassidy Ford'!$B42="","",'Cassidy Ford'!$L42)</f>
        <v/>
      </c>
      <c r="M402" s="132" t="str">
        <f aca="false">IF('Cassidy Ford'!$B42="","",'Cassidy Ford'!$M42)</f>
        <v/>
      </c>
      <c r="N402" s="132" t="str">
        <f aca="false">IF('Cassidy Ford'!$B42="","",'Cassidy Ford'!$N42)</f>
        <v/>
      </c>
      <c r="O402" s="134" t="str">
        <f aca="false">IF('Cassidy Ford'!$B42="","",'Cassidy Ford'!$O42)</f>
        <v/>
      </c>
      <c r="P402" s="132" t="str">
        <f aca="false">IF('Cassidy Ford'!$B42="","",'Cassidy Ford'!$P42)</f>
        <v/>
      </c>
      <c r="Q402" s="131" t="str">
        <f aca="false">IF('Cassidy Ford'!$B42="","","Cassidy Ford")</f>
        <v/>
      </c>
      <c r="R402" s="131" t="n">
        <f aca="true">IF(OR($B402="",$I402="Complete",$L402=""),0,IF($L402&lt;TODAY(),1,0))</f>
        <v>0</v>
      </c>
      <c r="S402" s="131" t="n">
        <f aca="true">IF(OR($B402="",$I402="Complete",$L402=""),0,IF(AND($L402&gt;=TODAY(),$L402&lt;=TODAY()+7),1,0))</f>
        <v>0</v>
      </c>
      <c r="T402" s="131" t="str">
        <f aca="true">IF(OR($B402="",$L402=""),"",$L402-TODAY())</f>
        <v/>
      </c>
      <c r="U402" s="135" t="str">
        <f aca="false">IF($B402="","",IF($I402="Complete",1,IF($J402="",0,$J402)))</f>
        <v/>
      </c>
      <c r="V402" s="131" t="n">
        <f aca="false">IF($B402="",0,IF($N402="",0,1))</f>
        <v>0</v>
      </c>
      <c r="W402" s="131" t="n">
        <f aca="false">IF($B402="",0,1)</f>
        <v>0</v>
      </c>
    </row>
    <row r="403" customFormat="false" ht="15" hidden="false" customHeight="false" outlineLevel="0" collapsed="false">
      <c r="A403" s="131" t="str">
        <f aca="false">IF('Cassidy Ford'!$B43="","",'Cassidy Ford'!$A43)</f>
        <v/>
      </c>
      <c r="B403" s="131" t="str">
        <f aca="false">IF('Cassidy Ford'!$B43="","",'Cassidy Ford'!$B43)</f>
        <v/>
      </c>
      <c r="C403" s="132" t="str">
        <f aca="false">IF('Cassidy Ford'!$B43="","",'Cassidy Ford'!$C43)</f>
        <v/>
      </c>
      <c r="D403" s="132" t="str">
        <f aca="false">IF('Cassidy Ford'!$B43="","",'Cassidy Ford'!$D43)</f>
        <v/>
      </c>
      <c r="E403" s="132" t="str">
        <f aca="false">IF('Cassidy Ford'!$B43="","",'Cassidy Ford'!$E43)</f>
        <v/>
      </c>
      <c r="F403" s="132" t="str">
        <f aca="false">IF('Cassidy Ford'!$B43="","",'Cassidy Ford'!$F43)</f>
        <v/>
      </c>
      <c r="G403" s="132" t="str">
        <f aca="false">IF('Cassidy Ford'!$B43="","",'Cassidy Ford'!$G43)</f>
        <v/>
      </c>
      <c r="H403" s="131" t="str">
        <f aca="false">IF('Cassidy Ford'!$B43="","",'Cassidy Ford'!$H43)</f>
        <v/>
      </c>
      <c r="I403" s="131" t="str">
        <f aca="false">IF('Cassidy Ford'!$B43="","",'Cassidy Ford'!$I43)</f>
        <v/>
      </c>
      <c r="J403" s="133" t="str">
        <f aca="false">IF('Cassidy Ford'!$B43="","",'Cassidy Ford'!$J43)</f>
        <v/>
      </c>
      <c r="K403" s="134" t="str">
        <f aca="false">IF('Cassidy Ford'!$B43="","",'Cassidy Ford'!$K43)</f>
        <v/>
      </c>
      <c r="L403" s="134" t="str">
        <f aca="false">IF('Cassidy Ford'!$B43="","",'Cassidy Ford'!$L43)</f>
        <v/>
      </c>
      <c r="M403" s="132" t="str">
        <f aca="false">IF('Cassidy Ford'!$B43="","",'Cassidy Ford'!$M43)</f>
        <v/>
      </c>
      <c r="N403" s="132" t="str">
        <f aca="false">IF('Cassidy Ford'!$B43="","",'Cassidy Ford'!$N43)</f>
        <v/>
      </c>
      <c r="O403" s="134" t="str">
        <f aca="false">IF('Cassidy Ford'!$B43="","",'Cassidy Ford'!$O43)</f>
        <v/>
      </c>
      <c r="P403" s="132" t="str">
        <f aca="false">IF('Cassidy Ford'!$B43="","",'Cassidy Ford'!$P43)</f>
        <v/>
      </c>
      <c r="Q403" s="131" t="str">
        <f aca="false">IF('Cassidy Ford'!$B43="","","Cassidy Ford")</f>
        <v/>
      </c>
      <c r="R403" s="131" t="n">
        <f aca="true">IF(OR($B403="",$I403="Complete",$L403=""),0,IF($L403&lt;TODAY(),1,0))</f>
        <v>0</v>
      </c>
      <c r="S403" s="131" t="n">
        <f aca="true">IF(OR($B403="",$I403="Complete",$L403=""),0,IF(AND($L403&gt;=TODAY(),$L403&lt;=TODAY()+7),1,0))</f>
        <v>0</v>
      </c>
      <c r="T403" s="131" t="str">
        <f aca="true">IF(OR($B403="",$L403=""),"",$L403-TODAY())</f>
        <v/>
      </c>
      <c r="U403" s="135" t="str">
        <f aca="false">IF($B403="","",IF($I403="Complete",1,IF($J403="",0,$J403)))</f>
        <v/>
      </c>
      <c r="V403" s="131" t="n">
        <f aca="false">IF($B403="",0,IF($N403="",0,1))</f>
        <v>0</v>
      </c>
      <c r="W403" s="131" t="n">
        <f aca="false">IF($B403="",0,1)</f>
        <v>0</v>
      </c>
    </row>
    <row r="404" customFormat="false" ht="15" hidden="false" customHeight="false" outlineLevel="0" collapsed="false">
      <c r="A404" s="131" t="str">
        <f aca="false">IF('Cassidy Ford'!$B44="","",'Cassidy Ford'!$A44)</f>
        <v/>
      </c>
      <c r="B404" s="131" t="str">
        <f aca="false">IF('Cassidy Ford'!$B44="","",'Cassidy Ford'!$B44)</f>
        <v/>
      </c>
      <c r="C404" s="132" t="str">
        <f aca="false">IF('Cassidy Ford'!$B44="","",'Cassidy Ford'!$C44)</f>
        <v/>
      </c>
      <c r="D404" s="132" t="str">
        <f aca="false">IF('Cassidy Ford'!$B44="","",'Cassidy Ford'!$D44)</f>
        <v/>
      </c>
      <c r="E404" s="132" t="str">
        <f aca="false">IF('Cassidy Ford'!$B44="","",'Cassidy Ford'!$E44)</f>
        <v/>
      </c>
      <c r="F404" s="132" t="str">
        <f aca="false">IF('Cassidy Ford'!$B44="","",'Cassidy Ford'!$F44)</f>
        <v/>
      </c>
      <c r="G404" s="132" t="str">
        <f aca="false">IF('Cassidy Ford'!$B44="","",'Cassidy Ford'!$G44)</f>
        <v/>
      </c>
      <c r="H404" s="131" t="str">
        <f aca="false">IF('Cassidy Ford'!$B44="","",'Cassidy Ford'!$H44)</f>
        <v/>
      </c>
      <c r="I404" s="131" t="str">
        <f aca="false">IF('Cassidy Ford'!$B44="","",'Cassidy Ford'!$I44)</f>
        <v/>
      </c>
      <c r="J404" s="133" t="str">
        <f aca="false">IF('Cassidy Ford'!$B44="","",'Cassidy Ford'!$J44)</f>
        <v/>
      </c>
      <c r="K404" s="134" t="str">
        <f aca="false">IF('Cassidy Ford'!$B44="","",'Cassidy Ford'!$K44)</f>
        <v/>
      </c>
      <c r="L404" s="134" t="str">
        <f aca="false">IF('Cassidy Ford'!$B44="","",'Cassidy Ford'!$L44)</f>
        <v/>
      </c>
      <c r="M404" s="132" t="str">
        <f aca="false">IF('Cassidy Ford'!$B44="","",'Cassidy Ford'!$M44)</f>
        <v/>
      </c>
      <c r="N404" s="132" t="str">
        <f aca="false">IF('Cassidy Ford'!$B44="","",'Cassidy Ford'!$N44)</f>
        <v/>
      </c>
      <c r="O404" s="134" t="str">
        <f aca="false">IF('Cassidy Ford'!$B44="","",'Cassidy Ford'!$O44)</f>
        <v/>
      </c>
      <c r="P404" s="132" t="str">
        <f aca="false">IF('Cassidy Ford'!$B44="","",'Cassidy Ford'!$P44)</f>
        <v/>
      </c>
      <c r="Q404" s="131" t="str">
        <f aca="false">IF('Cassidy Ford'!$B44="","","Cassidy Ford")</f>
        <v/>
      </c>
      <c r="R404" s="131" t="n">
        <f aca="true">IF(OR($B404="",$I404="Complete",$L404=""),0,IF($L404&lt;TODAY(),1,0))</f>
        <v>0</v>
      </c>
      <c r="S404" s="131" t="n">
        <f aca="true">IF(OR($B404="",$I404="Complete",$L404=""),0,IF(AND($L404&gt;=TODAY(),$L404&lt;=TODAY()+7),1,0))</f>
        <v>0</v>
      </c>
      <c r="T404" s="131" t="str">
        <f aca="true">IF(OR($B404="",$L404=""),"",$L404-TODAY())</f>
        <v/>
      </c>
      <c r="U404" s="135" t="str">
        <f aca="false">IF($B404="","",IF($I404="Complete",1,IF($J404="",0,$J404)))</f>
        <v/>
      </c>
      <c r="V404" s="131" t="n">
        <f aca="false">IF($B404="",0,IF($N404="",0,1))</f>
        <v>0</v>
      </c>
      <c r="W404" s="131" t="n">
        <f aca="false">IF($B404="",0,1)</f>
        <v>0</v>
      </c>
    </row>
  </sheetData>
  <mergeCells count="2">
    <mergeCell ref="A1:W1"/>
    <mergeCell ref="A2:W2"/>
  </mergeCells>
  <conditionalFormatting sqref="I5:I404">
    <cfRule type="cellIs" priority="2" operator="equal" aboveAverage="0" equalAverage="0" bottom="0" percent="0" rank="0" text="" dxfId="39">
      <formula>"Complete"</formula>
    </cfRule>
    <cfRule type="cellIs" priority="3" operator="equal" aboveAverage="0" equalAverage="0" bottom="0" percent="0" rank="0" text="" dxfId="40">
      <formula>"Blocked"</formula>
    </cfRule>
    <cfRule type="cellIs" priority="4" operator="equal" aboveAverage="0" equalAverage="0" bottom="0" percent="0" rank="0" text="" dxfId="34">
      <formula>"Waiting on Someone"</formula>
    </cfRule>
    <cfRule type="cellIs" priority="5" operator="equal" aboveAverage="0" equalAverage="0" bottom="0" percent="0" rank="0" text="" dxfId="33">
      <formula>"In Progress"</formula>
    </cfRule>
  </conditionalFormatting>
  <conditionalFormatting sqref="L5:L404">
    <cfRule type="expression" priority="6" aboveAverage="0" equalAverage="0" bottom="0" percent="0" rank="0" text="" dxfId="40">
      <formula>AND($L5&lt;&gt;"",$L5&lt;TODAY(),$I5&lt;&gt;"Complete")</formula>
    </cfRule>
    <cfRule type="expression" priority="7" aboveAverage="0" equalAverage="0" bottom="0" percent="0" rank="0" text="" dxfId="41">
      <formula>AND($L5&lt;&gt;"",$L5&gt;=TODAY(),$L5&lt;=TODAY()+7,$I5&lt;&gt;"Complete")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Q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L6" activeCellId="0" sqref="L6"/>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4"/>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36"/>
    <col collapsed="false" customWidth="true" hidden="false" outlineLevel="0" max="8" min="8" style="0" width="10"/>
    <col collapsed="false" customWidth="true" hidden="false" outlineLevel="0" max="9" min="9" style="0" width="16"/>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26"/>
    <col collapsed="false" customWidth="true" hidden="false" outlineLevel="0" max="15" min="15" style="0" width="12"/>
    <col collapsed="false" customWidth="true" hidden="false" outlineLevel="0" max="16" min="16" style="0" width="30"/>
    <col collapsed="false" customWidth="true" hidden="false" outlineLevel="0" max="17" min="17" style="0" width="15"/>
  </cols>
  <sheetData>
    <row r="1" customFormat="false" ht="30" hidden="false" customHeight="true" outlineLevel="0" collapsed="false">
      <c r="A1" s="114" t="s">
        <v>262</v>
      </c>
      <c r="B1" s="114"/>
      <c r="C1" s="114"/>
      <c r="D1" s="114"/>
      <c r="E1" s="114"/>
      <c r="F1" s="114"/>
      <c r="G1" s="114"/>
      <c r="H1" s="114"/>
      <c r="I1" s="114"/>
      <c r="J1" s="114"/>
      <c r="K1" s="114"/>
      <c r="L1" s="114"/>
      <c r="M1" s="114"/>
      <c r="N1" s="114"/>
      <c r="O1" s="114"/>
      <c r="P1" s="114"/>
      <c r="Q1" s="114"/>
    </row>
    <row r="2" customFormat="false" ht="24" hidden="false" customHeight="true" outlineLevel="0" collapsed="false">
      <c r="A2" s="115" t="s">
        <v>263</v>
      </c>
      <c r="B2" s="115"/>
      <c r="C2" s="115"/>
      <c r="D2" s="115"/>
      <c r="E2" s="115"/>
      <c r="F2" s="115"/>
      <c r="G2" s="115"/>
      <c r="H2" s="115"/>
      <c r="I2" s="115"/>
      <c r="J2" s="115"/>
      <c r="K2" s="115"/>
      <c r="L2" s="115"/>
      <c r="M2" s="115"/>
      <c r="N2" s="115"/>
      <c r="O2" s="115"/>
      <c r="P2" s="115"/>
      <c r="Q2" s="115"/>
    </row>
    <row r="3" customFormat="false" ht="24" hidden="false" customHeight="true" outlineLevel="0" collapsed="false"/>
    <row r="4" customFormat="false" ht="33.75" hidden="false" customHeight="true" outlineLevel="0" collapsed="false">
      <c r="A4" s="129" t="s">
        <v>237</v>
      </c>
      <c r="B4" s="136" t="s">
        <v>178</v>
      </c>
      <c r="C4" s="129" t="s">
        <v>16</v>
      </c>
      <c r="D4" s="129" t="s">
        <v>251</v>
      </c>
      <c r="E4" s="129" t="s">
        <v>238</v>
      </c>
      <c r="F4" s="136" t="s">
        <v>240</v>
      </c>
      <c r="G4" s="136" t="s">
        <v>239</v>
      </c>
      <c r="H4" s="136" t="s">
        <v>241</v>
      </c>
      <c r="I4" s="136" t="s">
        <v>50</v>
      </c>
      <c r="J4" s="136" t="s">
        <v>252</v>
      </c>
      <c r="K4" s="136" t="s">
        <v>253</v>
      </c>
      <c r="L4" s="136" t="s">
        <v>254</v>
      </c>
      <c r="M4" s="136" t="s">
        <v>255</v>
      </c>
      <c r="N4" s="136" t="s">
        <v>246</v>
      </c>
      <c r="O4" s="136" t="s">
        <v>247</v>
      </c>
      <c r="P4" s="136" t="s">
        <v>248</v>
      </c>
      <c r="Q4" s="129" t="s">
        <v>264</v>
      </c>
    </row>
    <row r="5" customFormat="false" ht="30" hidden="false" customHeight="true" outlineLevel="0" collapsed="false">
      <c r="A5" s="137" t="str">
        <f aca="false">IF($B5="","","QC-"&amp;TEXT(ROW()-4,"000"))</f>
        <v>QC-001</v>
      </c>
      <c r="B5" s="118" t="s">
        <v>195</v>
      </c>
      <c r="C5" s="138" t="str">
        <f aca="false">IF($B5="","",IFERROR(VLOOKUP($B5,Lists!$A:$H,2,FALSE()),"unknown ID"))</f>
        <v>2 – Top-of-Funnel Lead Gen</v>
      </c>
      <c r="D5" s="138" t="str">
        <f aca="false">IF($B5="","",IFERROR(VLOOKUP($B5,Lists!$A:$H,3,FALSE()),""))</f>
        <v>Reallocate spend toward non-broker sourced channels</v>
      </c>
      <c r="E5" s="139" t="str">
        <f aca="false">IF($B5="","","Quick Chadwick")</f>
        <v>Quick Chadwick</v>
      </c>
      <c r="F5" s="117" t="s">
        <v>265</v>
      </c>
      <c r="G5" s="117" t="s">
        <v>266</v>
      </c>
      <c r="H5" s="118" t="s">
        <v>267</v>
      </c>
      <c r="I5" s="118" t="s">
        <v>6</v>
      </c>
      <c r="J5" s="33" t="n">
        <v>1</v>
      </c>
      <c r="K5" s="119" t="n">
        <v>46147</v>
      </c>
      <c r="L5" s="119" t="n">
        <v>46164</v>
      </c>
      <c r="M5" s="117"/>
      <c r="N5" s="117"/>
      <c r="O5" s="119" t="s">
        <v>268</v>
      </c>
      <c r="P5" s="117" t="s">
        <v>269</v>
      </c>
      <c r="Q5" s="140" t="str">
        <f aca="false">IF($B5="","",HYPERLINK("#Projects!A"&amp;MATCH($B5,Projects!$A:$A,0),"Open Project"))</f>
        <v>Open Project</v>
      </c>
    </row>
    <row r="6" customFormat="false" ht="30" hidden="false" customHeight="true" outlineLevel="0" collapsed="false">
      <c r="A6" s="137" t="str">
        <f aca="false">IF($B6="","","QC-"&amp;TEXT(ROW()-4,"000"))</f>
        <v>QC-002</v>
      </c>
      <c r="B6" s="118" t="s">
        <v>187</v>
      </c>
      <c r="C6" s="138" t="str">
        <f aca="false">IF($B6="","",IFERROR(VLOOKUP($B6,Lists!$A:$H,2,FALSE()),"unknown ID"))</f>
        <v>1 – Unified Development System</v>
      </c>
      <c r="D6" s="138" t="str">
        <f aca="false">IF($B6="","",IFERROR(VLOOKUP($B6,Lists!$A:$H,3,FALSE()),""))</f>
        <v>Implement standardized Mutual Evaluation Process (MEP) across all brands</v>
      </c>
      <c r="E6" s="139" t="str">
        <f aca="false">IF($B6="","","Quick Chadwick")</f>
        <v>Quick Chadwick</v>
      </c>
      <c r="F6" s="117" t="s">
        <v>270</v>
      </c>
      <c r="G6" s="117" t="s">
        <v>271</v>
      </c>
      <c r="H6" s="118" t="s">
        <v>272</v>
      </c>
      <c r="I6" s="118" t="s">
        <v>18</v>
      </c>
      <c r="J6" s="33" t="n">
        <v>0.5</v>
      </c>
      <c r="K6" s="119" t="n">
        <v>46162</v>
      </c>
      <c r="L6" s="119" t="n">
        <v>46186</v>
      </c>
      <c r="M6" s="117"/>
      <c r="N6" s="117"/>
      <c r="O6" s="119" t="s">
        <v>273</v>
      </c>
      <c r="P6" s="117" t="s">
        <v>274</v>
      </c>
      <c r="Q6" s="140" t="str">
        <f aca="false">IF($B6="","",HYPERLINK("#Projects!A"&amp;MATCH($B6,Projects!$A:$A,0),"Open Project"))</f>
        <v>Open Project</v>
      </c>
    </row>
    <row r="7" customFormat="false" ht="30" hidden="false" customHeight="true" outlineLevel="0" collapsed="false">
      <c r="A7" s="137" t="str">
        <f aca="false">IF($B7="","","QC-"&amp;TEXT(ROW()-4,"000"))</f>
        <v>QC-003</v>
      </c>
      <c r="B7" s="118" t="s">
        <v>196</v>
      </c>
      <c r="C7" s="138" t="str">
        <f aca="false">IF($B7="","",IFERROR(VLOOKUP($B7,Lists!$A:$H,2,FALSE()),"unknown ID"))</f>
        <v>2 – Top-of-Funnel Lead Gen</v>
      </c>
      <c r="D7" s="138" t="str">
        <f aca="false">IF($B7="","",IFERROR(VLOOKUP($B7,Lists!$A:$H,3,FALSE()),""))</f>
        <v>Build video-first funnel</v>
      </c>
      <c r="E7" s="139" t="str">
        <f aca="false">IF($B7="","","Quick Chadwick")</f>
        <v>Quick Chadwick</v>
      </c>
      <c r="F7" s="117" t="s">
        <v>265</v>
      </c>
      <c r="G7" s="117" t="s">
        <v>275</v>
      </c>
      <c r="H7" s="118" t="s">
        <v>267</v>
      </c>
      <c r="I7" s="118" t="s">
        <v>18</v>
      </c>
      <c r="J7" s="33" t="n">
        <v>0.3</v>
      </c>
      <c r="K7" s="119" t="n">
        <v>46157</v>
      </c>
      <c r="L7" s="119" t="n">
        <v>46193</v>
      </c>
      <c r="M7" s="117"/>
      <c r="N7" s="117"/>
      <c r="O7" s="119" t="s">
        <v>276</v>
      </c>
      <c r="P7" s="117" t="s">
        <v>277</v>
      </c>
      <c r="Q7" s="140" t="str">
        <f aca="false">IF($B7="","",HYPERLINK("#Projects!A"&amp;MATCH($B7,Projects!$A:$A,0),"Open Project"))</f>
        <v>Open Project</v>
      </c>
    </row>
    <row r="8" customFormat="false" ht="30" hidden="false" customHeight="true" outlineLevel="0" collapsed="false">
      <c r="A8" s="137" t="str">
        <f aca="false">IF($B8="","","QC-"&amp;TEXT(ROW()-4,"000"))</f>
        <v>QC-004</v>
      </c>
      <c r="B8" s="118" t="s">
        <v>218</v>
      </c>
      <c r="C8" s="138" t="str">
        <f aca="false">IF($B8="","",IFERROR(VLOOKUP($B8,Lists!$A:$H,2,FALSE()),"unknown ID"))</f>
        <v>6 – Automation &amp; Content</v>
      </c>
      <c r="D8" s="138" t="str">
        <f aca="false">IF($B8="","",IFERROR(VLOOKUP($B8,Lists!$A:$H,3,FALSE()),""))</f>
        <v>Develop standardized brand overview videos</v>
      </c>
      <c r="E8" s="139" t="str">
        <f aca="false">IF($B8="","","Quick Chadwick")</f>
        <v>Quick Chadwick</v>
      </c>
      <c r="F8" s="117" t="s">
        <v>265</v>
      </c>
      <c r="G8" s="117" t="s">
        <v>278</v>
      </c>
      <c r="H8" s="118" t="s">
        <v>267</v>
      </c>
      <c r="I8" s="118" t="s">
        <v>6</v>
      </c>
      <c r="J8" s="33" t="n">
        <v>1</v>
      </c>
      <c r="K8" s="119" t="n">
        <v>46143</v>
      </c>
      <c r="L8" s="119" t="n">
        <v>46162</v>
      </c>
      <c r="M8" s="117"/>
      <c r="N8" s="117"/>
      <c r="O8" s="119" t="s">
        <v>279</v>
      </c>
      <c r="P8" s="117" t="s">
        <v>280</v>
      </c>
      <c r="Q8" s="140" t="str">
        <f aca="false">IF($B8="","",HYPERLINK("#Projects!A"&amp;MATCH($B8,Projects!$A:$A,0),"Open Project"))</f>
        <v>Open Project</v>
      </c>
    </row>
    <row r="9" customFormat="false" ht="30" hidden="false" customHeight="true" outlineLevel="0" collapsed="false">
      <c r="A9" s="137" t="str">
        <f aca="false">IF($B9="","","QC-"&amp;TEXT(ROW()-4,"000"))</f>
        <v>QC-005</v>
      </c>
      <c r="B9" s="118" t="s">
        <v>218</v>
      </c>
      <c r="C9" s="138" t="str">
        <f aca="false">IF($B9="","",IFERROR(VLOOKUP($B9,Lists!$A:$H,2,FALSE()),"unknown ID"))</f>
        <v>6 – Automation &amp; Content</v>
      </c>
      <c r="D9" s="138" t="str">
        <f aca="false">IF($B9="","",IFERROR(VLOOKUP($B9,Lists!$A:$H,3,FALSE()),""))</f>
        <v>Develop standardized brand overview videos</v>
      </c>
      <c r="E9" s="139" t="str">
        <f aca="false">IF($B9="","","Quick Chadwick")</f>
        <v>Quick Chadwick</v>
      </c>
      <c r="F9" s="117" t="s">
        <v>265</v>
      </c>
      <c r="G9" s="117" t="s">
        <v>281</v>
      </c>
      <c r="H9" s="118" t="s">
        <v>272</v>
      </c>
      <c r="I9" s="118" t="s">
        <v>18</v>
      </c>
      <c r="J9" s="33" t="n">
        <v>0.4</v>
      </c>
      <c r="K9" s="119" t="n">
        <v>46152</v>
      </c>
      <c r="L9" s="119" t="n">
        <v>46203</v>
      </c>
      <c r="M9" s="117"/>
      <c r="N9" s="117"/>
      <c r="O9" s="119" t="s">
        <v>282</v>
      </c>
      <c r="P9" s="117" t="s">
        <v>283</v>
      </c>
      <c r="Q9" s="140" t="str">
        <f aca="false">IF($B9="","",HYPERLINK("#Projects!A"&amp;MATCH($B9,Projects!$A:$A,0),"Open Project"))</f>
        <v>Open Project</v>
      </c>
    </row>
    <row r="10" customFormat="false" ht="30" hidden="false" customHeight="true" outlineLevel="0" collapsed="false">
      <c r="A10" s="137" t="str">
        <f aca="false">IF($B10="","","QC-"&amp;TEXT(ROW()-4,"000"))</f>
        <v>QC-006</v>
      </c>
      <c r="B10" s="118" t="s">
        <v>218</v>
      </c>
      <c r="C10" s="138" t="str">
        <f aca="false">IF($B10="","",IFERROR(VLOOKUP($B10,Lists!$A:$H,2,FALSE()),"unknown ID"))</f>
        <v>6 – Automation &amp; Content</v>
      </c>
      <c r="D10" s="138" t="str">
        <f aca="false">IF($B10="","",IFERROR(VLOOKUP($B10,Lists!$A:$H,3,FALSE()),""))</f>
        <v>Develop standardized brand overview videos</v>
      </c>
      <c r="E10" s="139" t="str">
        <f aca="false">IF($B10="","","Quick Chadwick")</f>
        <v>Quick Chadwick</v>
      </c>
      <c r="F10" s="117" t="s">
        <v>265</v>
      </c>
      <c r="G10" s="117" t="s">
        <v>284</v>
      </c>
      <c r="H10" s="118" t="s">
        <v>272</v>
      </c>
      <c r="I10" s="118" t="s">
        <v>18</v>
      </c>
      <c r="J10" s="33" t="n">
        <v>0.25</v>
      </c>
      <c r="K10" s="119" t="n">
        <v>46152</v>
      </c>
      <c r="L10" s="119" t="n">
        <v>46218</v>
      </c>
      <c r="M10" s="117"/>
      <c r="N10" s="117"/>
      <c r="O10" s="119" t="s">
        <v>285</v>
      </c>
      <c r="P10" s="117" t="s">
        <v>286</v>
      </c>
      <c r="Q10" s="140" t="str">
        <f aca="false">IF($B10="","",HYPERLINK("#Projects!A"&amp;MATCH($B10,Projects!$A:$A,0),"Open Project"))</f>
        <v>Open Project</v>
      </c>
    </row>
    <row r="11" customFormat="false" ht="30" hidden="false" customHeight="true" outlineLevel="0" collapsed="false">
      <c r="A11" s="137" t="str">
        <f aca="false">IF($B11="","","QC-"&amp;TEXT(ROW()-4,"000"))</f>
        <v>QC-007</v>
      </c>
      <c r="B11" s="118" t="s">
        <v>218</v>
      </c>
      <c r="C11" s="138" t="str">
        <f aca="false">IF($B11="","",IFERROR(VLOOKUP($B11,Lists!$A:$H,2,FALSE()),"unknown ID"))</f>
        <v>6 – Automation &amp; Content</v>
      </c>
      <c r="D11" s="138" t="str">
        <f aca="false">IF($B11="","",IFERROR(VLOOKUP($B11,Lists!$A:$H,3,FALSE()),""))</f>
        <v>Develop standardized brand overview videos</v>
      </c>
      <c r="E11" s="139" t="str">
        <f aca="false">IF($B11="","","Quick Chadwick")</f>
        <v>Quick Chadwick</v>
      </c>
      <c r="F11" s="117" t="s">
        <v>265</v>
      </c>
      <c r="G11" s="117" t="s">
        <v>287</v>
      </c>
      <c r="H11" s="118" t="s">
        <v>272</v>
      </c>
      <c r="I11" s="118" t="s">
        <v>11</v>
      </c>
      <c r="J11" s="33" t="n">
        <v>0</v>
      </c>
      <c r="K11" s="119" t="n">
        <v>46174</v>
      </c>
      <c r="L11" s="119" t="n">
        <v>46234</v>
      </c>
      <c r="M11" s="117" t="s">
        <v>288</v>
      </c>
      <c r="N11" s="117"/>
      <c r="O11" s="119"/>
      <c r="P11" s="117" t="s">
        <v>289</v>
      </c>
      <c r="Q11" s="140" t="str">
        <f aca="false">IF($B11="","",HYPERLINK("#Projects!A"&amp;MATCH($B11,Projects!$A:$A,0),"Open Project"))</f>
        <v>Open Project</v>
      </c>
    </row>
    <row r="12" customFormat="false" ht="30" hidden="false" customHeight="true" outlineLevel="0" collapsed="false">
      <c r="A12" s="137" t="str">
        <f aca="false">IF($B12="","","QC-"&amp;TEXT(ROW()-4,"000"))</f>
        <v>QC-008</v>
      </c>
      <c r="B12" s="118" t="s">
        <v>218</v>
      </c>
      <c r="C12" s="138" t="str">
        <f aca="false">IF($B12="","",IFERROR(VLOOKUP($B12,Lists!$A:$H,2,FALSE()),"unknown ID"))</f>
        <v>6 – Automation &amp; Content</v>
      </c>
      <c r="D12" s="138" t="str">
        <f aca="false">IF($B12="","",IFERROR(VLOOKUP($B12,Lists!$A:$H,3,FALSE()),""))</f>
        <v>Develop standardized brand overview videos</v>
      </c>
      <c r="E12" s="139" t="str">
        <f aca="false">IF($B12="","","Quick Chadwick")</f>
        <v>Quick Chadwick</v>
      </c>
      <c r="F12" s="117" t="s">
        <v>265</v>
      </c>
      <c r="G12" s="117" t="s">
        <v>290</v>
      </c>
      <c r="H12" s="118" t="s">
        <v>272</v>
      </c>
      <c r="I12" s="118" t="s">
        <v>18</v>
      </c>
      <c r="J12" s="33" t="n">
        <v>0.4</v>
      </c>
      <c r="K12" s="119" t="n">
        <v>46152</v>
      </c>
      <c r="L12" s="119" t="n">
        <v>46203</v>
      </c>
      <c r="M12" s="117"/>
      <c r="N12" s="117"/>
      <c r="O12" s="119" t="s">
        <v>291</v>
      </c>
      <c r="P12" s="117" t="s">
        <v>292</v>
      </c>
      <c r="Q12" s="140" t="str">
        <f aca="false">IF($B12="","",HYPERLINK("#Projects!A"&amp;MATCH($B12,Projects!$A:$A,0),"Open Project"))</f>
        <v>Open Project</v>
      </c>
    </row>
    <row r="13" customFormat="false" ht="30" hidden="false" customHeight="true" outlineLevel="0" collapsed="false">
      <c r="A13" s="137" t="str">
        <f aca="false">IF($B13="","","QC-"&amp;TEXT(ROW()-4,"000"))</f>
        <v>QC-009</v>
      </c>
      <c r="B13" s="118" t="s">
        <v>218</v>
      </c>
      <c r="C13" s="138" t="str">
        <f aca="false">IF($B13="","",IFERROR(VLOOKUP($B13,Lists!$A:$H,2,FALSE()),"unknown ID"))</f>
        <v>6 – Automation &amp; Content</v>
      </c>
      <c r="D13" s="138" t="str">
        <f aca="false">IF($B13="","",IFERROR(VLOOKUP($B13,Lists!$A:$H,3,FALSE()),""))</f>
        <v>Develop standardized brand overview videos</v>
      </c>
      <c r="E13" s="139" t="str">
        <f aca="false">IF($B13="","","Quick Chadwick")</f>
        <v>Quick Chadwick</v>
      </c>
      <c r="F13" s="117" t="s">
        <v>265</v>
      </c>
      <c r="G13" s="117" t="s">
        <v>293</v>
      </c>
      <c r="H13" s="118" t="s">
        <v>272</v>
      </c>
      <c r="I13" s="118" t="s">
        <v>18</v>
      </c>
      <c r="J13" s="33" t="n">
        <v>0.3</v>
      </c>
      <c r="K13" s="119" t="n">
        <v>46152</v>
      </c>
      <c r="L13" s="119" t="n">
        <v>46218</v>
      </c>
      <c r="M13" s="117"/>
      <c r="N13" s="117"/>
      <c r="O13" s="119" t="s">
        <v>294</v>
      </c>
      <c r="P13" s="117" t="s">
        <v>286</v>
      </c>
      <c r="Q13" s="140" t="str">
        <f aca="false">IF($B13="","",HYPERLINK("#Projects!A"&amp;MATCH($B13,Projects!$A:$A,0),"Open Project"))</f>
        <v>Open Project</v>
      </c>
    </row>
    <row r="14" customFormat="false" ht="30" hidden="false" customHeight="true" outlineLevel="0" collapsed="false">
      <c r="A14" s="137" t="str">
        <f aca="false">IF($B14="","","QC-"&amp;TEXT(ROW()-4,"000"))</f>
        <v>QC-010</v>
      </c>
      <c r="B14" s="118" t="s">
        <v>218</v>
      </c>
      <c r="C14" s="138" t="str">
        <f aca="false">IF($B14="","",IFERROR(VLOOKUP($B14,Lists!$A:$H,2,FALSE()),"unknown ID"))</f>
        <v>6 – Automation &amp; Content</v>
      </c>
      <c r="D14" s="138" t="str">
        <f aca="false">IF($B14="","",IFERROR(VLOOKUP($B14,Lists!$A:$H,3,FALSE()),""))</f>
        <v>Develop standardized brand overview videos</v>
      </c>
      <c r="E14" s="139" t="str">
        <f aca="false">IF($B14="","","Quick Chadwick")</f>
        <v>Quick Chadwick</v>
      </c>
      <c r="F14" s="117" t="s">
        <v>265</v>
      </c>
      <c r="G14" s="117" t="s">
        <v>295</v>
      </c>
      <c r="H14" s="118" t="s">
        <v>272</v>
      </c>
      <c r="I14" s="118" t="s">
        <v>11</v>
      </c>
      <c r="J14" s="33" t="n">
        <v>0</v>
      </c>
      <c r="K14" s="119" t="n">
        <v>46174</v>
      </c>
      <c r="L14" s="119" t="n">
        <v>46234</v>
      </c>
      <c r="M14" s="117" t="s">
        <v>296</v>
      </c>
      <c r="N14" s="117"/>
      <c r="O14" s="119"/>
      <c r="P14" s="117" t="s">
        <v>297</v>
      </c>
      <c r="Q14" s="140" t="str">
        <f aca="false">IF($B14="","",HYPERLINK("#Projects!A"&amp;MATCH($B14,Projects!$A:$A,0),"Open Project"))</f>
        <v>Open Project</v>
      </c>
    </row>
    <row r="15" customFormat="false" ht="30" hidden="false" customHeight="true" outlineLevel="0" collapsed="false">
      <c r="A15" s="137" t="str">
        <f aca="false">IF($B15="","","QC-"&amp;TEXT(ROW()-4,"000"))</f>
        <v/>
      </c>
      <c r="B15" s="118"/>
      <c r="C15" s="138" t="str">
        <f aca="false">IF($B15="","",IFERROR(VLOOKUP($B15,Lists!$A:$H,2,FALSE()),"unknown ID"))</f>
        <v/>
      </c>
      <c r="D15" s="138" t="str">
        <f aca="false">IF($B15="","",IFERROR(VLOOKUP($B15,Lists!$A:$H,3,FALSE()),""))</f>
        <v/>
      </c>
      <c r="E15" s="139" t="str">
        <f aca="false">IF($B15="","","Quick Chadwick")</f>
        <v/>
      </c>
      <c r="F15" s="117"/>
      <c r="G15" s="117"/>
      <c r="H15" s="118"/>
      <c r="I15" s="118"/>
      <c r="J15" s="33"/>
      <c r="K15" s="119"/>
      <c r="L15" s="119"/>
      <c r="M15" s="117"/>
      <c r="N15" s="117"/>
      <c r="O15" s="119"/>
      <c r="P15" s="117"/>
      <c r="Q15" s="140" t="str">
        <f aca="false">IF($B15="","",HYPERLINK("#Projects!A"&amp;MATCH($B15,Projects!$A:$A,0),"Open Project"))</f>
        <v/>
      </c>
    </row>
    <row r="16" customFormat="false" ht="30" hidden="false" customHeight="true" outlineLevel="0" collapsed="false">
      <c r="A16" s="137" t="str">
        <f aca="false">IF($B16="","","QC-"&amp;TEXT(ROW()-4,"000"))</f>
        <v/>
      </c>
      <c r="B16" s="118"/>
      <c r="C16" s="138" t="str">
        <f aca="false">IF($B16="","",IFERROR(VLOOKUP($B16,Lists!$A:$H,2,FALSE()),"unknown ID"))</f>
        <v/>
      </c>
      <c r="D16" s="138" t="str">
        <f aca="false">IF($B16="","",IFERROR(VLOOKUP($B16,Lists!$A:$H,3,FALSE()),""))</f>
        <v/>
      </c>
      <c r="E16" s="139" t="str">
        <f aca="false">IF($B16="","","Quick Chadwick")</f>
        <v/>
      </c>
      <c r="F16" s="117"/>
      <c r="G16" s="117"/>
      <c r="H16" s="118"/>
      <c r="I16" s="118"/>
      <c r="J16" s="33"/>
      <c r="K16" s="119"/>
      <c r="L16" s="119"/>
      <c r="M16" s="117"/>
      <c r="N16" s="117"/>
      <c r="O16" s="119"/>
      <c r="P16" s="117"/>
      <c r="Q16" s="140" t="str">
        <f aca="false">IF($B16="","",HYPERLINK("#Projects!A"&amp;MATCH($B16,Projects!$A:$A,0),"Open Project"))</f>
        <v/>
      </c>
    </row>
    <row r="17" customFormat="false" ht="30" hidden="false" customHeight="true" outlineLevel="0" collapsed="false">
      <c r="A17" s="137" t="str">
        <f aca="false">IF($B17="","","QC-"&amp;TEXT(ROW()-4,"000"))</f>
        <v/>
      </c>
      <c r="B17" s="118"/>
      <c r="C17" s="138" t="str">
        <f aca="false">IF($B17="","",IFERROR(VLOOKUP($B17,Lists!$A:$H,2,FALSE()),"unknown ID"))</f>
        <v/>
      </c>
      <c r="D17" s="138" t="str">
        <f aca="false">IF($B17="","",IFERROR(VLOOKUP($B17,Lists!$A:$H,3,FALSE()),""))</f>
        <v/>
      </c>
      <c r="E17" s="139" t="str">
        <f aca="false">IF($B17="","","Quick Chadwick")</f>
        <v/>
      </c>
      <c r="F17" s="117"/>
      <c r="G17" s="117"/>
      <c r="H17" s="118"/>
      <c r="I17" s="118"/>
      <c r="J17" s="33"/>
      <c r="K17" s="119"/>
      <c r="L17" s="119"/>
      <c r="M17" s="117"/>
      <c r="N17" s="117"/>
      <c r="O17" s="119"/>
      <c r="P17" s="117"/>
      <c r="Q17" s="140" t="str">
        <f aca="false">IF($B17="","",HYPERLINK("#Projects!A"&amp;MATCH($B17,Projects!$A:$A,0),"Open Project"))</f>
        <v/>
      </c>
    </row>
    <row r="18" customFormat="false" ht="30" hidden="false" customHeight="true" outlineLevel="0" collapsed="false">
      <c r="A18" s="137" t="str">
        <f aca="false">IF($B18="","","QC-"&amp;TEXT(ROW()-4,"000"))</f>
        <v/>
      </c>
      <c r="B18" s="118"/>
      <c r="C18" s="138" t="str">
        <f aca="false">IF($B18="","",IFERROR(VLOOKUP($B18,Lists!$A:$H,2,FALSE()),"unknown ID"))</f>
        <v/>
      </c>
      <c r="D18" s="138" t="str">
        <f aca="false">IF($B18="","",IFERROR(VLOOKUP($B18,Lists!$A:$H,3,FALSE()),""))</f>
        <v/>
      </c>
      <c r="E18" s="139" t="str">
        <f aca="false">IF($B18="","","Quick Chadwick")</f>
        <v/>
      </c>
      <c r="F18" s="117"/>
      <c r="G18" s="117"/>
      <c r="H18" s="118"/>
      <c r="I18" s="118"/>
      <c r="J18" s="33"/>
      <c r="K18" s="119"/>
      <c r="L18" s="119"/>
      <c r="M18" s="117"/>
      <c r="N18" s="117"/>
      <c r="O18" s="119"/>
      <c r="P18" s="117"/>
      <c r="Q18" s="140" t="str">
        <f aca="false">IF($B18="","",HYPERLINK("#Projects!A"&amp;MATCH($B18,Projects!$A:$A,0),"Open Project"))</f>
        <v/>
      </c>
    </row>
    <row r="19" customFormat="false" ht="30" hidden="false" customHeight="true" outlineLevel="0" collapsed="false">
      <c r="A19" s="137" t="str">
        <f aca="false">IF($B19="","","QC-"&amp;TEXT(ROW()-4,"000"))</f>
        <v/>
      </c>
      <c r="B19" s="118"/>
      <c r="C19" s="138" t="str">
        <f aca="false">IF($B19="","",IFERROR(VLOOKUP($B19,Lists!$A:$H,2,FALSE()),"unknown ID"))</f>
        <v/>
      </c>
      <c r="D19" s="138" t="str">
        <f aca="false">IF($B19="","",IFERROR(VLOOKUP($B19,Lists!$A:$H,3,FALSE()),""))</f>
        <v/>
      </c>
      <c r="E19" s="139" t="str">
        <f aca="false">IF($B19="","","Quick Chadwick")</f>
        <v/>
      </c>
      <c r="F19" s="117"/>
      <c r="G19" s="117"/>
      <c r="H19" s="118"/>
      <c r="I19" s="118"/>
      <c r="J19" s="33"/>
      <c r="K19" s="119"/>
      <c r="L19" s="119"/>
      <c r="M19" s="117"/>
      <c r="N19" s="117"/>
      <c r="O19" s="119"/>
      <c r="P19" s="117"/>
      <c r="Q19" s="140" t="str">
        <f aca="false">IF($B19="","",HYPERLINK("#Projects!A"&amp;MATCH($B19,Projects!$A:$A,0),"Open Project"))</f>
        <v/>
      </c>
    </row>
    <row r="20" customFormat="false" ht="30" hidden="false" customHeight="true" outlineLevel="0" collapsed="false">
      <c r="A20" s="137" t="str">
        <f aca="false">IF($B20="","","QC-"&amp;TEXT(ROW()-4,"000"))</f>
        <v/>
      </c>
      <c r="B20" s="118"/>
      <c r="C20" s="138" t="str">
        <f aca="false">IF($B20="","",IFERROR(VLOOKUP($B20,Lists!$A:$H,2,FALSE()),"unknown ID"))</f>
        <v/>
      </c>
      <c r="D20" s="138" t="str">
        <f aca="false">IF($B20="","",IFERROR(VLOOKUP($B20,Lists!$A:$H,3,FALSE()),""))</f>
        <v/>
      </c>
      <c r="E20" s="139" t="str">
        <f aca="false">IF($B20="","","Quick Chadwick")</f>
        <v/>
      </c>
      <c r="F20" s="117"/>
      <c r="G20" s="117"/>
      <c r="H20" s="118"/>
      <c r="I20" s="118"/>
      <c r="J20" s="33"/>
      <c r="K20" s="119"/>
      <c r="L20" s="119"/>
      <c r="M20" s="117"/>
      <c r="N20" s="117"/>
      <c r="O20" s="119"/>
      <c r="P20" s="117"/>
      <c r="Q20" s="140" t="str">
        <f aca="false">IF($B20="","",HYPERLINK("#Projects!A"&amp;MATCH($B20,Projects!$A:$A,0),"Open Project"))</f>
        <v/>
      </c>
    </row>
    <row r="21" customFormat="false" ht="30" hidden="false" customHeight="true" outlineLevel="0" collapsed="false">
      <c r="A21" s="137" t="str">
        <f aca="false">IF($B21="","","QC-"&amp;TEXT(ROW()-4,"000"))</f>
        <v/>
      </c>
      <c r="B21" s="118"/>
      <c r="C21" s="138" t="str">
        <f aca="false">IF($B21="","",IFERROR(VLOOKUP($B21,Lists!$A:$H,2,FALSE()),"unknown ID"))</f>
        <v/>
      </c>
      <c r="D21" s="138" t="str">
        <f aca="false">IF($B21="","",IFERROR(VLOOKUP($B21,Lists!$A:$H,3,FALSE()),""))</f>
        <v/>
      </c>
      <c r="E21" s="139" t="str">
        <f aca="false">IF($B21="","","Quick Chadwick")</f>
        <v/>
      </c>
      <c r="F21" s="117"/>
      <c r="G21" s="117"/>
      <c r="H21" s="118"/>
      <c r="I21" s="118"/>
      <c r="J21" s="33"/>
      <c r="K21" s="119"/>
      <c r="L21" s="119"/>
      <c r="M21" s="117"/>
      <c r="N21" s="117"/>
      <c r="O21" s="119"/>
      <c r="P21" s="117"/>
      <c r="Q21" s="140" t="str">
        <f aca="false">IF($B21="","",HYPERLINK("#Projects!A"&amp;MATCH($B21,Projects!$A:$A,0),"Open Project"))</f>
        <v/>
      </c>
    </row>
    <row r="22" customFormat="false" ht="30" hidden="false" customHeight="true" outlineLevel="0" collapsed="false">
      <c r="A22" s="137" t="str">
        <f aca="false">IF($B22="","","QC-"&amp;TEXT(ROW()-4,"000"))</f>
        <v/>
      </c>
      <c r="B22" s="118"/>
      <c r="C22" s="138" t="str">
        <f aca="false">IF($B22="","",IFERROR(VLOOKUP($B22,Lists!$A:$H,2,FALSE()),"unknown ID"))</f>
        <v/>
      </c>
      <c r="D22" s="138" t="str">
        <f aca="false">IF($B22="","",IFERROR(VLOOKUP($B22,Lists!$A:$H,3,FALSE()),""))</f>
        <v/>
      </c>
      <c r="E22" s="139" t="str">
        <f aca="false">IF($B22="","","Quick Chadwick")</f>
        <v/>
      </c>
      <c r="F22" s="117"/>
      <c r="G22" s="117"/>
      <c r="H22" s="118"/>
      <c r="I22" s="118"/>
      <c r="J22" s="33"/>
      <c r="K22" s="119"/>
      <c r="L22" s="119"/>
      <c r="M22" s="117"/>
      <c r="N22" s="117"/>
      <c r="O22" s="119"/>
      <c r="P22" s="117"/>
      <c r="Q22" s="140" t="str">
        <f aca="false">IF($B22="","",HYPERLINK("#Projects!A"&amp;MATCH($B22,Projects!$A:$A,0),"Open Project"))</f>
        <v/>
      </c>
    </row>
    <row r="23" customFormat="false" ht="30" hidden="false" customHeight="true" outlineLevel="0" collapsed="false">
      <c r="A23" s="137" t="str">
        <f aca="false">IF($B23="","","QC-"&amp;TEXT(ROW()-4,"000"))</f>
        <v/>
      </c>
      <c r="B23" s="118"/>
      <c r="C23" s="138" t="str">
        <f aca="false">IF($B23="","",IFERROR(VLOOKUP($B23,Lists!$A:$H,2,FALSE()),"unknown ID"))</f>
        <v/>
      </c>
      <c r="D23" s="138" t="str">
        <f aca="false">IF($B23="","",IFERROR(VLOOKUP($B23,Lists!$A:$H,3,FALSE()),""))</f>
        <v/>
      </c>
      <c r="E23" s="139" t="str">
        <f aca="false">IF($B23="","","Quick Chadwick")</f>
        <v/>
      </c>
      <c r="F23" s="117"/>
      <c r="G23" s="117"/>
      <c r="H23" s="118"/>
      <c r="I23" s="118"/>
      <c r="J23" s="33"/>
      <c r="K23" s="119"/>
      <c r="L23" s="119"/>
      <c r="M23" s="117"/>
      <c r="N23" s="117"/>
      <c r="O23" s="119"/>
      <c r="P23" s="117"/>
      <c r="Q23" s="140" t="str">
        <f aca="false">IF($B23="","",HYPERLINK("#Projects!A"&amp;MATCH($B23,Projects!$A:$A,0),"Open Project"))</f>
        <v/>
      </c>
    </row>
    <row r="24" customFormat="false" ht="30" hidden="false" customHeight="true" outlineLevel="0" collapsed="false">
      <c r="A24" s="137" t="str">
        <f aca="false">IF($B24="","","QC-"&amp;TEXT(ROW()-4,"000"))</f>
        <v/>
      </c>
      <c r="B24" s="118"/>
      <c r="C24" s="138" t="str">
        <f aca="false">IF($B24="","",IFERROR(VLOOKUP($B24,Lists!$A:$H,2,FALSE()),"unknown ID"))</f>
        <v/>
      </c>
      <c r="D24" s="138" t="str">
        <f aca="false">IF($B24="","",IFERROR(VLOOKUP($B24,Lists!$A:$H,3,FALSE()),""))</f>
        <v/>
      </c>
      <c r="E24" s="139" t="str">
        <f aca="false">IF($B24="","","Quick Chadwick")</f>
        <v/>
      </c>
      <c r="F24" s="117"/>
      <c r="G24" s="117"/>
      <c r="H24" s="118"/>
      <c r="I24" s="118"/>
      <c r="J24" s="33"/>
      <c r="K24" s="119"/>
      <c r="L24" s="119"/>
      <c r="M24" s="117"/>
      <c r="N24" s="117"/>
      <c r="O24" s="119"/>
      <c r="P24" s="117"/>
      <c r="Q24" s="140" t="str">
        <f aca="false">IF($B24="","",HYPERLINK("#Projects!A"&amp;MATCH($B24,Projects!$A:$A,0),"Open Project"))</f>
        <v/>
      </c>
    </row>
    <row r="25" customFormat="false" ht="30" hidden="false" customHeight="true" outlineLevel="0" collapsed="false">
      <c r="A25" s="137" t="str">
        <f aca="false">IF($B25="","","QC-"&amp;TEXT(ROW()-4,"000"))</f>
        <v/>
      </c>
      <c r="B25" s="118"/>
      <c r="C25" s="138" t="str">
        <f aca="false">IF($B25="","",IFERROR(VLOOKUP($B25,Lists!$A:$H,2,FALSE()),"unknown ID"))</f>
        <v/>
      </c>
      <c r="D25" s="138" t="str">
        <f aca="false">IF($B25="","",IFERROR(VLOOKUP($B25,Lists!$A:$H,3,FALSE()),""))</f>
        <v/>
      </c>
      <c r="E25" s="139" t="str">
        <f aca="false">IF($B25="","","Quick Chadwick")</f>
        <v/>
      </c>
      <c r="F25" s="117"/>
      <c r="G25" s="117"/>
      <c r="H25" s="118"/>
      <c r="I25" s="118"/>
      <c r="J25" s="33"/>
      <c r="K25" s="119"/>
      <c r="L25" s="119"/>
      <c r="M25" s="117"/>
      <c r="N25" s="117"/>
      <c r="O25" s="119"/>
      <c r="P25" s="117"/>
      <c r="Q25" s="140" t="str">
        <f aca="false">IF($B25="","",HYPERLINK("#Projects!A"&amp;MATCH($B25,Projects!$A:$A,0),"Open Project"))</f>
        <v/>
      </c>
    </row>
    <row r="26" customFormat="false" ht="30" hidden="false" customHeight="true" outlineLevel="0" collapsed="false">
      <c r="A26" s="137" t="str">
        <f aca="false">IF($B26="","","QC-"&amp;TEXT(ROW()-4,"000"))</f>
        <v/>
      </c>
      <c r="B26" s="118"/>
      <c r="C26" s="138" t="str">
        <f aca="false">IF($B26="","",IFERROR(VLOOKUP($B26,Lists!$A:$H,2,FALSE()),"unknown ID"))</f>
        <v/>
      </c>
      <c r="D26" s="138" t="str">
        <f aca="false">IF($B26="","",IFERROR(VLOOKUP($B26,Lists!$A:$H,3,FALSE()),""))</f>
        <v/>
      </c>
      <c r="E26" s="139" t="str">
        <f aca="false">IF($B26="","","Quick Chadwick")</f>
        <v/>
      </c>
      <c r="F26" s="117"/>
      <c r="G26" s="117"/>
      <c r="H26" s="118"/>
      <c r="I26" s="118"/>
      <c r="J26" s="33"/>
      <c r="K26" s="119"/>
      <c r="L26" s="119"/>
      <c r="M26" s="117"/>
      <c r="N26" s="117"/>
      <c r="O26" s="119"/>
      <c r="P26" s="117"/>
      <c r="Q26" s="140" t="str">
        <f aca="false">IF($B26="","",HYPERLINK("#Projects!A"&amp;MATCH($B26,Projects!$A:$A,0),"Open Project"))</f>
        <v/>
      </c>
    </row>
    <row r="27" customFormat="false" ht="30" hidden="false" customHeight="true" outlineLevel="0" collapsed="false">
      <c r="A27" s="137" t="str">
        <f aca="false">IF($B27="","","QC-"&amp;TEXT(ROW()-4,"000"))</f>
        <v/>
      </c>
      <c r="B27" s="118"/>
      <c r="C27" s="138" t="str">
        <f aca="false">IF($B27="","",IFERROR(VLOOKUP($B27,Lists!$A:$H,2,FALSE()),"unknown ID"))</f>
        <v/>
      </c>
      <c r="D27" s="138" t="str">
        <f aca="false">IF($B27="","",IFERROR(VLOOKUP($B27,Lists!$A:$H,3,FALSE()),""))</f>
        <v/>
      </c>
      <c r="E27" s="139" t="str">
        <f aca="false">IF($B27="","","Quick Chadwick")</f>
        <v/>
      </c>
      <c r="F27" s="117"/>
      <c r="G27" s="117"/>
      <c r="H27" s="118"/>
      <c r="I27" s="118"/>
      <c r="J27" s="33"/>
      <c r="K27" s="119"/>
      <c r="L27" s="119"/>
      <c r="M27" s="117"/>
      <c r="N27" s="117"/>
      <c r="O27" s="119"/>
      <c r="P27" s="117"/>
      <c r="Q27" s="140" t="str">
        <f aca="false">IF($B27="","",HYPERLINK("#Projects!A"&amp;MATCH($B27,Projects!$A:$A,0),"Open Project"))</f>
        <v/>
      </c>
    </row>
    <row r="28" customFormat="false" ht="30" hidden="false" customHeight="true" outlineLevel="0" collapsed="false">
      <c r="A28" s="137" t="str">
        <f aca="false">IF($B28="","","QC-"&amp;TEXT(ROW()-4,"000"))</f>
        <v/>
      </c>
      <c r="B28" s="118"/>
      <c r="C28" s="138" t="str">
        <f aca="false">IF($B28="","",IFERROR(VLOOKUP($B28,Lists!$A:$H,2,FALSE()),"unknown ID"))</f>
        <v/>
      </c>
      <c r="D28" s="138" t="str">
        <f aca="false">IF($B28="","",IFERROR(VLOOKUP($B28,Lists!$A:$H,3,FALSE()),""))</f>
        <v/>
      </c>
      <c r="E28" s="139" t="str">
        <f aca="false">IF($B28="","","Quick Chadwick")</f>
        <v/>
      </c>
      <c r="F28" s="117"/>
      <c r="G28" s="117"/>
      <c r="H28" s="118"/>
      <c r="I28" s="118"/>
      <c r="J28" s="33"/>
      <c r="K28" s="119"/>
      <c r="L28" s="119"/>
      <c r="M28" s="117"/>
      <c r="N28" s="117"/>
      <c r="O28" s="119"/>
      <c r="P28" s="117"/>
      <c r="Q28" s="140" t="str">
        <f aca="false">IF($B28="","",HYPERLINK("#Projects!A"&amp;MATCH($B28,Projects!$A:$A,0),"Open Project"))</f>
        <v/>
      </c>
    </row>
    <row r="29" customFormat="false" ht="30" hidden="false" customHeight="true" outlineLevel="0" collapsed="false">
      <c r="A29" s="137" t="str">
        <f aca="false">IF($B29="","","QC-"&amp;TEXT(ROW()-4,"000"))</f>
        <v/>
      </c>
      <c r="B29" s="118"/>
      <c r="C29" s="138" t="str">
        <f aca="false">IF($B29="","",IFERROR(VLOOKUP($B29,Lists!$A:$H,2,FALSE()),"unknown ID"))</f>
        <v/>
      </c>
      <c r="D29" s="138" t="str">
        <f aca="false">IF($B29="","",IFERROR(VLOOKUP($B29,Lists!$A:$H,3,FALSE()),""))</f>
        <v/>
      </c>
      <c r="E29" s="139" t="str">
        <f aca="false">IF($B29="","","Quick Chadwick")</f>
        <v/>
      </c>
      <c r="F29" s="117"/>
      <c r="G29" s="117"/>
      <c r="H29" s="118"/>
      <c r="I29" s="118"/>
      <c r="J29" s="33"/>
      <c r="K29" s="119"/>
      <c r="L29" s="119"/>
      <c r="M29" s="117"/>
      <c r="N29" s="117"/>
      <c r="O29" s="119"/>
      <c r="P29" s="117"/>
      <c r="Q29" s="140" t="str">
        <f aca="false">IF($B29="","",HYPERLINK("#Projects!A"&amp;MATCH($B29,Projects!$A:$A,0),"Open Project"))</f>
        <v/>
      </c>
    </row>
    <row r="30" customFormat="false" ht="30" hidden="false" customHeight="true" outlineLevel="0" collapsed="false">
      <c r="A30" s="137" t="str">
        <f aca="false">IF($B30="","","QC-"&amp;TEXT(ROW()-4,"000"))</f>
        <v/>
      </c>
      <c r="B30" s="118"/>
      <c r="C30" s="138" t="str">
        <f aca="false">IF($B30="","",IFERROR(VLOOKUP($B30,Lists!$A:$H,2,FALSE()),"unknown ID"))</f>
        <v/>
      </c>
      <c r="D30" s="138" t="str">
        <f aca="false">IF($B30="","",IFERROR(VLOOKUP($B30,Lists!$A:$H,3,FALSE()),""))</f>
        <v/>
      </c>
      <c r="E30" s="139" t="str">
        <f aca="false">IF($B30="","","Quick Chadwick")</f>
        <v/>
      </c>
      <c r="F30" s="117"/>
      <c r="G30" s="117"/>
      <c r="H30" s="118"/>
      <c r="I30" s="118"/>
      <c r="J30" s="33"/>
      <c r="K30" s="119"/>
      <c r="L30" s="119"/>
      <c r="M30" s="117"/>
      <c r="N30" s="117"/>
      <c r="O30" s="119"/>
      <c r="P30" s="117"/>
      <c r="Q30" s="140" t="str">
        <f aca="false">IF($B30="","",HYPERLINK("#Projects!A"&amp;MATCH($B30,Projects!$A:$A,0),"Open Project"))</f>
        <v/>
      </c>
    </row>
    <row r="31" customFormat="false" ht="30" hidden="false" customHeight="true" outlineLevel="0" collapsed="false">
      <c r="A31" s="137" t="str">
        <f aca="false">IF($B31="","","QC-"&amp;TEXT(ROW()-4,"000"))</f>
        <v/>
      </c>
      <c r="B31" s="118"/>
      <c r="C31" s="138" t="str">
        <f aca="false">IF($B31="","",IFERROR(VLOOKUP($B31,Lists!$A:$H,2,FALSE()),"unknown ID"))</f>
        <v/>
      </c>
      <c r="D31" s="138" t="str">
        <f aca="false">IF($B31="","",IFERROR(VLOOKUP($B31,Lists!$A:$H,3,FALSE()),""))</f>
        <v/>
      </c>
      <c r="E31" s="139" t="str">
        <f aca="false">IF($B31="","","Quick Chadwick")</f>
        <v/>
      </c>
      <c r="F31" s="117"/>
      <c r="G31" s="117"/>
      <c r="H31" s="118"/>
      <c r="I31" s="118"/>
      <c r="J31" s="33"/>
      <c r="K31" s="119"/>
      <c r="L31" s="119"/>
      <c r="M31" s="117"/>
      <c r="N31" s="117"/>
      <c r="O31" s="119"/>
      <c r="P31" s="117"/>
      <c r="Q31" s="140" t="str">
        <f aca="false">IF($B31="","",HYPERLINK("#Projects!A"&amp;MATCH($B31,Projects!$A:$A,0),"Open Project"))</f>
        <v/>
      </c>
    </row>
    <row r="32" customFormat="false" ht="30" hidden="false" customHeight="true" outlineLevel="0" collapsed="false">
      <c r="A32" s="137" t="str">
        <f aca="false">IF($B32="","","QC-"&amp;TEXT(ROW()-4,"000"))</f>
        <v/>
      </c>
      <c r="B32" s="118"/>
      <c r="C32" s="138" t="str">
        <f aca="false">IF($B32="","",IFERROR(VLOOKUP($B32,Lists!$A:$H,2,FALSE()),"unknown ID"))</f>
        <v/>
      </c>
      <c r="D32" s="138" t="str">
        <f aca="false">IF($B32="","",IFERROR(VLOOKUP($B32,Lists!$A:$H,3,FALSE()),""))</f>
        <v/>
      </c>
      <c r="E32" s="139" t="str">
        <f aca="false">IF($B32="","","Quick Chadwick")</f>
        <v/>
      </c>
      <c r="F32" s="117"/>
      <c r="G32" s="117"/>
      <c r="H32" s="118"/>
      <c r="I32" s="118"/>
      <c r="J32" s="33"/>
      <c r="K32" s="119"/>
      <c r="L32" s="119"/>
      <c r="M32" s="117"/>
      <c r="N32" s="117"/>
      <c r="O32" s="119"/>
      <c r="P32" s="117"/>
      <c r="Q32" s="140" t="str">
        <f aca="false">IF($B32="","",HYPERLINK("#Projects!A"&amp;MATCH($B32,Projects!$A:$A,0),"Open Project"))</f>
        <v/>
      </c>
    </row>
    <row r="33" customFormat="false" ht="30" hidden="false" customHeight="true" outlineLevel="0" collapsed="false">
      <c r="A33" s="137" t="str">
        <f aca="false">IF($B33="","","QC-"&amp;TEXT(ROW()-4,"000"))</f>
        <v/>
      </c>
      <c r="B33" s="118"/>
      <c r="C33" s="138" t="str">
        <f aca="false">IF($B33="","",IFERROR(VLOOKUP($B33,Lists!$A:$H,2,FALSE()),"unknown ID"))</f>
        <v/>
      </c>
      <c r="D33" s="138" t="str">
        <f aca="false">IF($B33="","",IFERROR(VLOOKUP($B33,Lists!$A:$H,3,FALSE()),""))</f>
        <v/>
      </c>
      <c r="E33" s="139" t="str">
        <f aca="false">IF($B33="","","Quick Chadwick")</f>
        <v/>
      </c>
      <c r="F33" s="117"/>
      <c r="G33" s="117"/>
      <c r="H33" s="118"/>
      <c r="I33" s="118"/>
      <c r="J33" s="33"/>
      <c r="K33" s="119"/>
      <c r="L33" s="119"/>
      <c r="M33" s="117"/>
      <c r="N33" s="117"/>
      <c r="O33" s="119"/>
      <c r="P33" s="117"/>
      <c r="Q33" s="140" t="str">
        <f aca="false">IF($B33="","",HYPERLINK("#Projects!A"&amp;MATCH($B33,Projects!$A:$A,0),"Open Project"))</f>
        <v/>
      </c>
    </row>
    <row r="34" customFormat="false" ht="30" hidden="false" customHeight="true" outlineLevel="0" collapsed="false">
      <c r="A34" s="137" t="str">
        <f aca="false">IF($B34="","","QC-"&amp;TEXT(ROW()-4,"000"))</f>
        <v/>
      </c>
      <c r="B34" s="118"/>
      <c r="C34" s="138" t="str">
        <f aca="false">IF($B34="","",IFERROR(VLOOKUP($B34,Lists!$A:$H,2,FALSE()),"unknown ID"))</f>
        <v/>
      </c>
      <c r="D34" s="138" t="str">
        <f aca="false">IF($B34="","",IFERROR(VLOOKUP($B34,Lists!$A:$H,3,FALSE()),""))</f>
        <v/>
      </c>
      <c r="E34" s="139" t="str">
        <f aca="false">IF($B34="","","Quick Chadwick")</f>
        <v/>
      </c>
      <c r="F34" s="117"/>
      <c r="G34" s="117"/>
      <c r="H34" s="118"/>
      <c r="I34" s="118"/>
      <c r="J34" s="33"/>
      <c r="K34" s="119"/>
      <c r="L34" s="119"/>
      <c r="M34" s="117"/>
      <c r="N34" s="117"/>
      <c r="O34" s="119"/>
      <c r="P34" s="117"/>
      <c r="Q34" s="140" t="str">
        <f aca="false">IF($B34="","",HYPERLINK("#Projects!A"&amp;MATCH($B34,Projects!$A:$A,0),"Open Project"))</f>
        <v/>
      </c>
    </row>
    <row r="35" customFormat="false" ht="30" hidden="false" customHeight="true" outlineLevel="0" collapsed="false">
      <c r="A35" s="137" t="str">
        <f aca="false">IF($B35="","","QC-"&amp;TEXT(ROW()-4,"000"))</f>
        <v/>
      </c>
      <c r="B35" s="118"/>
      <c r="C35" s="138" t="str">
        <f aca="false">IF($B35="","",IFERROR(VLOOKUP($B35,Lists!$A:$H,2,FALSE()),"unknown ID"))</f>
        <v/>
      </c>
      <c r="D35" s="138" t="str">
        <f aca="false">IF($B35="","",IFERROR(VLOOKUP($B35,Lists!$A:$H,3,FALSE()),""))</f>
        <v/>
      </c>
      <c r="E35" s="139" t="str">
        <f aca="false">IF($B35="","","Quick Chadwick")</f>
        <v/>
      </c>
      <c r="F35" s="117"/>
      <c r="G35" s="117"/>
      <c r="H35" s="118"/>
      <c r="I35" s="118"/>
      <c r="J35" s="33"/>
      <c r="K35" s="119"/>
      <c r="L35" s="119"/>
      <c r="M35" s="117"/>
      <c r="N35" s="117"/>
      <c r="O35" s="119"/>
      <c r="P35" s="117"/>
      <c r="Q35" s="140" t="str">
        <f aca="false">IF($B35="","",HYPERLINK("#Projects!A"&amp;MATCH($B35,Projects!$A:$A,0),"Open Project"))</f>
        <v/>
      </c>
    </row>
    <row r="36" customFormat="false" ht="30" hidden="false" customHeight="true" outlineLevel="0" collapsed="false">
      <c r="A36" s="137" t="str">
        <f aca="false">IF($B36="","","QC-"&amp;TEXT(ROW()-4,"000"))</f>
        <v/>
      </c>
      <c r="B36" s="118"/>
      <c r="C36" s="138" t="str">
        <f aca="false">IF($B36="","",IFERROR(VLOOKUP($B36,Lists!$A:$H,2,FALSE()),"unknown ID"))</f>
        <v/>
      </c>
      <c r="D36" s="138" t="str">
        <f aca="false">IF($B36="","",IFERROR(VLOOKUP($B36,Lists!$A:$H,3,FALSE()),""))</f>
        <v/>
      </c>
      <c r="E36" s="139" t="str">
        <f aca="false">IF($B36="","","Quick Chadwick")</f>
        <v/>
      </c>
      <c r="F36" s="117"/>
      <c r="G36" s="117"/>
      <c r="H36" s="118"/>
      <c r="I36" s="118"/>
      <c r="J36" s="33"/>
      <c r="K36" s="119"/>
      <c r="L36" s="119"/>
      <c r="M36" s="117"/>
      <c r="N36" s="117"/>
      <c r="O36" s="119"/>
      <c r="P36" s="117"/>
      <c r="Q36" s="140" t="str">
        <f aca="false">IF($B36="","",HYPERLINK("#Projects!A"&amp;MATCH($B36,Projects!$A:$A,0),"Open Project"))</f>
        <v/>
      </c>
    </row>
    <row r="37" customFormat="false" ht="30" hidden="false" customHeight="true" outlineLevel="0" collapsed="false">
      <c r="A37" s="137" t="str">
        <f aca="false">IF($B37="","","QC-"&amp;TEXT(ROW()-4,"000"))</f>
        <v/>
      </c>
      <c r="B37" s="118"/>
      <c r="C37" s="138" t="str">
        <f aca="false">IF($B37="","",IFERROR(VLOOKUP($B37,Lists!$A:$H,2,FALSE()),"unknown ID"))</f>
        <v/>
      </c>
      <c r="D37" s="138" t="str">
        <f aca="false">IF($B37="","",IFERROR(VLOOKUP($B37,Lists!$A:$H,3,FALSE()),""))</f>
        <v/>
      </c>
      <c r="E37" s="139" t="str">
        <f aca="false">IF($B37="","","Quick Chadwick")</f>
        <v/>
      </c>
      <c r="F37" s="117"/>
      <c r="G37" s="117"/>
      <c r="H37" s="118"/>
      <c r="I37" s="118"/>
      <c r="J37" s="33"/>
      <c r="K37" s="119"/>
      <c r="L37" s="119"/>
      <c r="M37" s="117"/>
      <c r="N37" s="117"/>
      <c r="O37" s="119"/>
      <c r="P37" s="117"/>
      <c r="Q37" s="140" t="str">
        <f aca="false">IF($B37="","",HYPERLINK("#Projects!A"&amp;MATCH($B37,Projects!$A:$A,0),"Open Project"))</f>
        <v/>
      </c>
    </row>
    <row r="38" customFormat="false" ht="30" hidden="false" customHeight="true" outlineLevel="0" collapsed="false">
      <c r="A38" s="137" t="str">
        <f aca="false">IF($B38="","","QC-"&amp;TEXT(ROW()-4,"000"))</f>
        <v/>
      </c>
      <c r="B38" s="118"/>
      <c r="C38" s="138" t="str">
        <f aca="false">IF($B38="","",IFERROR(VLOOKUP($B38,Lists!$A:$H,2,FALSE()),"unknown ID"))</f>
        <v/>
      </c>
      <c r="D38" s="138" t="str">
        <f aca="false">IF($B38="","",IFERROR(VLOOKUP($B38,Lists!$A:$H,3,FALSE()),""))</f>
        <v/>
      </c>
      <c r="E38" s="139" t="str">
        <f aca="false">IF($B38="","","Quick Chadwick")</f>
        <v/>
      </c>
      <c r="F38" s="117"/>
      <c r="G38" s="117"/>
      <c r="H38" s="118"/>
      <c r="I38" s="118"/>
      <c r="J38" s="33"/>
      <c r="K38" s="119"/>
      <c r="L38" s="119"/>
      <c r="M38" s="117"/>
      <c r="N38" s="117"/>
      <c r="O38" s="119"/>
      <c r="P38" s="117"/>
      <c r="Q38" s="140" t="str">
        <f aca="false">IF($B38="","",HYPERLINK("#Projects!A"&amp;MATCH($B38,Projects!$A:$A,0),"Open Project"))</f>
        <v/>
      </c>
    </row>
    <row r="39" customFormat="false" ht="30" hidden="false" customHeight="true" outlineLevel="0" collapsed="false">
      <c r="A39" s="137" t="str">
        <f aca="false">IF($B39="","","QC-"&amp;TEXT(ROW()-4,"000"))</f>
        <v/>
      </c>
      <c r="B39" s="118"/>
      <c r="C39" s="138" t="str">
        <f aca="false">IF($B39="","",IFERROR(VLOOKUP($B39,Lists!$A:$H,2,FALSE()),"unknown ID"))</f>
        <v/>
      </c>
      <c r="D39" s="138" t="str">
        <f aca="false">IF($B39="","",IFERROR(VLOOKUP($B39,Lists!$A:$H,3,FALSE()),""))</f>
        <v/>
      </c>
      <c r="E39" s="139" t="str">
        <f aca="false">IF($B39="","","Quick Chadwick")</f>
        <v/>
      </c>
      <c r="F39" s="117"/>
      <c r="G39" s="117"/>
      <c r="H39" s="118"/>
      <c r="I39" s="118"/>
      <c r="J39" s="33"/>
      <c r="K39" s="119"/>
      <c r="L39" s="119"/>
      <c r="M39" s="117"/>
      <c r="N39" s="117"/>
      <c r="O39" s="119"/>
      <c r="P39" s="117"/>
      <c r="Q39" s="140" t="str">
        <f aca="false">IF($B39="","",HYPERLINK("#Projects!A"&amp;MATCH($B39,Projects!$A:$A,0),"Open Project"))</f>
        <v/>
      </c>
    </row>
    <row r="40" customFormat="false" ht="30" hidden="false" customHeight="true" outlineLevel="0" collapsed="false">
      <c r="A40" s="137" t="str">
        <f aca="false">IF($B40="","","QC-"&amp;TEXT(ROW()-4,"000"))</f>
        <v/>
      </c>
      <c r="B40" s="118"/>
      <c r="C40" s="138" t="str">
        <f aca="false">IF($B40="","",IFERROR(VLOOKUP($B40,Lists!$A:$H,2,FALSE()),"unknown ID"))</f>
        <v/>
      </c>
      <c r="D40" s="138" t="str">
        <f aca="false">IF($B40="","",IFERROR(VLOOKUP($B40,Lists!$A:$H,3,FALSE()),""))</f>
        <v/>
      </c>
      <c r="E40" s="139" t="str">
        <f aca="false">IF($B40="","","Quick Chadwick")</f>
        <v/>
      </c>
      <c r="F40" s="117"/>
      <c r="G40" s="117"/>
      <c r="H40" s="118"/>
      <c r="I40" s="118"/>
      <c r="J40" s="33"/>
      <c r="K40" s="119"/>
      <c r="L40" s="119"/>
      <c r="M40" s="117"/>
      <c r="N40" s="117"/>
      <c r="O40" s="119"/>
      <c r="P40" s="117"/>
      <c r="Q40" s="140" t="str">
        <f aca="false">IF($B40="","",HYPERLINK("#Projects!A"&amp;MATCH($B40,Projects!$A:$A,0),"Open Project"))</f>
        <v/>
      </c>
    </row>
    <row r="41" customFormat="false" ht="30" hidden="false" customHeight="true" outlineLevel="0" collapsed="false">
      <c r="A41" s="137" t="str">
        <f aca="false">IF($B41="","","QC-"&amp;TEXT(ROW()-4,"000"))</f>
        <v/>
      </c>
      <c r="B41" s="118"/>
      <c r="C41" s="138" t="str">
        <f aca="false">IF($B41="","",IFERROR(VLOOKUP($B41,Lists!$A:$H,2,FALSE()),"unknown ID"))</f>
        <v/>
      </c>
      <c r="D41" s="138" t="str">
        <f aca="false">IF($B41="","",IFERROR(VLOOKUP($B41,Lists!$A:$H,3,FALSE()),""))</f>
        <v/>
      </c>
      <c r="E41" s="139" t="str">
        <f aca="false">IF($B41="","","Quick Chadwick")</f>
        <v/>
      </c>
      <c r="F41" s="117"/>
      <c r="G41" s="117"/>
      <c r="H41" s="118"/>
      <c r="I41" s="118"/>
      <c r="J41" s="33"/>
      <c r="K41" s="119"/>
      <c r="L41" s="119"/>
      <c r="M41" s="117"/>
      <c r="N41" s="117"/>
      <c r="O41" s="119"/>
      <c r="P41" s="117"/>
      <c r="Q41" s="140" t="str">
        <f aca="false">IF($B41="","",HYPERLINK("#Projects!A"&amp;MATCH($B41,Projects!$A:$A,0),"Open Project"))</f>
        <v/>
      </c>
    </row>
    <row r="42" customFormat="false" ht="30" hidden="false" customHeight="true" outlineLevel="0" collapsed="false">
      <c r="A42" s="137" t="str">
        <f aca="false">IF($B42="","","QC-"&amp;TEXT(ROW()-4,"000"))</f>
        <v/>
      </c>
      <c r="B42" s="118"/>
      <c r="C42" s="138" t="str">
        <f aca="false">IF($B42="","",IFERROR(VLOOKUP($B42,Lists!$A:$H,2,FALSE()),"unknown ID"))</f>
        <v/>
      </c>
      <c r="D42" s="138" t="str">
        <f aca="false">IF($B42="","",IFERROR(VLOOKUP($B42,Lists!$A:$H,3,FALSE()),""))</f>
        <v/>
      </c>
      <c r="E42" s="139" t="str">
        <f aca="false">IF($B42="","","Quick Chadwick")</f>
        <v/>
      </c>
      <c r="F42" s="117"/>
      <c r="G42" s="117"/>
      <c r="H42" s="118"/>
      <c r="I42" s="118"/>
      <c r="J42" s="33"/>
      <c r="K42" s="119"/>
      <c r="L42" s="119"/>
      <c r="M42" s="117"/>
      <c r="N42" s="117"/>
      <c r="O42" s="119"/>
      <c r="P42" s="117"/>
      <c r="Q42" s="140" t="str">
        <f aca="false">IF($B42="","",HYPERLINK("#Projects!A"&amp;MATCH($B42,Projects!$A:$A,0),"Open Project"))</f>
        <v/>
      </c>
    </row>
    <row r="43" customFormat="false" ht="30" hidden="false" customHeight="true" outlineLevel="0" collapsed="false">
      <c r="A43" s="137" t="str">
        <f aca="false">IF($B43="","","QC-"&amp;TEXT(ROW()-4,"000"))</f>
        <v/>
      </c>
      <c r="B43" s="118"/>
      <c r="C43" s="138" t="str">
        <f aca="false">IF($B43="","",IFERROR(VLOOKUP($B43,Lists!$A:$H,2,FALSE()),"unknown ID"))</f>
        <v/>
      </c>
      <c r="D43" s="138" t="str">
        <f aca="false">IF($B43="","",IFERROR(VLOOKUP($B43,Lists!$A:$H,3,FALSE()),""))</f>
        <v/>
      </c>
      <c r="E43" s="139" t="str">
        <f aca="false">IF($B43="","","Quick Chadwick")</f>
        <v/>
      </c>
      <c r="F43" s="117"/>
      <c r="G43" s="117"/>
      <c r="H43" s="118"/>
      <c r="I43" s="118"/>
      <c r="J43" s="33"/>
      <c r="K43" s="119"/>
      <c r="L43" s="119"/>
      <c r="M43" s="117"/>
      <c r="N43" s="117"/>
      <c r="O43" s="119"/>
      <c r="P43" s="117"/>
      <c r="Q43" s="140" t="str">
        <f aca="false">IF($B43="","",HYPERLINK("#Projects!A"&amp;MATCH($B43,Projects!$A:$A,0),"Open Project"))</f>
        <v/>
      </c>
    </row>
    <row r="44" customFormat="false" ht="30" hidden="false" customHeight="true" outlineLevel="0" collapsed="false">
      <c r="A44" s="137" t="str">
        <f aca="false">IF($B44="","","QC-"&amp;TEXT(ROW()-4,"000"))</f>
        <v/>
      </c>
      <c r="B44" s="118"/>
      <c r="C44" s="138" t="str">
        <f aca="false">IF($B44="","",IFERROR(VLOOKUP($B44,Lists!$A:$H,2,FALSE()),"unknown ID"))</f>
        <v/>
      </c>
      <c r="D44" s="138" t="str">
        <f aca="false">IF($B44="","",IFERROR(VLOOKUP($B44,Lists!$A:$H,3,FALSE()),""))</f>
        <v/>
      </c>
      <c r="E44" s="139" t="str">
        <f aca="false">IF($B44="","","Quick Chadwick")</f>
        <v/>
      </c>
      <c r="F44" s="117"/>
      <c r="G44" s="117"/>
      <c r="H44" s="118"/>
      <c r="I44" s="118"/>
      <c r="J44" s="33"/>
      <c r="K44" s="119"/>
      <c r="L44" s="119"/>
      <c r="M44" s="117"/>
      <c r="N44" s="117"/>
      <c r="O44" s="119"/>
      <c r="P44" s="117"/>
      <c r="Q44" s="140" t="str">
        <f aca="false">IF($B44="","",HYPERLINK("#Projects!A"&amp;MATCH($B44,Projects!$A:$A,0),"Open Project"))</f>
        <v/>
      </c>
    </row>
    <row r="45" customFormat="false" ht="16.5" hidden="false" customHeight="true" outlineLevel="0" collapsed="false"/>
    <row r="46" customFormat="false" ht="16.5" hidden="false" customHeight="true" outlineLevel="0" collapsed="false"/>
    <row r="47" customFormat="false" ht="16.5" hidden="false" customHeight="true" outlineLevel="0" collapsed="false"/>
    <row r="48" customFormat="false" ht="16.5" hidden="false" customHeight="true" outlineLevel="0" collapsed="false"/>
    <row r="49" customFormat="false" ht="16.5" hidden="false" customHeight="true" outlineLevel="0" collapsed="false"/>
    <row r="50" customFormat="false" ht="16.5" hidden="false" customHeight="true" outlineLevel="0" collapsed="false"/>
    <row r="51" customFormat="false" ht="16.5" hidden="false" customHeight="true" outlineLevel="0" collapsed="false"/>
    <row r="52" customFormat="false" ht="16.5" hidden="false" customHeight="true" outlineLevel="0" collapsed="false"/>
    <row r="53" customFormat="false" ht="16.5" hidden="false" customHeight="true" outlineLevel="0" collapsed="false"/>
    <row r="54" customFormat="false" ht="16.5" hidden="false" customHeight="true" outlineLevel="0" collapsed="false"/>
    <row r="55" customFormat="false" ht="16.5" hidden="false" customHeight="true" outlineLevel="0" collapsed="false"/>
    <row r="56" customFormat="false" ht="16.5" hidden="false" customHeight="true" outlineLevel="0" collapsed="false"/>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row r="63" customFormat="false" ht="16.5" hidden="false" customHeight="true" outlineLevel="0" collapsed="false"/>
    <row r="64" customFormat="false" ht="16.5" hidden="false" customHeight="true" outlineLevel="0" collapsed="false"/>
    <row r="65" customFormat="false" ht="16.5" hidden="false" customHeight="true" outlineLevel="0" collapsed="false"/>
    <row r="66" customFormat="false" ht="16.5" hidden="false" customHeight="true" outlineLevel="0" collapsed="false"/>
    <row r="67" customFormat="false" ht="16.5" hidden="false" customHeight="true" outlineLevel="0" collapsed="false"/>
    <row r="68" customFormat="false" ht="16.5" hidden="false" customHeight="true" outlineLevel="0" collapsed="false"/>
    <row r="69" customFormat="false" ht="16.5" hidden="false" customHeight="true" outlineLevel="0" collapsed="false"/>
    <row r="70" customFormat="false" ht="16.5" hidden="false" customHeight="true" outlineLevel="0" collapsed="false"/>
    <row r="71" customFormat="false" ht="16.5" hidden="false" customHeight="true" outlineLevel="0" collapsed="false"/>
    <row r="72" customFormat="false" ht="16.5" hidden="false" customHeight="true" outlineLevel="0" collapsed="false"/>
    <row r="73" customFormat="false" ht="16.5" hidden="false" customHeight="true" outlineLevel="0" collapsed="false"/>
    <row r="74" customFormat="false" ht="16.5" hidden="false" customHeight="true" outlineLevel="0" collapsed="false"/>
    <row r="75" customFormat="false" ht="16.5" hidden="false" customHeight="true" outlineLevel="0" collapsed="false"/>
    <row r="76" customFormat="false" ht="16.5" hidden="false" customHeight="true" outlineLevel="0" collapsed="false"/>
    <row r="77" customFormat="false" ht="16.5" hidden="false" customHeight="true" outlineLevel="0" collapsed="false"/>
    <row r="78" customFormat="false" ht="16.5" hidden="false" customHeight="true" outlineLevel="0" collapsed="false"/>
    <row r="79" customFormat="false" ht="16.5" hidden="false" customHeight="true" outlineLevel="0" collapsed="false"/>
    <row r="80" customFormat="false" ht="16.5" hidden="false" customHeight="true" outlineLevel="0" collapsed="false"/>
    <row r="81" customFormat="false" ht="16.5" hidden="false" customHeight="true" outlineLevel="0" collapsed="false"/>
    <row r="82" customFormat="false" ht="16.5" hidden="false" customHeight="true" outlineLevel="0" collapsed="false"/>
    <row r="83" customFormat="false" ht="16.5" hidden="false" customHeight="true" outlineLevel="0" collapsed="false"/>
    <row r="84" customFormat="false" ht="16.5" hidden="false" customHeight="true" outlineLevel="0" collapsed="false"/>
    <row r="85" customFormat="false" ht="16.5" hidden="false" customHeight="true" outlineLevel="0" collapsed="false"/>
    <row r="86" customFormat="false" ht="16.5" hidden="false" customHeight="true" outlineLevel="0" collapsed="false"/>
    <row r="87" customFormat="false" ht="16.5" hidden="false" customHeight="true" outlineLevel="0" collapsed="false"/>
    <row r="88" customFormat="false" ht="16.5" hidden="false" customHeight="true" outlineLevel="0" collapsed="false"/>
    <row r="89" customFormat="false" ht="16.5" hidden="false" customHeight="true" outlineLevel="0" collapsed="false"/>
    <row r="90" customFormat="false" ht="16.5" hidden="false" customHeight="true" outlineLevel="0" collapsed="false"/>
    <row r="91" customFormat="false" ht="16.5" hidden="false" customHeight="true" outlineLevel="0" collapsed="false"/>
    <row r="92" customFormat="false" ht="16.5" hidden="false" customHeight="true" outlineLevel="0" collapsed="false"/>
    <row r="93" customFormat="false" ht="16.5" hidden="false" customHeight="true" outlineLevel="0" collapsed="false"/>
    <row r="94" customFormat="false" ht="16.5" hidden="false" customHeight="true" outlineLevel="0" collapsed="false"/>
    <row r="95" customFormat="false" ht="16.5" hidden="false" customHeight="true" outlineLevel="0" collapsed="false"/>
    <row r="96" customFormat="false" ht="16.5" hidden="false" customHeight="true" outlineLevel="0" collapsed="false"/>
    <row r="97" customFormat="false" ht="16.5" hidden="false" customHeight="true" outlineLevel="0" collapsed="false"/>
    <row r="98" customFormat="false" ht="16.5" hidden="false" customHeight="true" outlineLevel="0" collapsed="false"/>
    <row r="99" customFormat="false" ht="16.5" hidden="false" customHeight="true" outlineLevel="0" collapsed="false"/>
    <row r="100" customFormat="false" ht="16.5" hidden="false" customHeight="true" outlineLevel="0" collapsed="false"/>
    <row r="101" customFormat="false" ht="16.5" hidden="false" customHeight="true" outlineLevel="0" collapsed="false"/>
  </sheetData>
  <mergeCells count="2">
    <mergeCell ref="A1:Q1"/>
    <mergeCell ref="A2:Q2"/>
  </mergeCells>
  <conditionalFormatting sqref="O6:O9">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K6:L101">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I5:I44">
    <cfRule type="cellIs" priority="16" operator="equal" aboveAverage="0" equalAverage="0" bottom="0" percent="0" rank="0" text="" dxfId="29">
      <formula>"Complete"</formula>
    </cfRule>
    <cfRule type="cellIs" priority="17" operator="equal" aboveAverage="0" equalAverage="0" bottom="0" percent="0" rank="0" text="" dxfId="4">
      <formula>"Blocked"</formula>
    </cfRule>
    <cfRule type="cellIs" priority="18" operator="equal" aboveAverage="0" equalAverage="0" bottom="0" percent="0" rank="0" text="" dxfId="45">
      <formula>"Waiting on Someone"</formula>
    </cfRule>
    <cfRule type="cellIs" priority="19" operator="equal" aboveAverage="0" equalAverage="0" bottom="0" percent="0" rank="0" text="" dxfId="30">
      <formula>"In Progress"</formula>
    </cfRule>
    <cfRule type="cellIs" priority="20" operator="equal" aboveAverage="0" equalAverage="0" bottom="0" percent="0" rank="0" text="" dxfId="32">
      <formula>"Not Started"</formula>
    </cfRule>
  </conditionalFormatting>
  <conditionalFormatting sqref="L5:L44">
    <cfRule type="expression" priority="21" aboveAverage="0" equalAverage="0" bottom="0" percent="0" rank="0" text="" dxfId="4">
      <formula>AND($L5&lt;&gt;"",$L5&lt;TODAY(),$I5&lt;&gt;"Complete")</formula>
    </cfRule>
    <cfRule type="expression" priority="22" aboveAverage="0" equalAverage="0" bottom="0" percent="0" rank="0" text="" dxfId="46">
      <formula>AND($L5&lt;&gt;"",$L5&gt;=TODAY(),$L5&lt;=TODAY()+7,$I5&lt;&gt;"Complete")</formula>
    </cfRule>
  </conditionalFormatting>
  <conditionalFormatting sqref="G5:G44">
    <cfRule type="expression" priority="23" aboveAverage="0" equalAverage="0" bottom="0" percent="0" rank="0" text="" dxfId="47">
      <formula>$I5="Complete"</formula>
    </cfRule>
  </conditionalFormatting>
  <conditionalFormatting sqref="J5:J44">
    <cfRule type="dataBar" priority="24">
      <dataBar showValue="1" minLength="10" maxLength="90">
        <cfvo type="num" val="0"/>
        <cfvo type="num" val="1"/>
        <color rgb="FF2E75B6"/>
      </dataBar>
      <extLst>
        <ext xmlns:x14="http://schemas.microsoft.com/office/spreadsheetml/2009/9/main" uri="{B025F937-C7B1-47D3-B67F-A62EFF666E3E}">
          <x14:id>{C1AFCF17-1E14-4CE5-BCB3-DF33F07CADB3}</x14:id>
        </ext>
      </extLst>
    </cfRule>
  </conditionalFormatting>
  <dataValidations count="5">
    <dataValidation allowBlank="true" errorStyle="stop" operator="between" showDropDown="false" showErrorMessage="true" showInputMessage="true" sqref="K6:L45 O6:O9 K46:L101" type="list">
      <formula1>"C,G,Y,R,na"</formula1>
      <formula2>0</formula2>
    </dataValidation>
    <dataValidation allowBlank="true" error="Pick a value from the list" errorStyle="stop" errorTitle="Invalid entry" operator="between" showDropDown="false" showErrorMessage="false" showInputMessage="false" sqref="B5:B44" type="list">
      <formula1>ProjectIDList</formula1>
      <formula2>0</formula2>
    </dataValidation>
    <dataValidation allowBlank="true" error="Pick a value from the list" errorStyle="stop" errorTitle="Invalid entry" operator="between" showDropDown="false" showErrorMessage="false" showInputMessage="false" sqref="F5:F44" type="list">
      <formula1>RoleList</formula1>
      <formula2>0</formula2>
    </dataValidation>
    <dataValidation allowBlank="true" error="Pick a value from the list" errorStyle="stop" errorTitle="Invalid entry" operator="between" showDropDown="false" showErrorMessage="false" showInputMessage="false" sqref="H5:H44" type="list">
      <formula1>PriorityList</formula1>
      <formula2>0</formula2>
    </dataValidation>
    <dataValidation allowBlank="true" error="Pick a value from the list" errorStyle="stop" errorTitle="Invalid entry" operator="between" showDropDown="false" showErrorMessage="false" showInputMessage="false" sqref="I5:I44" type="list">
      <formula1>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C1AFCF17-1E14-4CE5-BCB3-DF33F07CADB3}">
            <x14:dataBar minLength="10" maxLength="90" axisPosition="none" gradient="true">
              <x14:cfvo type="num">
                <xm:f>0</xm:f>
              </x14:cfvo>
              <x14:cfvo type="num">
                <xm:f>1</xm:f>
              </x14:cfvo>
              <x14:negativeFillColor rgb="FF2E75B6"/>
              <x14:axisColor rgb="FF000000"/>
            </x14:dataBar>
          </x14:cfRule>
          <xm:sqref>J5:J44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Q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K7" activeCellId="0" sqref="K7"/>
    </sheetView>
  </sheetViews>
  <sheetFormatPr defaultColWidth="8.5390625" defaultRowHeight="14.2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4"/>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36"/>
    <col collapsed="false" customWidth="true" hidden="false" outlineLevel="0" max="8" min="8" style="0" width="10"/>
    <col collapsed="false" customWidth="true" hidden="false" outlineLevel="0" max="9" min="9" style="0" width="16"/>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26"/>
    <col collapsed="false" customWidth="true" hidden="false" outlineLevel="0" max="15" min="15" style="0" width="12"/>
    <col collapsed="false" customWidth="true" hidden="false" outlineLevel="0" max="16" min="16" style="0" width="30"/>
    <col collapsed="false" customWidth="true" hidden="false" outlineLevel="0" max="17" min="17" style="0" width="15"/>
  </cols>
  <sheetData>
    <row r="1" customFormat="false" ht="30" hidden="false" customHeight="true" outlineLevel="0" collapsed="false">
      <c r="A1" s="114" t="s">
        <v>298</v>
      </c>
      <c r="B1" s="114"/>
      <c r="C1" s="114"/>
      <c r="D1" s="114"/>
      <c r="E1" s="114"/>
      <c r="F1" s="114"/>
      <c r="G1" s="114"/>
      <c r="H1" s="114"/>
      <c r="I1" s="114"/>
      <c r="J1" s="114"/>
      <c r="K1" s="114"/>
      <c r="L1" s="114"/>
      <c r="M1" s="114"/>
      <c r="N1" s="114"/>
      <c r="O1" s="114"/>
      <c r="P1" s="114"/>
      <c r="Q1" s="114"/>
    </row>
    <row r="2" customFormat="false" ht="24" hidden="false" customHeight="true" outlineLevel="0" collapsed="false">
      <c r="A2" s="115" t="s">
        <v>263</v>
      </c>
      <c r="B2" s="115"/>
      <c r="C2" s="115"/>
      <c r="D2" s="115"/>
      <c r="E2" s="115"/>
      <c r="F2" s="115"/>
      <c r="G2" s="115"/>
      <c r="H2" s="115"/>
      <c r="I2" s="115"/>
      <c r="J2" s="115"/>
      <c r="K2" s="115"/>
      <c r="L2" s="115"/>
      <c r="M2" s="115"/>
      <c r="N2" s="115"/>
      <c r="O2" s="115"/>
      <c r="P2" s="115"/>
      <c r="Q2" s="115"/>
    </row>
    <row r="3" customFormat="false" ht="24" hidden="false" customHeight="true" outlineLevel="0" collapsed="false"/>
    <row r="4" customFormat="false" ht="33.75" hidden="false" customHeight="true" outlineLevel="0" collapsed="false">
      <c r="A4" s="129" t="s">
        <v>237</v>
      </c>
      <c r="B4" s="136" t="s">
        <v>178</v>
      </c>
      <c r="C4" s="129" t="s">
        <v>16</v>
      </c>
      <c r="D4" s="129" t="s">
        <v>251</v>
      </c>
      <c r="E4" s="129" t="s">
        <v>238</v>
      </c>
      <c r="F4" s="136" t="s">
        <v>240</v>
      </c>
      <c r="G4" s="136" t="s">
        <v>239</v>
      </c>
      <c r="H4" s="136" t="s">
        <v>241</v>
      </c>
      <c r="I4" s="136" t="s">
        <v>50</v>
      </c>
      <c r="J4" s="136" t="s">
        <v>252</v>
      </c>
      <c r="K4" s="136" t="s">
        <v>253</v>
      </c>
      <c r="L4" s="136" t="s">
        <v>254</v>
      </c>
      <c r="M4" s="136" t="s">
        <v>255</v>
      </c>
      <c r="N4" s="136" t="s">
        <v>246</v>
      </c>
      <c r="O4" s="136" t="s">
        <v>247</v>
      </c>
      <c r="P4" s="136" t="s">
        <v>248</v>
      </c>
      <c r="Q4" s="129" t="s">
        <v>264</v>
      </c>
    </row>
    <row r="5" customFormat="false" ht="30" hidden="false" customHeight="true" outlineLevel="0" collapsed="false">
      <c r="A5" s="137" t="str">
        <f aca="false">IF($B5="","","MFA-"&amp;TEXT(ROW()-4,"000"))</f>
        <v>MFA-001</v>
      </c>
      <c r="B5" s="118" t="s">
        <v>187</v>
      </c>
      <c r="C5" s="138" t="str">
        <f aca="false">IF($B5="","",IFERROR(VLOOKUP($B5,Lists!$A:$H,2,FALSE()),"unknown ID"))</f>
        <v>1 – Unified Development System</v>
      </c>
      <c r="D5" s="138" t="str">
        <f aca="false">IF($B5="","",IFERROR(VLOOKUP($B5,Lists!$A:$H,3,FALSE()),""))</f>
        <v>Implement standardized Mutual Evaluation Process (MEP) across all brands</v>
      </c>
      <c r="E5" s="139" t="str">
        <f aca="false">IF($B5="","","MaryFran Anderson")</f>
        <v>MaryFran Anderson</v>
      </c>
      <c r="F5" s="117" t="s">
        <v>270</v>
      </c>
      <c r="G5" s="117" t="s">
        <v>271</v>
      </c>
      <c r="H5" s="118" t="s">
        <v>272</v>
      </c>
      <c r="I5" s="118" t="s">
        <v>18</v>
      </c>
      <c r="J5" s="33" t="n">
        <v>0.5</v>
      </c>
      <c r="K5" s="119" t="n">
        <v>46162</v>
      </c>
      <c r="L5" s="119" t="n">
        <v>46186</v>
      </c>
      <c r="M5" s="117"/>
      <c r="N5" s="117"/>
      <c r="O5" s="119" t="s">
        <v>273</v>
      </c>
      <c r="P5" s="117" t="s">
        <v>274</v>
      </c>
      <c r="Q5" s="140" t="str">
        <f aca="false">IF($B5="","",HYPERLINK("#Projects!A"&amp;MATCH($B5,Projects!$A:$A,0),"Open Project"))</f>
        <v>Open Project</v>
      </c>
    </row>
    <row r="6" customFormat="false" ht="30" hidden="false" customHeight="true" outlineLevel="0" collapsed="false">
      <c r="A6" s="137" t="str">
        <f aca="false">IF($B6="","","MFA-"&amp;TEXT(ROW()-4,"000"))</f>
        <v>MFA-002</v>
      </c>
      <c r="B6" s="118" t="s">
        <v>200</v>
      </c>
      <c r="C6" s="138" t="str">
        <f aca="false">IF($B6="","",IFERROR(VLOOKUP($B6,Lists!$A:$H,2,FALSE()),"unknown ID"))</f>
        <v>3 – Broker Channel</v>
      </c>
      <c r="D6" s="138" t="str">
        <f aca="false">IF($B6="","",IFERROR(VLOOKUP($B6,Lists!$A:$H,3,FALSE()),""))</f>
        <v>Route 100% of broker leads through CRM for centralized intake and visibility.</v>
      </c>
      <c r="E6" s="139" t="str">
        <f aca="false">IF($B6="","","MaryFran Anderson")</f>
        <v>MaryFran Anderson</v>
      </c>
      <c r="F6" s="117" t="s">
        <v>265</v>
      </c>
      <c r="G6" s="117" t="s">
        <v>299</v>
      </c>
      <c r="H6" s="118" t="s">
        <v>267</v>
      </c>
      <c r="I6" s="118" t="s">
        <v>18</v>
      </c>
      <c r="J6" s="33" t="n">
        <v>0.4</v>
      </c>
      <c r="K6" s="119" t="n">
        <v>46154</v>
      </c>
      <c r="L6" s="119" t="n">
        <v>46176</v>
      </c>
      <c r="M6" s="117"/>
      <c r="N6" s="117"/>
      <c r="O6" s="119" t="s">
        <v>300</v>
      </c>
      <c r="P6" s="117" t="s">
        <v>301</v>
      </c>
      <c r="Q6" s="140" t="str">
        <f aca="false">IF($B6="","",HYPERLINK("#Projects!A"&amp;MATCH($B6,Projects!$A:$A,0),"Open Project"))</f>
        <v>Open Project</v>
      </c>
    </row>
    <row r="7" customFormat="false" ht="30" hidden="false" customHeight="true" outlineLevel="0" collapsed="false">
      <c r="A7" s="137" t="str">
        <f aca="false">IF($B7="","","MFA-"&amp;TEXT(ROW()-4,"000"))</f>
        <v>MFA-003</v>
      </c>
      <c r="B7" s="118" t="s">
        <v>199</v>
      </c>
      <c r="C7" s="138" t="str">
        <f aca="false">IF($B7="","",IFERROR(VLOOKUP($B7,Lists!$A:$H,2,FALSE()),"unknown ID"))</f>
        <v>3 – Broker Channel</v>
      </c>
      <c r="D7" s="138" t="str">
        <f aca="false">IF($B7="","",IFERROR(VLOOKUP($B7,Lists!$A:$H,3,FALSE()),""))</f>
        <v>Assign MaryFran as broker channel owner</v>
      </c>
      <c r="E7" s="139" t="str">
        <f aca="false">IF($B7="","","MaryFran Anderson")</f>
        <v>MaryFran Anderson</v>
      </c>
      <c r="F7" s="117" t="s">
        <v>265</v>
      </c>
      <c r="G7" s="117" t="s">
        <v>302</v>
      </c>
      <c r="H7" s="118" t="s">
        <v>272</v>
      </c>
      <c r="I7" s="118" t="s">
        <v>18</v>
      </c>
      <c r="J7" s="33" t="n">
        <v>0.3</v>
      </c>
      <c r="K7" s="119" t="n">
        <v>46154</v>
      </c>
      <c r="L7" s="119" t="n">
        <v>46188</v>
      </c>
      <c r="M7" s="117"/>
      <c r="N7" s="117"/>
      <c r="O7" s="119" t="s">
        <v>303</v>
      </c>
      <c r="P7" s="117" t="s">
        <v>304</v>
      </c>
      <c r="Q7" s="140" t="str">
        <f aca="false">IF($B7="","",HYPERLINK("#Projects!A"&amp;MATCH($B7,Projects!$A:$A,0),"Open Project"))</f>
        <v>Open Project</v>
      </c>
    </row>
    <row r="8" customFormat="false" ht="30" hidden="false" customHeight="true" outlineLevel="0" collapsed="false">
      <c r="A8" s="137" t="str">
        <f aca="false">IF($B8="","","MFA-"&amp;TEXT(ROW()-4,"000"))</f>
        <v>MFA-004</v>
      </c>
      <c r="B8" s="118" t="s">
        <v>199</v>
      </c>
      <c r="C8" s="138" t="str">
        <f aca="false">IF($B8="","",IFERROR(VLOOKUP($B8,Lists!$A:$H,2,FALSE()),"unknown ID"))</f>
        <v>3 – Broker Channel</v>
      </c>
      <c r="D8" s="138" t="str">
        <f aca="false">IF($B8="","",IFERROR(VLOOKUP($B8,Lists!$A:$H,3,FALSE()),""))</f>
        <v>Assign MaryFran as broker channel owner</v>
      </c>
      <c r="E8" s="139" t="str">
        <f aca="false">IF($B8="","","MaryFran Anderson")</f>
        <v>MaryFran Anderson</v>
      </c>
      <c r="F8" s="117" t="s">
        <v>265</v>
      </c>
      <c r="G8" s="117" t="s">
        <v>305</v>
      </c>
      <c r="H8" s="118" t="s">
        <v>267</v>
      </c>
      <c r="I8" s="118" t="s">
        <v>5</v>
      </c>
      <c r="J8" s="33" t="n">
        <v>0.1</v>
      </c>
      <c r="K8" s="119" t="n">
        <v>46174</v>
      </c>
      <c r="L8" s="119" t="n">
        <v>46200</v>
      </c>
      <c r="M8" s="117" t="s">
        <v>306</v>
      </c>
      <c r="N8" s="117" t="s">
        <v>307</v>
      </c>
      <c r="O8" s="119" t="s">
        <v>308</v>
      </c>
      <c r="P8" s="117" t="s">
        <v>309</v>
      </c>
      <c r="Q8" s="140" t="str">
        <f aca="false">IF($B8="","",HYPERLINK("#Projects!A"&amp;MATCH($B8,Projects!$A:$A,0),"Open Project"))</f>
        <v>Open Project</v>
      </c>
    </row>
    <row r="9" customFormat="false" ht="30" hidden="false" customHeight="true" outlineLevel="0" collapsed="false">
      <c r="A9" s="137" t="str">
        <f aca="false">IF($B9="","","MFA-"&amp;TEXT(ROW()-4,"000"))</f>
        <v>MFA-005</v>
      </c>
      <c r="B9" s="118" t="s">
        <v>199</v>
      </c>
      <c r="C9" s="138" t="str">
        <f aca="false">IF($B9="","",IFERROR(VLOOKUP($B9,Lists!$A:$H,2,FALSE()),"unknown ID"))</f>
        <v>3 – Broker Channel</v>
      </c>
      <c r="D9" s="138" t="str">
        <f aca="false">IF($B9="","",IFERROR(VLOOKUP($B9,Lists!$A:$H,3,FALSE()),""))</f>
        <v>Assign MaryFran as broker channel owner</v>
      </c>
      <c r="E9" s="139" t="str">
        <f aca="false">IF($B9="","","MaryFran Anderson")</f>
        <v>MaryFran Anderson</v>
      </c>
      <c r="F9" s="117" t="s">
        <v>265</v>
      </c>
      <c r="G9" s="117" t="s">
        <v>310</v>
      </c>
      <c r="H9" s="118" t="s">
        <v>272</v>
      </c>
      <c r="I9" s="118" t="s">
        <v>11</v>
      </c>
      <c r="J9" s="33" t="n">
        <v>0</v>
      </c>
      <c r="K9" s="119" t="n">
        <v>46188</v>
      </c>
      <c r="L9" s="119" t="n">
        <v>46249</v>
      </c>
      <c r="M9" s="117"/>
      <c r="N9" s="117"/>
      <c r="O9" s="119" t="s">
        <v>311</v>
      </c>
      <c r="P9" s="117" t="s">
        <v>312</v>
      </c>
      <c r="Q9" s="140" t="str">
        <f aca="false">IF($B9="","",HYPERLINK("#Projects!A"&amp;MATCH($B9,Projects!$A:$A,0),"Open Project"))</f>
        <v>Open Project</v>
      </c>
    </row>
    <row r="10" customFormat="false" ht="30" hidden="false" customHeight="true" outlineLevel="0" collapsed="false">
      <c r="A10" s="137" t="str">
        <f aca="false">IF($B10="","","MFA-"&amp;TEXT(ROW()-4,"000"))</f>
        <v>MFA-006</v>
      </c>
      <c r="B10" s="118" t="s">
        <v>202</v>
      </c>
      <c r="C10" s="138" t="str">
        <f aca="false">IF($B10="","",IFERROR(VLOOKUP($B10,Lists!$A:$H,2,FALSE()),"unknown ID"))</f>
        <v>3 – Broker Channel</v>
      </c>
      <c r="D10" s="138" t="str">
        <f aca="false">IF($B10="","",IFERROR(VLOOKUP($B10,Lists!$A:$H,3,FALSE()),""))</f>
        <v>Enforce speed-to-lead SLAs</v>
      </c>
      <c r="E10" s="139" t="str">
        <f aca="false">IF($B10="","","MaryFran Anderson")</f>
        <v>MaryFran Anderson</v>
      </c>
      <c r="F10" s="117" t="s">
        <v>265</v>
      </c>
      <c r="G10" s="117" t="s">
        <v>103</v>
      </c>
      <c r="H10" s="118" t="s">
        <v>267</v>
      </c>
      <c r="I10" s="118" t="s">
        <v>18</v>
      </c>
      <c r="J10" s="33" t="n">
        <v>0.2</v>
      </c>
      <c r="K10" s="119" t="n">
        <v>46162</v>
      </c>
      <c r="L10" s="119" t="n">
        <v>46193</v>
      </c>
      <c r="M10" s="117"/>
      <c r="N10" s="117"/>
      <c r="O10" s="119" t="s">
        <v>313</v>
      </c>
      <c r="P10" s="117" t="s">
        <v>314</v>
      </c>
      <c r="Q10" s="140" t="str">
        <f aca="false">IF($B10="","",HYPERLINK("#Projects!A"&amp;MATCH($B10,Projects!$A:$A,0),"Open Project"))</f>
        <v>Open Project</v>
      </c>
    </row>
    <row r="11" customFormat="false" ht="30" hidden="false" customHeight="true" outlineLevel="0" collapsed="false">
      <c r="A11" s="137" t="str">
        <f aca="false">IF($B11="","","MFA-"&amp;TEXT(ROW()-4,"000"))</f>
        <v/>
      </c>
      <c r="B11" s="118"/>
      <c r="C11" s="138" t="str">
        <f aca="false">IF($B11="","",IFERROR(VLOOKUP($B11,Lists!$A:$H,2,FALSE()),"unknown ID"))</f>
        <v/>
      </c>
      <c r="D11" s="138" t="str">
        <f aca="false">IF($B11="","",IFERROR(VLOOKUP($B11,Lists!$A:$H,3,FALSE()),""))</f>
        <v/>
      </c>
      <c r="E11" s="139" t="str">
        <f aca="false">IF($B11="","","MaryFran Anderson")</f>
        <v/>
      </c>
      <c r="F11" s="117"/>
      <c r="G11" s="117"/>
      <c r="H11" s="118"/>
      <c r="I11" s="118"/>
      <c r="J11" s="33"/>
      <c r="K11" s="119"/>
      <c r="L11" s="119"/>
      <c r="M11" s="117"/>
      <c r="N11" s="117"/>
      <c r="O11" s="119"/>
      <c r="P11" s="117"/>
      <c r="Q11" s="140" t="str">
        <f aca="false">IF($B11="","",HYPERLINK("#Projects!A"&amp;MATCH($B11,Projects!$A:$A,0),"Open Project"))</f>
        <v/>
      </c>
    </row>
    <row r="12" customFormat="false" ht="30" hidden="false" customHeight="true" outlineLevel="0" collapsed="false">
      <c r="A12" s="137" t="str">
        <f aca="false">IF($B12="","","MFA-"&amp;TEXT(ROW()-4,"000"))</f>
        <v/>
      </c>
      <c r="B12" s="118"/>
      <c r="C12" s="138" t="str">
        <f aca="false">IF($B12="","",IFERROR(VLOOKUP($B12,Lists!$A:$H,2,FALSE()),"unknown ID"))</f>
        <v/>
      </c>
      <c r="D12" s="138" t="str">
        <f aca="false">IF($B12="","",IFERROR(VLOOKUP($B12,Lists!$A:$H,3,FALSE()),""))</f>
        <v/>
      </c>
      <c r="E12" s="139" t="str">
        <f aca="false">IF($B12="","","MaryFran Anderson")</f>
        <v/>
      </c>
      <c r="F12" s="117"/>
      <c r="G12" s="117"/>
      <c r="H12" s="118"/>
      <c r="I12" s="118"/>
      <c r="J12" s="33"/>
      <c r="K12" s="119"/>
      <c r="L12" s="119"/>
      <c r="M12" s="117"/>
      <c r="N12" s="117"/>
      <c r="O12" s="119"/>
      <c r="P12" s="117"/>
      <c r="Q12" s="140" t="str">
        <f aca="false">IF($B12="","",HYPERLINK("#Projects!A"&amp;MATCH($B12,Projects!$A:$A,0),"Open Project"))</f>
        <v/>
      </c>
    </row>
    <row r="13" customFormat="false" ht="30" hidden="false" customHeight="true" outlineLevel="0" collapsed="false">
      <c r="A13" s="137" t="str">
        <f aca="false">IF($B13="","","MFA-"&amp;TEXT(ROW()-4,"000"))</f>
        <v/>
      </c>
      <c r="B13" s="118"/>
      <c r="C13" s="138" t="str">
        <f aca="false">IF($B13="","",IFERROR(VLOOKUP($B13,Lists!$A:$H,2,FALSE()),"unknown ID"))</f>
        <v/>
      </c>
      <c r="D13" s="138" t="str">
        <f aca="false">IF($B13="","",IFERROR(VLOOKUP($B13,Lists!$A:$H,3,FALSE()),""))</f>
        <v/>
      </c>
      <c r="E13" s="139" t="str">
        <f aca="false">IF($B13="","","MaryFran Anderson")</f>
        <v/>
      </c>
      <c r="F13" s="117"/>
      <c r="G13" s="117"/>
      <c r="H13" s="118"/>
      <c r="I13" s="118"/>
      <c r="J13" s="33"/>
      <c r="K13" s="119"/>
      <c r="L13" s="119"/>
      <c r="M13" s="117"/>
      <c r="N13" s="117"/>
      <c r="O13" s="119"/>
      <c r="P13" s="117"/>
      <c r="Q13" s="140" t="str">
        <f aca="false">IF($B13="","",HYPERLINK("#Projects!A"&amp;MATCH($B13,Projects!$A:$A,0),"Open Project"))</f>
        <v/>
      </c>
    </row>
    <row r="14" customFormat="false" ht="30" hidden="false" customHeight="true" outlineLevel="0" collapsed="false">
      <c r="A14" s="137" t="str">
        <f aca="false">IF($B14="","","MFA-"&amp;TEXT(ROW()-4,"000"))</f>
        <v/>
      </c>
      <c r="B14" s="118"/>
      <c r="C14" s="138" t="str">
        <f aca="false">IF($B14="","",IFERROR(VLOOKUP($B14,Lists!$A:$H,2,FALSE()),"unknown ID"))</f>
        <v/>
      </c>
      <c r="D14" s="138" t="str">
        <f aca="false">IF($B14="","",IFERROR(VLOOKUP($B14,Lists!$A:$H,3,FALSE()),""))</f>
        <v/>
      </c>
      <c r="E14" s="139" t="str">
        <f aca="false">IF($B14="","","MaryFran Anderson")</f>
        <v/>
      </c>
      <c r="F14" s="117"/>
      <c r="G14" s="117"/>
      <c r="H14" s="118"/>
      <c r="I14" s="118"/>
      <c r="J14" s="33"/>
      <c r="K14" s="119"/>
      <c r="L14" s="119"/>
      <c r="M14" s="117"/>
      <c r="N14" s="117"/>
      <c r="O14" s="119"/>
      <c r="P14" s="117"/>
      <c r="Q14" s="140" t="str">
        <f aca="false">IF($B14="","",HYPERLINK("#Projects!A"&amp;MATCH($B14,Projects!$A:$A,0),"Open Project"))</f>
        <v/>
      </c>
    </row>
    <row r="15" customFormat="false" ht="30" hidden="false" customHeight="true" outlineLevel="0" collapsed="false">
      <c r="A15" s="137" t="str">
        <f aca="false">IF($B15="","","MFA-"&amp;TEXT(ROW()-4,"000"))</f>
        <v/>
      </c>
      <c r="B15" s="118"/>
      <c r="C15" s="138" t="str">
        <f aca="false">IF($B15="","",IFERROR(VLOOKUP($B15,Lists!$A:$H,2,FALSE()),"unknown ID"))</f>
        <v/>
      </c>
      <c r="D15" s="138" t="str">
        <f aca="false">IF($B15="","",IFERROR(VLOOKUP($B15,Lists!$A:$H,3,FALSE()),""))</f>
        <v/>
      </c>
      <c r="E15" s="139" t="str">
        <f aca="false">IF($B15="","","MaryFran Anderson")</f>
        <v/>
      </c>
      <c r="F15" s="117"/>
      <c r="G15" s="117"/>
      <c r="H15" s="118"/>
      <c r="I15" s="118"/>
      <c r="J15" s="33"/>
      <c r="K15" s="119"/>
      <c r="L15" s="119"/>
      <c r="M15" s="117"/>
      <c r="N15" s="117"/>
      <c r="O15" s="119"/>
      <c r="P15" s="117"/>
      <c r="Q15" s="140" t="str">
        <f aca="false">IF($B15="","",HYPERLINK("#Projects!A"&amp;MATCH($B15,Projects!$A:$A,0),"Open Project"))</f>
        <v/>
      </c>
    </row>
    <row r="16" customFormat="false" ht="30" hidden="false" customHeight="true" outlineLevel="0" collapsed="false">
      <c r="A16" s="137" t="str">
        <f aca="false">IF($B16="","","MFA-"&amp;TEXT(ROW()-4,"000"))</f>
        <v/>
      </c>
      <c r="B16" s="118"/>
      <c r="C16" s="138" t="str">
        <f aca="false">IF($B16="","",IFERROR(VLOOKUP($B16,Lists!$A:$H,2,FALSE()),"unknown ID"))</f>
        <v/>
      </c>
      <c r="D16" s="138" t="str">
        <f aca="false">IF($B16="","",IFERROR(VLOOKUP($B16,Lists!$A:$H,3,FALSE()),""))</f>
        <v/>
      </c>
      <c r="E16" s="139" t="str">
        <f aca="false">IF($B16="","","MaryFran Anderson")</f>
        <v/>
      </c>
      <c r="F16" s="117"/>
      <c r="G16" s="117"/>
      <c r="H16" s="118"/>
      <c r="I16" s="118"/>
      <c r="J16" s="33"/>
      <c r="K16" s="119"/>
      <c r="L16" s="119"/>
      <c r="M16" s="117"/>
      <c r="N16" s="117"/>
      <c r="O16" s="119"/>
      <c r="P16" s="117"/>
      <c r="Q16" s="140" t="str">
        <f aca="false">IF($B16="","",HYPERLINK("#Projects!A"&amp;MATCH($B16,Projects!$A:$A,0),"Open Project"))</f>
        <v/>
      </c>
    </row>
    <row r="17" customFormat="false" ht="30" hidden="false" customHeight="true" outlineLevel="0" collapsed="false">
      <c r="A17" s="137" t="str">
        <f aca="false">IF($B17="","","MFA-"&amp;TEXT(ROW()-4,"000"))</f>
        <v/>
      </c>
      <c r="B17" s="118"/>
      <c r="C17" s="138" t="str">
        <f aca="false">IF($B17="","",IFERROR(VLOOKUP($B17,Lists!$A:$H,2,FALSE()),"unknown ID"))</f>
        <v/>
      </c>
      <c r="D17" s="138" t="str">
        <f aca="false">IF($B17="","",IFERROR(VLOOKUP($B17,Lists!$A:$H,3,FALSE()),""))</f>
        <v/>
      </c>
      <c r="E17" s="139" t="str">
        <f aca="false">IF($B17="","","MaryFran Anderson")</f>
        <v/>
      </c>
      <c r="F17" s="117"/>
      <c r="G17" s="117"/>
      <c r="H17" s="118"/>
      <c r="I17" s="118"/>
      <c r="J17" s="33"/>
      <c r="K17" s="119"/>
      <c r="L17" s="119"/>
      <c r="M17" s="117"/>
      <c r="N17" s="117"/>
      <c r="O17" s="119"/>
      <c r="P17" s="117"/>
      <c r="Q17" s="140" t="str">
        <f aca="false">IF($B17="","",HYPERLINK("#Projects!A"&amp;MATCH($B17,Projects!$A:$A,0),"Open Project"))</f>
        <v/>
      </c>
    </row>
    <row r="18" customFormat="false" ht="30" hidden="false" customHeight="true" outlineLevel="0" collapsed="false">
      <c r="A18" s="137" t="str">
        <f aca="false">IF($B18="","","MFA-"&amp;TEXT(ROW()-4,"000"))</f>
        <v/>
      </c>
      <c r="B18" s="118"/>
      <c r="C18" s="138" t="str">
        <f aca="false">IF($B18="","",IFERROR(VLOOKUP($B18,Lists!$A:$H,2,FALSE()),"unknown ID"))</f>
        <v/>
      </c>
      <c r="D18" s="138" t="str">
        <f aca="false">IF($B18="","",IFERROR(VLOOKUP($B18,Lists!$A:$H,3,FALSE()),""))</f>
        <v/>
      </c>
      <c r="E18" s="139" t="str">
        <f aca="false">IF($B18="","","MaryFran Anderson")</f>
        <v/>
      </c>
      <c r="F18" s="117"/>
      <c r="G18" s="117"/>
      <c r="H18" s="118"/>
      <c r="I18" s="118"/>
      <c r="J18" s="33"/>
      <c r="K18" s="119"/>
      <c r="L18" s="119"/>
      <c r="M18" s="117"/>
      <c r="N18" s="117"/>
      <c r="O18" s="119"/>
      <c r="P18" s="117"/>
      <c r="Q18" s="140" t="str">
        <f aca="false">IF($B18="","",HYPERLINK("#Projects!A"&amp;MATCH($B18,Projects!$A:$A,0),"Open Project"))</f>
        <v/>
      </c>
    </row>
    <row r="19" customFormat="false" ht="30" hidden="false" customHeight="true" outlineLevel="0" collapsed="false">
      <c r="A19" s="137" t="str">
        <f aca="false">IF($B19="","","MFA-"&amp;TEXT(ROW()-4,"000"))</f>
        <v/>
      </c>
      <c r="B19" s="118"/>
      <c r="C19" s="138" t="str">
        <f aca="false">IF($B19="","",IFERROR(VLOOKUP($B19,Lists!$A:$H,2,FALSE()),"unknown ID"))</f>
        <v/>
      </c>
      <c r="D19" s="138" t="str">
        <f aca="false">IF($B19="","",IFERROR(VLOOKUP($B19,Lists!$A:$H,3,FALSE()),""))</f>
        <v/>
      </c>
      <c r="E19" s="139" t="str">
        <f aca="false">IF($B19="","","MaryFran Anderson")</f>
        <v/>
      </c>
      <c r="F19" s="117"/>
      <c r="G19" s="117"/>
      <c r="H19" s="118"/>
      <c r="I19" s="118"/>
      <c r="J19" s="33"/>
      <c r="K19" s="119"/>
      <c r="L19" s="119"/>
      <c r="M19" s="117"/>
      <c r="N19" s="117"/>
      <c r="O19" s="119"/>
      <c r="P19" s="117"/>
      <c r="Q19" s="140" t="str">
        <f aca="false">IF($B19="","",HYPERLINK("#Projects!A"&amp;MATCH($B19,Projects!$A:$A,0),"Open Project"))</f>
        <v/>
      </c>
    </row>
    <row r="20" customFormat="false" ht="30" hidden="false" customHeight="true" outlineLevel="0" collapsed="false">
      <c r="A20" s="137" t="str">
        <f aca="false">IF($B20="","","MFA-"&amp;TEXT(ROW()-4,"000"))</f>
        <v/>
      </c>
      <c r="B20" s="118"/>
      <c r="C20" s="138" t="str">
        <f aca="false">IF($B20="","",IFERROR(VLOOKUP($B20,Lists!$A:$H,2,FALSE()),"unknown ID"))</f>
        <v/>
      </c>
      <c r="D20" s="138" t="str">
        <f aca="false">IF($B20="","",IFERROR(VLOOKUP($B20,Lists!$A:$H,3,FALSE()),""))</f>
        <v/>
      </c>
      <c r="E20" s="139" t="str">
        <f aca="false">IF($B20="","","MaryFran Anderson")</f>
        <v/>
      </c>
      <c r="F20" s="117"/>
      <c r="G20" s="117"/>
      <c r="H20" s="118"/>
      <c r="I20" s="118"/>
      <c r="J20" s="33"/>
      <c r="K20" s="119"/>
      <c r="L20" s="119"/>
      <c r="M20" s="117"/>
      <c r="N20" s="117"/>
      <c r="O20" s="119"/>
      <c r="P20" s="117"/>
      <c r="Q20" s="140" t="str">
        <f aca="false">IF($B20="","",HYPERLINK("#Projects!A"&amp;MATCH($B20,Projects!$A:$A,0),"Open Project"))</f>
        <v/>
      </c>
    </row>
    <row r="21" customFormat="false" ht="30" hidden="false" customHeight="true" outlineLevel="0" collapsed="false">
      <c r="A21" s="137" t="str">
        <f aca="false">IF($B21="","","MFA-"&amp;TEXT(ROW()-4,"000"))</f>
        <v/>
      </c>
      <c r="B21" s="118"/>
      <c r="C21" s="138" t="str">
        <f aca="false">IF($B21="","",IFERROR(VLOOKUP($B21,Lists!$A:$H,2,FALSE()),"unknown ID"))</f>
        <v/>
      </c>
      <c r="D21" s="138" t="str">
        <f aca="false">IF($B21="","",IFERROR(VLOOKUP($B21,Lists!$A:$H,3,FALSE()),""))</f>
        <v/>
      </c>
      <c r="E21" s="139" t="str">
        <f aca="false">IF($B21="","","MaryFran Anderson")</f>
        <v/>
      </c>
      <c r="F21" s="117"/>
      <c r="G21" s="117"/>
      <c r="H21" s="118"/>
      <c r="I21" s="118"/>
      <c r="J21" s="33"/>
      <c r="K21" s="119"/>
      <c r="L21" s="119"/>
      <c r="M21" s="117"/>
      <c r="N21" s="117"/>
      <c r="O21" s="119"/>
      <c r="P21" s="117"/>
      <c r="Q21" s="140" t="str">
        <f aca="false">IF($B21="","",HYPERLINK("#Projects!A"&amp;MATCH($B21,Projects!$A:$A,0),"Open Project"))</f>
        <v/>
      </c>
    </row>
    <row r="22" customFormat="false" ht="30" hidden="false" customHeight="true" outlineLevel="0" collapsed="false">
      <c r="A22" s="137" t="str">
        <f aca="false">IF($B22="","","MFA-"&amp;TEXT(ROW()-4,"000"))</f>
        <v/>
      </c>
      <c r="B22" s="118"/>
      <c r="C22" s="138" t="str">
        <f aca="false">IF($B22="","",IFERROR(VLOOKUP($B22,Lists!$A:$H,2,FALSE()),"unknown ID"))</f>
        <v/>
      </c>
      <c r="D22" s="138" t="str">
        <f aca="false">IF($B22="","",IFERROR(VLOOKUP($B22,Lists!$A:$H,3,FALSE()),""))</f>
        <v/>
      </c>
      <c r="E22" s="139" t="str">
        <f aca="false">IF($B22="","","MaryFran Anderson")</f>
        <v/>
      </c>
      <c r="F22" s="117"/>
      <c r="G22" s="117"/>
      <c r="H22" s="118"/>
      <c r="I22" s="118"/>
      <c r="J22" s="33"/>
      <c r="K22" s="119"/>
      <c r="L22" s="119"/>
      <c r="M22" s="117"/>
      <c r="N22" s="117"/>
      <c r="O22" s="119"/>
      <c r="P22" s="117"/>
      <c r="Q22" s="140" t="str">
        <f aca="false">IF($B22="","",HYPERLINK("#Projects!A"&amp;MATCH($B22,Projects!$A:$A,0),"Open Project"))</f>
        <v/>
      </c>
    </row>
    <row r="23" customFormat="false" ht="30" hidden="false" customHeight="true" outlineLevel="0" collapsed="false">
      <c r="A23" s="137" t="str">
        <f aca="false">IF($B23="","","MFA-"&amp;TEXT(ROW()-4,"000"))</f>
        <v/>
      </c>
      <c r="B23" s="118"/>
      <c r="C23" s="138" t="str">
        <f aca="false">IF($B23="","",IFERROR(VLOOKUP($B23,Lists!$A:$H,2,FALSE()),"unknown ID"))</f>
        <v/>
      </c>
      <c r="D23" s="138" t="str">
        <f aca="false">IF($B23="","",IFERROR(VLOOKUP($B23,Lists!$A:$H,3,FALSE()),""))</f>
        <v/>
      </c>
      <c r="E23" s="139" t="str">
        <f aca="false">IF($B23="","","MaryFran Anderson")</f>
        <v/>
      </c>
      <c r="F23" s="117"/>
      <c r="G23" s="117"/>
      <c r="H23" s="118"/>
      <c r="I23" s="118"/>
      <c r="J23" s="33"/>
      <c r="K23" s="119"/>
      <c r="L23" s="119"/>
      <c r="M23" s="117"/>
      <c r="N23" s="117"/>
      <c r="O23" s="119"/>
      <c r="P23" s="117"/>
      <c r="Q23" s="140" t="str">
        <f aca="false">IF($B23="","",HYPERLINK("#Projects!A"&amp;MATCH($B23,Projects!$A:$A,0),"Open Project"))</f>
        <v/>
      </c>
    </row>
    <row r="24" customFormat="false" ht="30" hidden="false" customHeight="true" outlineLevel="0" collapsed="false">
      <c r="A24" s="137" t="str">
        <f aca="false">IF($B24="","","MFA-"&amp;TEXT(ROW()-4,"000"))</f>
        <v/>
      </c>
      <c r="B24" s="118"/>
      <c r="C24" s="138" t="str">
        <f aca="false">IF($B24="","",IFERROR(VLOOKUP($B24,Lists!$A:$H,2,FALSE()),"unknown ID"))</f>
        <v/>
      </c>
      <c r="D24" s="138" t="str">
        <f aca="false">IF($B24="","",IFERROR(VLOOKUP($B24,Lists!$A:$H,3,FALSE()),""))</f>
        <v/>
      </c>
      <c r="E24" s="139" t="str">
        <f aca="false">IF($B24="","","MaryFran Anderson")</f>
        <v/>
      </c>
      <c r="F24" s="117"/>
      <c r="G24" s="117"/>
      <c r="H24" s="118"/>
      <c r="I24" s="118"/>
      <c r="J24" s="33"/>
      <c r="K24" s="119"/>
      <c r="L24" s="119"/>
      <c r="M24" s="117"/>
      <c r="N24" s="117"/>
      <c r="O24" s="119"/>
      <c r="P24" s="117"/>
      <c r="Q24" s="140" t="str">
        <f aca="false">IF($B24="","",HYPERLINK("#Projects!A"&amp;MATCH($B24,Projects!$A:$A,0),"Open Project"))</f>
        <v/>
      </c>
    </row>
    <row r="25" customFormat="false" ht="30" hidden="false" customHeight="true" outlineLevel="0" collapsed="false">
      <c r="A25" s="137" t="str">
        <f aca="false">IF($B25="","","MFA-"&amp;TEXT(ROW()-4,"000"))</f>
        <v/>
      </c>
      <c r="B25" s="118"/>
      <c r="C25" s="138" t="str">
        <f aca="false">IF($B25="","",IFERROR(VLOOKUP($B25,Lists!$A:$H,2,FALSE()),"unknown ID"))</f>
        <v/>
      </c>
      <c r="D25" s="138" t="str">
        <f aca="false">IF($B25="","",IFERROR(VLOOKUP($B25,Lists!$A:$H,3,FALSE()),""))</f>
        <v/>
      </c>
      <c r="E25" s="139" t="str">
        <f aca="false">IF($B25="","","MaryFran Anderson")</f>
        <v/>
      </c>
      <c r="F25" s="117"/>
      <c r="G25" s="117"/>
      <c r="H25" s="118"/>
      <c r="I25" s="118"/>
      <c r="J25" s="33"/>
      <c r="K25" s="119"/>
      <c r="L25" s="119"/>
      <c r="M25" s="117"/>
      <c r="N25" s="117"/>
      <c r="O25" s="119"/>
      <c r="P25" s="117"/>
      <c r="Q25" s="140" t="str">
        <f aca="false">IF($B25="","",HYPERLINK("#Projects!A"&amp;MATCH($B25,Projects!$A:$A,0),"Open Project"))</f>
        <v/>
      </c>
    </row>
    <row r="26" customFormat="false" ht="30" hidden="false" customHeight="true" outlineLevel="0" collapsed="false">
      <c r="A26" s="137" t="str">
        <f aca="false">IF($B26="","","MFA-"&amp;TEXT(ROW()-4,"000"))</f>
        <v/>
      </c>
      <c r="B26" s="118"/>
      <c r="C26" s="138" t="str">
        <f aca="false">IF($B26="","",IFERROR(VLOOKUP($B26,Lists!$A:$H,2,FALSE()),"unknown ID"))</f>
        <v/>
      </c>
      <c r="D26" s="138" t="str">
        <f aca="false">IF($B26="","",IFERROR(VLOOKUP($B26,Lists!$A:$H,3,FALSE()),""))</f>
        <v/>
      </c>
      <c r="E26" s="139" t="str">
        <f aca="false">IF($B26="","","MaryFran Anderson")</f>
        <v/>
      </c>
      <c r="F26" s="117"/>
      <c r="G26" s="117"/>
      <c r="H26" s="118"/>
      <c r="I26" s="118"/>
      <c r="J26" s="33"/>
      <c r="K26" s="119"/>
      <c r="L26" s="119"/>
      <c r="M26" s="117"/>
      <c r="N26" s="117"/>
      <c r="O26" s="119"/>
      <c r="P26" s="117"/>
      <c r="Q26" s="140" t="str">
        <f aca="false">IF($B26="","",HYPERLINK("#Projects!A"&amp;MATCH($B26,Projects!$A:$A,0),"Open Project"))</f>
        <v/>
      </c>
    </row>
    <row r="27" customFormat="false" ht="30" hidden="false" customHeight="true" outlineLevel="0" collapsed="false">
      <c r="A27" s="137" t="str">
        <f aca="false">IF($B27="","","MFA-"&amp;TEXT(ROW()-4,"000"))</f>
        <v/>
      </c>
      <c r="B27" s="118"/>
      <c r="C27" s="138" t="str">
        <f aca="false">IF($B27="","",IFERROR(VLOOKUP($B27,Lists!$A:$H,2,FALSE()),"unknown ID"))</f>
        <v/>
      </c>
      <c r="D27" s="138" t="str">
        <f aca="false">IF($B27="","",IFERROR(VLOOKUP($B27,Lists!$A:$H,3,FALSE()),""))</f>
        <v/>
      </c>
      <c r="E27" s="139" t="str">
        <f aca="false">IF($B27="","","MaryFran Anderson")</f>
        <v/>
      </c>
      <c r="F27" s="117"/>
      <c r="G27" s="117"/>
      <c r="H27" s="118"/>
      <c r="I27" s="118"/>
      <c r="J27" s="33"/>
      <c r="K27" s="119"/>
      <c r="L27" s="119"/>
      <c r="M27" s="117"/>
      <c r="N27" s="117"/>
      <c r="O27" s="119"/>
      <c r="P27" s="117"/>
      <c r="Q27" s="140" t="str">
        <f aca="false">IF($B27="","",HYPERLINK("#Projects!A"&amp;MATCH($B27,Projects!$A:$A,0),"Open Project"))</f>
        <v/>
      </c>
    </row>
    <row r="28" customFormat="false" ht="30" hidden="false" customHeight="true" outlineLevel="0" collapsed="false">
      <c r="A28" s="137" t="str">
        <f aca="false">IF($B28="","","MFA-"&amp;TEXT(ROW()-4,"000"))</f>
        <v/>
      </c>
      <c r="B28" s="118"/>
      <c r="C28" s="138" t="str">
        <f aca="false">IF($B28="","",IFERROR(VLOOKUP($B28,Lists!$A:$H,2,FALSE()),"unknown ID"))</f>
        <v/>
      </c>
      <c r="D28" s="138" t="str">
        <f aca="false">IF($B28="","",IFERROR(VLOOKUP($B28,Lists!$A:$H,3,FALSE()),""))</f>
        <v/>
      </c>
      <c r="E28" s="139" t="str">
        <f aca="false">IF($B28="","","MaryFran Anderson")</f>
        <v/>
      </c>
      <c r="F28" s="117"/>
      <c r="G28" s="117"/>
      <c r="H28" s="118"/>
      <c r="I28" s="118"/>
      <c r="J28" s="33"/>
      <c r="K28" s="119"/>
      <c r="L28" s="119"/>
      <c r="M28" s="117"/>
      <c r="N28" s="117"/>
      <c r="O28" s="119"/>
      <c r="P28" s="117"/>
      <c r="Q28" s="140" t="str">
        <f aca="false">IF($B28="","",HYPERLINK("#Projects!A"&amp;MATCH($B28,Projects!$A:$A,0),"Open Project"))</f>
        <v/>
      </c>
    </row>
    <row r="29" customFormat="false" ht="30" hidden="false" customHeight="true" outlineLevel="0" collapsed="false">
      <c r="A29" s="137" t="str">
        <f aca="false">IF($B29="","","MFA-"&amp;TEXT(ROW()-4,"000"))</f>
        <v/>
      </c>
      <c r="B29" s="118"/>
      <c r="C29" s="138" t="str">
        <f aca="false">IF($B29="","",IFERROR(VLOOKUP($B29,Lists!$A:$H,2,FALSE()),"unknown ID"))</f>
        <v/>
      </c>
      <c r="D29" s="138" t="str">
        <f aca="false">IF($B29="","",IFERROR(VLOOKUP($B29,Lists!$A:$H,3,FALSE()),""))</f>
        <v/>
      </c>
      <c r="E29" s="139" t="str">
        <f aca="false">IF($B29="","","MaryFran Anderson")</f>
        <v/>
      </c>
      <c r="F29" s="117"/>
      <c r="G29" s="117"/>
      <c r="H29" s="118"/>
      <c r="I29" s="118"/>
      <c r="J29" s="33"/>
      <c r="K29" s="119"/>
      <c r="L29" s="119"/>
      <c r="M29" s="117"/>
      <c r="N29" s="117"/>
      <c r="O29" s="119"/>
      <c r="P29" s="117"/>
      <c r="Q29" s="140" t="str">
        <f aca="false">IF($B29="","",HYPERLINK("#Projects!A"&amp;MATCH($B29,Projects!$A:$A,0),"Open Project"))</f>
        <v/>
      </c>
    </row>
    <row r="30" customFormat="false" ht="30" hidden="false" customHeight="true" outlineLevel="0" collapsed="false">
      <c r="A30" s="137" t="str">
        <f aca="false">IF($B30="","","MFA-"&amp;TEXT(ROW()-4,"000"))</f>
        <v/>
      </c>
      <c r="B30" s="118"/>
      <c r="C30" s="138" t="str">
        <f aca="false">IF($B30="","",IFERROR(VLOOKUP($B30,Lists!$A:$H,2,FALSE()),"unknown ID"))</f>
        <v/>
      </c>
      <c r="D30" s="138" t="str">
        <f aca="false">IF($B30="","",IFERROR(VLOOKUP($B30,Lists!$A:$H,3,FALSE()),""))</f>
        <v/>
      </c>
      <c r="E30" s="139" t="str">
        <f aca="false">IF($B30="","","MaryFran Anderson")</f>
        <v/>
      </c>
      <c r="F30" s="117"/>
      <c r="G30" s="117"/>
      <c r="H30" s="118"/>
      <c r="I30" s="118"/>
      <c r="J30" s="33"/>
      <c r="K30" s="119"/>
      <c r="L30" s="119"/>
      <c r="M30" s="117"/>
      <c r="N30" s="117"/>
      <c r="O30" s="119"/>
      <c r="P30" s="117"/>
      <c r="Q30" s="140" t="str">
        <f aca="false">IF($B30="","",HYPERLINK("#Projects!A"&amp;MATCH($B30,Projects!$A:$A,0),"Open Project"))</f>
        <v/>
      </c>
    </row>
    <row r="31" customFormat="false" ht="30" hidden="false" customHeight="true" outlineLevel="0" collapsed="false">
      <c r="A31" s="137" t="str">
        <f aca="false">IF($B31="","","MFA-"&amp;TEXT(ROW()-4,"000"))</f>
        <v/>
      </c>
      <c r="B31" s="118"/>
      <c r="C31" s="138" t="str">
        <f aca="false">IF($B31="","",IFERROR(VLOOKUP($B31,Lists!$A:$H,2,FALSE()),"unknown ID"))</f>
        <v/>
      </c>
      <c r="D31" s="138" t="str">
        <f aca="false">IF($B31="","",IFERROR(VLOOKUP($B31,Lists!$A:$H,3,FALSE()),""))</f>
        <v/>
      </c>
      <c r="E31" s="139" t="str">
        <f aca="false">IF($B31="","","MaryFran Anderson")</f>
        <v/>
      </c>
      <c r="F31" s="117"/>
      <c r="G31" s="117"/>
      <c r="H31" s="118"/>
      <c r="I31" s="118"/>
      <c r="J31" s="33"/>
      <c r="K31" s="119"/>
      <c r="L31" s="119"/>
      <c r="M31" s="117"/>
      <c r="N31" s="117"/>
      <c r="O31" s="119"/>
      <c r="P31" s="117"/>
      <c r="Q31" s="140" t="str">
        <f aca="false">IF($B31="","",HYPERLINK("#Projects!A"&amp;MATCH($B31,Projects!$A:$A,0),"Open Project"))</f>
        <v/>
      </c>
    </row>
    <row r="32" customFormat="false" ht="30" hidden="false" customHeight="true" outlineLevel="0" collapsed="false">
      <c r="A32" s="137" t="str">
        <f aca="false">IF($B32="","","MFA-"&amp;TEXT(ROW()-4,"000"))</f>
        <v/>
      </c>
      <c r="B32" s="118"/>
      <c r="C32" s="138" t="str">
        <f aca="false">IF($B32="","",IFERROR(VLOOKUP($B32,Lists!$A:$H,2,FALSE()),"unknown ID"))</f>
        <v/>
      </c>
      <c r="D32" s="138" t="str">
        <f aca="false">IF($B32="","",IFERROR(VLOOKUP($B32,Lists!$A:$H,3,FALSE()),""))</f>
        <v/>
      </c>
      <c r="E32" s="139" t="str">
        <f aca="false">IF($B32="","","MaryFran Anderson")</f>
        <v/>
      </c>
      <c r="F32" s="117"/>
      <c r="G32" s="117"/>
      <c r="H32" s="118"/>
      <c r="I32" s="118"/>
      <c r="J32" s="33"/>
      <c r="K32" s="119"/>
      <c r="L32" s="119"/>
      <c r="M32" s="117"/>
      <c r="N32" s="117"/>
      <c r="O32" s="119"/>
      <c r="P32" s="117"/>
      <c r="Q32" s="140" t="str">
        <f aca="false">IF($B32="","",HYPERLINK("#Projects!A"&amp;MATCH($B32,Projects!$A:$A,0),"Open Project"))</f>
        <v/>
      </c>
    </row>
    <row r="33" customFormat="false" ht="30" hidden="false" customHeight="true" outlineLevel="0" collapsed="false">
      <c r="A33" s="137" t="str">
        <f aca="false">IF($B33="","","MFA-"&amp;TEXT(ROW()-4,"000"))</f>
        <v/>
      </c>
      <c r="B33" s="118"/>
      <c r="C33" s="138" t="str">
        <f aca="false">IF($B33="","",IFERROR(VLOOKUP($B33,Lists!$A:$H,2,FALSE()),"unknown ID"))</f>
        <v/>
      </c>
      <c r="D33" s="138" t="str">
        <f aca="false">IF($B33="","",IFERROR(VLOOKUP($B33,Lists!$A:$H,3,FALSE()),""))</f>
        <v/>
      </c>
      <c r="E33" s="139" t="str">
        <f aca="false">IF($B33="","","MaryFran Anderson")</f>
        <v/>
      </c>
      <c r="F33" s="117"/>
      <c r="G33" s="117"/>
      <c r="H33" s="118"/>
      <c r="I33" s="118"/>
      <c r="J33" s="33"/>
      <c r="K33" s="119"/>
      <c r="L33" s="119"/>
      <c r="M33" s="117"/>
      <c r="N33" s="117"/>
      <c r="O33" s="119"/>
      <c r="P33" s="117"/>
      <c r="Q33" s="140" t="str">
        <f aca="false">IF($B33="","",HYPERLINK("#Projects!A"&amp;MATCH($B33,Projects!$A:$A,0),"Open Project"))</f>
        <v/>
      </c>
    </row>
    <row r="34" customFormat="false" ht="30" hidden="false" customHeight="true" outlineLevel="0" collapsed="false">
      <c r="A34" s="137" t="str">
        <f aca="false">IF($B34="","","MFA-"&amp;TEXT(ROW()-4,"000"))</f>
        <v/>
      </c>
      <c r="B34" s="118"/>
      <c r="C34" s="138" t="str">
        <f aca="false">IF($B34="","",IFERROR(VLOOKUP($B34,Lists!$A:$H,2,FALSE()),"unknown ID"))</f>
        <v/>
      </c>
      <c r="D34" s="138" t="str">
        <f aca="false">IF($B34="","",IFERROR(VLOOKUP($B34,Lists!$A:$H,3,FALSE()),""))</f>
        <v/>
      </c>
      <c r="E34" s="139" t="str">
        <f aca="false">IF($B34="","","MaryFran Anderson")</f>
        <v/>
      </c>
      <c r="F34" s="117"/>
      <c r="G34" s="117"/>
      <c r="H34" s="118"/>
      <c r="I34" s="118"/>
      <c r="J34" s="33"/>
      <c r="K34" s="119"/>
      <c r="L34" s="119"/>
      <c r="M34" s="117"/>
      <c r="N34" s="117"/>
      <c r="O34" s="119"/>
      <c r="P34" s="117"/>
      <c r="Q34" s="140" t="str">
        <f aca="false">IF($B34="","",HYPERLINK("#Projects!A"&amp;MATCH($B34,Projects!$A:$A,0),"Open Project"))</f>
        <v/>
      </c>
    </row>
    <row r="35" customFormat="false" ht="30" hidden="false" customHeight="true" outlineLevel="0" collapsed="false">
      <c r="A35" s="137" t="str">
        <f aca="false">IF($B35="","","MFA-"&amp;TEXT(ROW()-4,"000"))</f>
        <v/>
      </c>
      <c r="B35" s="118"/>
      <c r="C35" s="138" t="str">
        <f aca="false">IF($B35="","",IFERROR(VLOOKUP($B35,Lists!$A:$H,2,FALSE()),"unknown ID"))</f>
        <v/>
      </c>
      <c r="D35" s="138" t="str">
        <f aca="false">IF($B35="","",IFERROR(VLOOKUP($B35,Lists!$A:$H,3,FALSE()),""))</f>
        <v/>
      </c>
      <c r="E35" s="139" t="str">
        <f aca="false">IF($B35="","","MaryFran Anderson")</f>
        <v/>
      </c>
      <c r="F35" s="117"/>
      <c r="G35" s="117"/>
      <c r="H35" s="118"/>
      <c r="I35" s="118"/>
      <c r="J35" s="33"/>
      <c r="K35" s="119"/>
      <c r="L35" s="119"/>
      <c r="M35" s="117"/>
      <c r="N35" s="117"/>
      <c r="O35" s="119"/>
      <c r="P35" s="117"/>
      <c r="Q35" s="140" t="str">
        <f aca="false">IF($B35="","",HYPERLINK("#Projects!A"&amp;MATCH($B35,Projects!$A:$A,0),"Open Project"))</f>
        <v/>
      </c>
    </row>
    <row r="36" customFormat="false" ht="30" hidden="false" customHeight="true" outlineLevel="0" collapsed="false">
      <c r="A36" s="137" t="str">
        <f aca="false">IF($B36="","","MFA-"&amp;TEXT(ROW()-4,"000"))</f>
        <v/>
      </c>
      <c r="B36" s="118"/>
      <c r="C36" s="138" t="str">
        <f aca="false">IF($B36="","",IFERROR(VLOOKUP($B36,Lists!$A:$H,2,FALSE()),"unknown ID"))</f>
        <v/>
      </c>
      <c r="D36" s="138" t="str">
        <f aca="false">IF($B36="","",IFERROR(VLOOKUP($B36,Lists!$A:$H,3,FALSE()),""))</f>
        <v/>
      </c>
      <c r="E36" s="139" t="str">
        <f aca="false">IF($B36="","","MaryFran Anderson")</f>
        <v/>
      </c>
      <c r="F36" s="117"/>
      <c r="G36" s="117"/>
      <c r="H36" s="118"/>
      <c r="I36" s="118"/>
      <c r="J36" s="33"/>
      <c r="K36" s="119"/>
      <c r="L36" s="119"/>
      <c r="M36" s="117"/>
      <c r="N36" s="117"/>
      <c r="O36" s="119"/>
      <c r="P36" s="117"/>
      <c r="Q36" s="140" t="str">
        <f aca="false">IF($B36="","",HYPERLINK("#Projects!A"&amp;MATCH($B36,Projects!$A:$A,0),"Open Project"))</f>
        <v/>
      </c>
    </row>
    <row r="37" customFormat="false" ht="30" hidden="false" customHeight="true" outlineLevel="0" collapsed="false">
      <c r="A37" s="137" t="str">
        <f aca="false">IF($B37="","","MFA-"&amp;TEXT(ROW()-4,"000"))</f>
        <v/>
      </c>
      <c r="B37" s="118"/>
      <c r="C37" s="138" t="str">
        <f aca="false">IF($B37="","",IFERROR(VLOOKUP($B37,Lists!$A:$H,2,FALSE()),"unknown ID"))</f>
        <v/>
      </c>
      <c r="D37" s="138" t="str">
        <f aca="false">IF($B37="","",IFERROR(VLOOKUP($B37,Lists!$A:$H,3,FALSE()),""))</f>
        <v/>
      </c>
      <c r="E37" s="139" t="str">
        <f aca="false">IF($B37="","","MaryFran Anderson")</f>
        <v/>
      </c>
      <c r="F37" s="117"/>
      <c r="G37" s="117"/>
      <c r="H37" s="118"/>
      <c r="I37" s="118"/>
      <c r="J37" s="33"/>
      <c r="K37" s="119"/>
      <c r="L37" s="119"/>
      <c r="M37" s="117"/>
      <c r="N37" s="117"/>
      <c r="O37" s="119"/>
      <c r="P37" s="117"/>
      <c r="Q37" s="140" t="str">
        <f aca="false">IF($B37="","",HYPERLINK("#Projects!A"&amp;MATCH($B37,Projects!$A:$A,0),"Open Project"))</f>
        <v/>
      </c>
    </row>
    <row r="38" customFormat="false" ht="30" hidden="false" customHeight="true" outlineLevel="0" collapsed="false">
      <c r="A38" s="137" t="str">
        <f aca="false">IF($B38="","","MFA-"&amp;TEXT(ROW()-4,"000"))</f>
        <v/>
      </c>
      <c r="B38" s="118"/>
      <c r="C38" s="138" t="str">
        <f aca="false">IF($B38="","",IFERROR(VLOOKUP($B38,Lists!$A:$H,2,FALSE()),"unknown ID"))</f>
        <v/>
      </c>
      <c r="D38" s="138" t="str">
        <f aca="false">IF($B38="","",IFERROR(VLOOKUP($B38,Lists!$A:$H,3,FALSE()),""))</f>
        <v/>
      </c>
      <c r="E38" s="139" t="str">
        <f aca="false">IF($B38="","","MaryFran Anderson")</f>
        <v/>
      </c>
      <c r="F38" s="117"/>
      <c r="G38" s="117"/>
      <c r="H38" s="118"/>
      <c r="I38" s="118"/>
      <c r="J38" s="33"/>
      <c r="K38" s="119"/>
      <c r="L38" s="119"/>
      <c r="M38" s="117"/>
      <c r="N38" s="117"/>
      <c r="O38" s="119"/>
      <c r="P38" s="117"/>
      <c r="Q38" s="140" t="str">
        <f aca="false">IF($B38="","",HYPERLINK("#Projects!A"&amp;MATCH($B38,Projects!$A:$A,0),"Open Project"))</f>
        <v/>
      </c>
    </row>
    <row r="39" customFormat="false" ht="30" hidden="false" customHeight="true" outlineLevel="0" collapsed="false">
      <c r="A39" s="137" t="str">
        <f aca="false">IF($B39="","","MFA-"&amp;TEXT(ROW()-4,"000"))</f>
        <v/>
      </c>
      <c r="B39" s="118"/>
      <c r="C39" s="138" t="str">
        <f aca="false">IF($B39="","",IFERROR(VLOOKUP($B39,Lists!$A:$H,2,FALSE()),"unknown ID"))</f>
        <v/>
      </c>
      <c r="D39" s="138" t="str">
        <f aca="false">IF($B39="","",IFERROR(VLOOKUP($B39,Lists!$A:$H,3,FALSE()),""))</f>
        <v/>
      </c>
      <c r="E39" s="139" t="str">
        <f aca="false">IF($B39="","","MaryFran Anderson")</f>
        <v/>
      </c>
      <c r="F39" s="117"/>
      <c r="G39" s="117"/>
      <c r="H39" s="118"/>
      <c r="I39" s="118"/>
      <c r="J39" s="33"/>
      <c r="K39" s="119"/>
      <c r="L39" s="119"/>
      <c r="M39" s="117"/>
      <c r="N39" s="117"/>
      <c r="O39" s="119"/>
      <c r="P39" s="117"/>
      <c r="Q39" s="140" t="str">
        <f aca="false">IF($B39="","",HYPERLINK("#Projects!A"&amp;MATCH($B39,Projects!$A:$A,0),"Open Project"))</f>
        <v/>
      </c>
    </row>
    <row r="40" customFormat="false" ht="30" hidden="false" customHeight="true" outlineLevel="0" collapsed="false">
      <c r="A40" s="137" t="str">
        <f aca="false">IF($B40="","","MFA-"&amp;TEXT(ROW()-4,"000"))</f>
        <v/>
      </c>
      <c r="B40" s="118"/>
      <c r="C40" s="138" t="str">
        <f aca="false">IF($B40="","",IFERROR(VLOOKUP($B40,Lists!$A:$H,2,FALSE()),"unknown ID"))</f>
        <v/>
      </c>
      <c r="D40" s="138" t="str">
        <f aca="false">IF($B40="","",IFERROR(VLOOKUP($B40,Lists!$A:$H,3,FALSE()),""))</f>
        <v/>
      </c>
      <c r="E40" s="139" t="str">
        <f aca="false">IF($B40="","","MaryFran Anderson")</f>
        <v/>
      </c>
      <c r="F40" s="117"/>
      <c r="G40" s="117"/>
      <c r="H40" s="118"/>
      <c r="I40" s="118"/>
      <c r="J40" s="33"/>
      <c r="K40" s="119"/>
      <c r="L40" s="119"/>
      <c r="M40" s="117"/>
      <c r="N40" s="117"/>
      <c r="O40" s="119"/>
      <c r="P40" s="117"/>
      <c r="Q40" s="140" t="str">
        <f aca="false">IF($B40="","",HYPERLINK("#Projects!A"&amp;MATCH($B40,Projects!$A:$A,0),"Open Project"))</f>
        <v/>
      </c>
    </row>
    <row r="41" customFormat="false" ht="30" hidden="false" customHeight="true" outlineLevel="0" collapsed="false">
      <c r="A41" s="137" t="str">
        <f aca="false">IF($B41="","","MFA-"&amp;TEXT(ROW()-4,"000"))</f>
        <v/>
      </c>
      <c r="B41" s="118"/>
      <c r="C41" s="138" t="str">
        <f aca="false">IF($B41="","",IFERROR(VLOOKUP($B41,Lists!$A:$H,2,FALSE()),"unknown ID"))</f>
        <v/>
      </c>
      <c r="D41" s="138" t="str">
        <f aca="false">IF($B41="","",IFERROR(VLOOKUP($B41,Lists!$A:$H,3,FALSE()),""))</f>
        <v/>
      </c>
      <c r="E41" s="139" t="str">
        <f aca="false">IF($B41="","","MaryFran Anderson")</f>
        <v/>
      </c>
      <c r="F41" s="117"/>
      <c r="G41" s="117"/>
      <c r="H41" s="118"/>
      <c r="I41" s="118"/>
      <c r="J41" s="33"/>
      <c r="K41" s="119"/>
      <c r="L41" s="119"/>
      <c r="M41" s="117"/>
      <c r="N41" s="117"/>
      <c r="O41" s="119"/>
      <c r="P41" s="117"/>
      <c r="Q41" s="140" t="str">
        <f aca="false">IF($B41="","",HYPERLINK("#Projects!A"&amp;MATCH($B41,Projects!$A:$A,0),"Open Project"))</f>
        <v/>
      </c>
    </row>
    <row r="42" customFormat="false" ht="30" hidden="false" customHeight="true" outlineLevel="0" collapsed="false">
      <c r="A42" s="137" t="str">
        <f aca="false">IF($B42="","","MFA-"&amp;TEXT(ROW()-4,"000"))</f>
        <v/>
      </c>
      <c r="B42" s="118"/>
      <c r="C42" s="138" t="str">
        <f aca="false">IF($B42="","",IFERROR(VLOOKUP($B42,Lists!$A:$H,2,FALSE()),"unknown ID"))</f>
        <v/>
      </c>
      <c r="D42" s="138" t="str">
        <f aca="false">IF($B42="","",IFERROR(VLOOKUP($B42,Lists!$A:$H,3,FALSE()),""))</f>
        <v/>
      </c>
      <c r="E42" s="139" t="str">
        <f aca="false">IF($B42="","","MaryFran Anderson")</f>
        <v/>
      </c>
      <c r="F42" s="117"/>
      <c r="G42" s="117"/>
      <c r="H42" s="118"/>
      <c r="I42" s="118"/>
      <c r="J42" s="33"/>
      <c r="K42" s="119"/>
      <c r="L42" s="119"/>
      <c r="M42" s="117"/>
      <c r="N42" s="117"/>
      <c r="O42" s="119"/>
      <c r="P42" s="117"/>
      <c r="Q42" s="140" t="str">
        <f aca="false">IF($B42="","",HYPERLINK("#Projects!A"&amp;MATCH($B42,Projects!$A:$A,0),"Open Project"))</f>
        <v/>
      </c>
    </row>
    <row r="43" customFormat="false" ht="30" hidden="false" customHeight="true" outlineLevel="0" collapsed="false">
      <c r="A43" s="137" t="str">
        <f aca="false">IF($B43="","","MFA-"&amp;TEXT(ROW()-4,"000"))</f>
        <v/>
      </c>
      <c r="B43" s="118"/>
      <c r="C43" s="138" t="str">
        <f aca="false">IF($B43="","",IFERROR(VLOOKUP($B43,Lists!$A:$H,2,FALSE()),"unknown ID"))</f>
        <v/>
      </c>
      <c r="D43" s="138" t="str">
        <f aca="false">IF($B43="","",IFERROR(VLOOKUP($B43,Lists!$A:$H,3,FALSE()),""))</f>
        <v/>
      </c>
      <c r="E43" s="139" t="str">
        <f aca="false">IF($B43="","","MaryFran Anderson")</f>
        <v/>
      </c>
      <c r="F43" s="117"/>
      <c r="G43" s="117"/>
      <c r="H43" s="118"/>
      <c r="I43" s="118"/>
      <c r="J43" s="33"/>
      <c r="K43" s="119"/>
      <c r="L43" s="119"/>
      <c r="M43" s="117"/>
      <c r="N43" s="117"/>
      <c r="O43" s="119"/>
      <c r="P43" s="117"/>
      <c r="Q43" s="140" t="str">
        <f aca="false">IF($B43="","",HYPERLINK("#Projects!A"&amp;MATCH($B43,Projects!$A:$A,0),"Open Project"))</f>
        <v/>
      </c>
    </row>
    <row r="44" customFormat="false" ht="30" hidden="false" customHeight="true" outlineLevel="0" collapsed="false">
      <c r="A44" s="137" t="str">
        <f aca="false">IF($B44="","","MFA-"&amp;TEXT(ROW()-4,"000"))</f>
        <v/>
      </c>
      <c r="B44" s="118"/>
      <c r="C44" s="138" t="str">
        <f aca="false">IF($B44="","",IFERROR(VLOOKUP($B44,Lists!$A:$H,2,FALSE()),"unknown ID"))</f>
        <v/>
      </c>
      <c r="D44" s="138" t="str">
        <f aca="false">IF($B44="","",IFERROR(VLOOKUP($B44,Lists!$A:$H,3,FALSE()),""))</f>
        <v/>
      </c>
      <c r="E44" s="139" t="str">
        <f aca="false">IF($B44="","","MaryFran Anderson")</f>
        <v/>
      </c>
      <c r="F44" s="117"/>
      <c r="G44" s="117"/>
      <c r="H44" s="118"/>
      <c r="I44" s="118"/>
      <c r="J44" s="33"/>
      <c r="K44" s="119"/>
      <c r="L44" s="119"/>
      <c r="M44" s="117"/>
      <c r="N44" s="117"/>
      <c r="O44" s="119"/>
      <c r="P44" s="117"/>
      <c r="Q44" s="140" t="str">
        <f aca="false">IF($B44="","",HYPERLINK("#Projects!A"&amp;MATCH($B44,Projects!$A:$A,0),"Open Project"))</f>
        <v/>
      </c>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sheetData>
  <mergeCells count="2">
    <mergeCell ref="A1:Q1"/>
    <mergeCell ref="A2:Q2"/>
  </mergeCells>
  <conditionalFormatting sqref="M6:M9">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J6:J101">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I5:I44">
    <cfRule type="cellIs" priority="16" operator="equal" aboveAverage="0" equalAverage="0" bottom="0" percent="0" rank="0" text="" dxfId="29">
      <formula>"Complete"</formula>
    </cfRule>
    <cfRule type="cellIs" priority="17" operator="equal" aboveAverage="0" equalAverage="0" bottom="0" percent="0" rank="0" text="" dxfId="4">
      <formula>"Blocked"</formula>
    </cfRule>
    <cfRule type="cellIs" priority="18" operator="equal" aboveAverage="0" equalAverage="0" bottom="0" percent="0" rank="0" text="" dxfId="45">
      <formula>"Waiting on Someone"</formula>
    </cfRule>
    <cfRule type="cellIs" priority="19" operator="equal" aboveAverage="0" equalAverage="0" bottom="0" percent="0" rank="0" text="" dxfId="30">
      <formula>"In Progress"</formula>
    </cfRule>
    <cfRule type="cellIs" priority="20" operator="equal" aboveAverage="0" equalAverage="0" bottom="0" percent="0" rank="0" text="" dxfId="32">
      <formula>"Not Started"</formula>
    </cfRule>
  </conditionalFormatting>
  <conditionalFormatting sqref="L5:L44">
    <cfRule type="expression" priority="21" aboveAverage="0" equalAverage="0" bottom="0" percent="0" rank="0" text="" dxfId="4">
      <formula>AND($L5&lt;&gt;"",$L5&lt;TODAY(),$I5&lt;&gt;"Complete")</formula>
    </cfRule>
    <cfRule type="expression" priority="22" aboveAverage="0" equalAverage="0" bottom="0" percent="0" rank="0" text="" dxfId="46">
      <formula>AND($L5&lt;&gt;"",$L5&gt;=TODAY(),$L5&lt;=TODAY()+7,$I5&lt;&gt;"Complete")</formula>
    </cfRule>
  </conditionalFormatting>
  <conditionalFormatting sqref="G5:G44">
    <cfRule type="expression" priority="23" aboveAverage="0" equalAverage="0" bottom="0" percent="0" rank="0" text="" dxfId="47">
      <formula>$I5="Complete"</formula>
    </cfRule>
  </conditionalFormatting>
  <conditionalFormatting sqref="J5:J44">
    <cfRule type="dataBar" priority="24">
      <dataBar showValue="1" minLength="10" maxLength="90">
        <cfvo type="num" val="0"/>
        <cfvo type="num" val="1"/>
        <color rgb="FF2E75B6"/>
      </dataBar>
      <extLst>
        <ext xmlns:x14="http://schemas.microsoft.com/office/spreadsheetml/2009/9/main" uri="{B025F937-C7B1-47D3-B67F-A62EFF666E3E}">
          <x14:id>{614DE893-37CA-488D-BD4A-B04E94D3A06E}</x14:id>
        </ext>
      </extLst>
    </cfRule>
  </conditionalFormatting>
  <dataValidations count="5">
    <dataValidation allowBlank="true" errorStyle="stop" operator="between" showDropDown="false" showErrorMessage="true" showInputMessage="true" sqref="J6:J10 M6:M9 J11:J101" type="list">
      <formula1>"C,G,Y,R,na"</formula1>
      <formula2>0</formula2>
    </dataValidation>
    <dataValidation allowBlank="true" error="Pick a value from the list" errorStyle="stop" errorTitle="Invalid entry" operator="between" showDropDown="false" showErrorMessage="false" showInputMessage="false" sqref="B5:B44" type="list">
      <formula1>ProjectIDList</formula1>
      <formula2>0</formula2>
    </dataValidation>
    <dataValidation allowBlank="true" error="Pick a value from the list" errorStyle="stop" errorTitle="Invalid entry" operator="between" showDropDown="false" showErrorMessage="false" showInputMessage="false" sqref="F5:F44" type="list">
      <formula1>RoleList</formula1>
      <formula2>0</formula2>
    </dataValidation>
    <dataValidation allowBlank="true" error="Pick a value from the list" errorStyle="stop" errorTitle="Invalid entry" operator="between" showDropDown="false" showErrorMessage="false" showInputMessage="false" sqref="H5:H44" type="list">
      <formula1>PriorityList</formula1>
      <formula2>0</formula2>
    </dataValidation>
    <dataValidation allowBlank="true" error="Pick a value from the list" errorStyle="stop" errorTitle="Invalid entry" operator="between" showDropDown="false" showErrorMessage="false" showInputMessage="false" sqref="I5:I44" type="list">
      <formula1>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614DE893-37CA-488D-BD4A-B04E94D3A06E}">
            <x14:dataBar minLength="10" maxLength="90" axisPosition="none" gradient="true">
              <x14:cfvo type="num">
                <xm:f>0</xm:f>
              </x14:cfvo>
              <x14:cfvo type="num">
                <xm:f>1</xm:f>
              </x14:cfvo>
              <x14:negativeFillColor rgb="FF2E75B6"/>
              <x14:axisColor rgb="FF000000"/>
            </x14:dataBar>
          </x14:cfRule>
          <xm:sqref>J5:J44</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Q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E22" activeCellId="0" sqref="E22"/>
    </sheetView>
  </sheetViews>
  <sheetFormatPr defaultColWidth="8.5390625" defaultRowHeight="14.2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4"/>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36"/>
    <col collapsed="false" customWidth="true" hidden="false" outlineLevel="0" max="8" min="8" style="0" width="10"/>
    <col collapsed="false" customWidth="true" hidden="false" outlineLevel="0" max="9" min="9" style="0" width="16"/>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26"/>
    <col collapsed="false" customWidth="true" hidden="false" outlineLevel="0" max="15" min="15" style="0" width="12"/>
    <col collapsed="false" customWidth="true" hidden="false" outlineLevel="0" max="16" min="16" style="0" width="30"/>
    <col collapsed="false" customWidth="true" hidden="false" outlineLevel="0" max="17" min="17" style="0" width="15"/>
  </cols>
  <sheetData>
    <row r="1" customFormat="false" ht="30" hidden="false" customHeight="true" outlineLevel="0" collapsed="false">
      <c r="A1" s="114" t="s">
        <v>315</v>
      </c>
      <c r="B1" s="114"/>
      <c r="C1" s="114"/>
      <c r="D1" s="114"/>
      <c r="E1" s="114"/>
      <c r="F1" s="114"/>
      <c r="G1" s="114"/>
      <c r="H1" s="114"/>
      <c r="I1" s="114"/>
      <c r="J1" s="114"/>
      <c r="K1" s="114"/>
      <c r="L1" s="114"/>
      <c r="M1" s="114"/>
      <c r="N1" s="114"/>
      <c r="O1" s="114"/>
      <c r="P1" s="114"/>
      <c r="Q1" s="114"/>
    </row>
    <row r="2" customFormat="false" ht="24" hidden="false" customHeight="true" outlineLevel="0" collapsed="false">
      <c r="A2" s="115" t="s">
        <v>263</v>
      </c>
      <c r="B2" s="115"/>
      <c r="C2" s="115"/>
      <c r="D2" s="115"/>
      <c r="E2" s="115"/>
      <c r="F2" s="115"/>
      <c r="G2" s="115"/>
      <c r="H2" s="115"/>
      <c r="I2" s="115"/>
      <c r="J2" s="115"/>
      <c r="K2" s="115"/>
      <c r="L2" s="115"/>
      <c r="M2" s="115"/>
      <c r="N2" s="115"/>
      <c r="O2" s="115"/>
      <c r="P2" s="115"/>
      <c r="Q2" s="115"/>
    </row>
    <row r="3" customFormat="false" ht="24" hidden="false" customHeight="true" outlineLevel="0" collapsed="false"/>
    <row r="4" customFormat="false" ht="33.75" hidden="false" customHeight="true" outlineLevel="0" collapsed="false">
      <c r="A4" s="129" t="s">
        <v>237</v>
      </c>
      <c r="B4" s="136" t="s">
        <v>178</v>
      </c>
      <c r="C4" s="129" t="s">
        <v>16</v>
      </c>
      <c r="D4" s="129" t="s">
        <v>251</v>
      </c>
      <c r="E4" s="129" t="s">
        <v>238</v>
      </c>
      <c r="F4" s="136" t="s">
        <v>240</v>
      </c>
      <c r="G4" s="136" t="s">
        <v>239</v>
      </c>
      <c r="H4" s="136" t="s">
        <v>241</v>
      </c>
      <c r="I4" s="136" t="s">
        <v>50</v>
      </c>
      <c r="J4" s="136" t="s">
        <v>252</v>
      </c>
      <c r="K4" s="136" t="s">
        <v>253</v>
      </c>
      <c r="L4" s="136" t="s">
        <v>254</v>
      </c>
      <c r="M4" s="136" t="s">
        <v>255</v>
      </c>
      <c r="N4" s="136" t="s">
        <v>246</v>
      </c>
      <c r="O4" s="136" t="s">
        <v>247</v>
      </c>
      <c r="P4" s="136" t="s">
        <v>248</v>
      </c>
      <c r="Q4" s="129" t="s">
        <v>264</v>
      </c>
    </row>
    <row r="5" customFormat="false" ht="30" hidden="false" customHeight="true" outlineLevel="0" collapsed="false">
      <c r="A5" s="137" t="str">
        <f aca="false">IF($B5="","","SM-"&amp;TEXT(ROW()-4,"000"))</f>
        <v>SM-001</v>
      </c>
      <c r="B5" s="118" t="s">
        <v>187</v>
      </c>
      <c r="C5" s="138" t="str">
        <f aca="false">IF($B5="","",IFERROR(VLOOKUP($B5,Lists!$A:$H,2,FALSE()),"unknown ID"))</f>
        <v>1 – Unified Development System</v>
      </c>
      <c r="D5" s="138" t="str">
        <f aca="false">IF($B5="","",IFERROR(VLOOKUP($B5,Lists!$A:$H,3,FALSE()),""))</f>
        <v>Implement standardized Mutual Evaluation Process (MEP) across all brands</v>
      </c>
      <c r="E5" s="139" t="str">
        <f aca="false">IF($B5="","","Shane Mattingly")</f>
        <v>Shane Mattingly</v>
      </c>
      <c r="F5" s="117" t="s">
        <v>270</v>
      </c>
      <c r="G5" s="117" t="s">
        <v>271</v>
      </c>
      <c r="H5" s="118" t="s">
        <v>272</v>
      </c>
      <c r="I5" s="118" t="s">
        <v>18</v>
      </c>
      <c r="J5" s="33" t="n">
        <v>0.5</v>
      </c>
      <c r="K5" s="119" t="n">
        <v>46162</v>
      </c>
      <c r="L5" s="119" t="n">
        <v>46186</v>
      </c>
      <c r="M5" s="117"/>
      <c r="N5" s="117"/>
      <c r="O5" s="119" t="s">
        <v>273</v>
      </c>
      <c r="P5" s="117" t="s">
        <v>274</v>
      </c>
      <c r="Q5" s="140" t="str">
        <f aca="false">IF($B5="","",HYPERLINK("#Projects!A"&amp;MATCH($B5,Projects!$A:$A,0),"Open Project"))</f>
        <v>Open Project</v>
      </c>
    </row>
    <row r="6" customFormat="false" ht="30" hidden="false" customHeight="true" outlineLevel="0" collapsed="false">
      <c r="A6" s="137" t="str">
        <f aca="false">IF($B6="","","SM-"&amp;TEXT(ROW()-4,"000"))</f>
        <v>SM-002</v>
      </c>
      <c r="B6" s="118" t="s">
        <v>188</v>
      </c>
      <c r="C6" s="138" t="str">
        <f aca="false">IF($B6="","",IFERROR(VLOOKUP($B6,Lists!$A:$H,2,FALSE()),"unknown ID"))</f>
        <v>1 – Unified Development System</v>
      </c>
      <c r="D6" s="138" t="str">
        <f aca="false">IF($B6="","",IFERROR(VLOOKUP($B6,Lists!$A:$H,3,FALSE()),""))</f>
        <v>Standardize pipeline stages, definitions, and reporting in CRM</v>
      </c>
      <c r="E6" s="139" t="str">
        <f aca="false">IF($B6="","","Shane Mattingly")</f>
        <v>Shane Mattingly</v>
      </c>
      <c r="F6" s="117" t="s">
        <v>265</v>
      </c>
      <c r="G6" s="117" t="s">
        <v>316</v>
      </c>
      <c r="H6" s="118" t="s">
        <v>317</v>
      </c>
      <c r="I6" s="118" t="s">
        <v>18</v>
      </c>
      <c r="J6" s="33" t="n">
        <v>0.5</v>
      </c>
      <c r="K6" s="119" t="n">
        <v>46143</v>
      </c>
      <c r="L6" s="119" t="n">
        <v>46168</v>
      </c>
      <c r="M6" s="117"/>
      <c r="N6" s="117"/>
      <c r="O6" s="119" t="s">
        <v>318</v>
      </c>
      <c r="P6" s="117" t="s">
        <v>319</v>
      </c>
      <c r="Q6" s="140" t="str">
        <f aca="false">IF($B6="","",HYPERLINK("#Projects!A"&amp;MATCH($B6,Projects!$A:$A,0),"Open Project"))</f>
        <v>Open Project</v>
      </c>
    </row>
    <row r="7" customFormat="false" ht="30" hidden="false" customHeight="true" outlineLevel="0" collapsed="false">
      <c r="A7" s="137" t="str">
        <f aca="false">IF($B7="","","SM-"&amp;TEXT(ROW()-4,"000"))</f>
        <v>SM-003</v>
      </c>
      <c r="B7" s="118" t="s">
        <v>200</v>
      </c>
      <c r="C7" s="138" t="str">
        <f aca="false">IF($B7="","",IFERROR(VLOOKUP($B7,Lists!$A:$H,2,FALSE()),"unknown ID"))</f>
        <v>3 – Broker Channel</v>
      </c>
      <c r="D7" s="138" t="str">
        <f aca="false">IF($B7="","",IFERROR(VLOOKUP($B7,Lists!$A:$H,3,FALSE()),""))</f>
        <v>Route 100% of broker leads through CRM for centralized intake and visibility.</v>
      </c>
      <c r="E7" s="139" t="str">
        <f aca="false">IF($B7="","","Shane Mattingly")</f>
        <v>Shane Mattingly</v>
      </c>
      <c r="F7" s="117" t="s">
        <v>265</v>
      </c>
      <c r="G7" s="117" t="s">
        <v>320</v>
      </c>
      <c r="H7" s="118" t="s">
        <v>267</v>
      </c>
      <c r="I7" s="118" t="s">
        <v>18</v>
      </c>
      <c r="J7" s="33" t="n">
        <v>0.4</v>
      </c>
      <c r="K7" s="119" t="n">
        <v>46147</v>
      </c>
      <c r="L7" s="119" t="n">
        <v>46193</v>
      </c>
      <c r="M7" s="117" t="s">
        <v>321</v>
      </c>
      <c r="N7" s="117"/>
      <c r="O7" s="119" t="s">
        <v>322</v>
      </c>
      <c r="P7" s="117" t="s">
        <v>323</v>
      </c>
      <c r="Q7" s="140" t="str">
        <f aca="false">IF($B7="","",HYPERLINK("#Projects!A"&amp;MATCH($B7,Projects!$A:$A,0),"Open Project"))</f>
        <v>Open Project</v>
      </c>
    </row>
    <row r="8" customFormat="false" ht="30" hidden="false" customHeight="true" outlineLevel="0" collapsed="false">
      <c r="A8" s="137" t="str">
        <f aca="false">IF($B8="","","SM-"&amp;TEXT(ROW()-4,"000"))</f>
        <v>SM-004</v>
      </c>
      <c r="B8" s="118" t="s">
        <v>216</v>
      </c>
      <c r="C8" s="138" t="str">
        <f aca="false">IF($B8="","",IFERROR(VLOOKUP($B8,Lists!$A:$H,2,FALSE()),"unknown ID"))</f>
        <v>5 – Operational Infrastructure</v>
      </c>
      <c r="D8" s="138" t="str">
        <f aca="false">IF($B8="","",IFERROR(VLOOKUP($B8,Lists!$A:$H,3,FALSE()),""))</f>
        <v>Build centralized KPI dashboard and reporting visibility</v>
      </c>
      <c r="E8" s="139" t="str">
        <f aca="false">IF($B8="","","Shane Mattingly")</f>
        <v>Shane Mattingly</v>
      </c>
      <c r="F8" s="117" t="s">
        <v>265</v>
      </c>
      <c r="G8" s="117" t="s">
        <v>324</v>
      </c>
      <c r="H8" s="118" t="s">
        <v>317</v>
      </c>
      <c r="I8" s="118" t="s">
        <v>11</v>
      </c>
      <c r="J8" s="33" t="n">
        <v>0</v>
      </c>
      <c r="K8" s="119" t="n">
        <v>46174</v>
      </c>
      <c r="L8" s="119" t="n">
        <v>46221</v>
      </c>
      <c r="M8" s="117" t="s">
        <v>325</v>
      </c>
      <c r="N8" s="117"/>
      <c r="O8" s="119" t="s">
        <v>326</v>
      </c>
      <c r="P8" s="117" t="s">
        <v>327</v>
      </c>
      <c r="Q8" s="140" t="str">
        <f aca="false">IF($B8="","",HYPERLINK("#Projects!A"&amp;MATCH($B8,Projects!$A:$A,0),"Open Project"))</f>
        <v>Open Project</v>
      </c>
    </row>
    <row r="9" customFormat="false" ht="30" hidden="false" customHeight="true" outlineLevel="0" collapsed="false">
      <c r="A9" s="137" t="str">
        <f aca="false">IF($B9="","","SM-"&amp;TEXT(ROW()-4,"000"))</f>
        <v>SM-005</v>
      </c>
      <c r="B9" s="118" t="s">
        <v>223</v>
      </c>
      <c r="C9" s="138" t="str">
        <f aca="false">IF($B9="","",IFERROR(VLOOKUP($B9,Lists!$A:$H,2,FALSE()),"unknown ID"))</f>
        <v>7 – Operating Rhythm</v>
      </c>
      <c r="D9" s="138" t="str">
        <f aca="false">IF($B9="","",IFERROR(VLOOKUP($B9,Lists!$A:$H,3,FALSE()),""))</f>
        <v>Implement weekly KPI scorecards by brand, developer, and source</v>
      </c>
      <c r="E9" s="139" t="str">
        <f aca="false">IF($B9="","","Shane Mattingly")</f>
        <v>Shane Mattingly</v>
      </c>
      <c r="F9" s="117" t="s">
        <v>265</v>
      </c>
      <c r="G9" s="117" t="s">
        <v>328</v>
      </c>
      <c r="H9" s="118" t="s">
        <v>267</v>
      </c>
      <c r="I9" s="118" t="s">
        <v>18</v>
      </c>
      <c r="J9" s="33" t="n">
        <v>0.3</v>
      </c>
      <c r="K9" s="119" t="n">
        <v>46152</v>
      </c>
      <c r="L9" s="119" t="n">
        <v>46200</v>
      </c>
      <c r="M9" s="117"/>
      <c r="N9" s="117"/>
      <c r="O9" s="119" t="s">
        <v>329</v>
      </c>
      <c r="P9" s="117" t="s">
        <v>330</v>
      </c>
      <c r="Q9" s="140" t="str">
        <f aca="false">IF($B9="","",HYPERLINK("#Projects!A"&amp;MATCH($B9,Projects!$A:$A,0),"Open Project"))</f>
        <v>Open Project</v>
      </c>
    </row>
    <row r="10" customFormat="false" ht="30" hidden="false" customHeight="true" outlineLevel="0" collapsed="false">
      <c r="A10" s="137" t="str">
        <f aca="false">IF($B10="","","SM-"&amp;TEXT(ROW()-4,"000"))</f>
        <v>SM-006</v>
      </c>
      <c r="B10" s="118" t="s">
        <v>225</v>
      </c>
      <c r="C10" s="138" t="str">
        <f aca="false">IF($B10="","",IFERROR(VLOOKUP($B10,Lists!$A:$H,2,FALSE()),"unknown ID"))</f>
        <v>7 – Operating Rhythm</v>
      </c>
      <c r="D10" s="138" t="str">
        <f aca="false">IF($B10="","",IFERROR(VLOOKUP($B10,Lists!$A:$H,3,FALSE()),""))</f>
        <v>Standardize forecasting methodology</v>
      </c>
      <c r="E10" s="139" t="str">
        <f aca="false">IF($B10="","","Shane Mattingly")</f>
        <v>Shane Mattingly</v>
      </c>
      <c r="F10" s="117" t="s">
        <v>265</v>
      </c>
      <c r="G10" s="117" t="s">
        <v>163</v>
      </c>
      <c r="H10" s="118" t="s">
        <v>267</v>
      </c>
      <c r="I10" s="118" t="s">
        <v>18</v>
      </c>
      <c r="J10" s="33" t="n">
        <v>0.2</v>
      </c>
      <c r="K10" s="119" t="n">
        <v>46157</v>
      </c>
      <c r="L10" s="119" t="n">
        <v>46206</v>
      </c>
      <c r="M10" s="117"/>
      <c r="N10" s="117"/>
      <c r="O10" s="119" t="s">
        <v>331</v>
      </c>
      <c r="P10" s="117" t="s">
        <v>332</v>
      </c>
      <c r="Q10" s="140" t="str">
        <f aca="false">IF($B10="","",HYPERLINK("#Projects!A"&amp;MATCH($B10,Projects!$A:$A,0),"Open Project"))</f>
        <v>Open Project</v>
      </c>
    </row>
    <row r="11" customFormat="false" ht="30" hidden="false" customHeight="true" outlineLevel="0" collapsed="false">
      <c r="A11" s="137" t="str">
        <f aca="false">IF($B11="","","SM-"&amp;TEXT(ROW()-4,"000"))</f>
        <v>SM-007</v>
      </c>
      <c r="B11" s="118" t="s">
        <v>201</v>
      </c>
      <c r="C11" s="138" t="str">
        <f aca="false">IF($B11="","",IFERROR(VLOOKUP($B11,Lists!$A:$H,2,FALSE()),"unknown ID"))</f>
        <v>3 – Broker Channel</v>
      </c>
      <c r="D11" s="138" t="str">
        <f aca="false">IF($B11="","",IFERROR(VLOOKUP($B11,Lists!$A:$H,3,FALSE()),""))</f>
        <v>Implement rules-based lead distribution</v>
      </c>
      <c r="E11" s="139" t="str">
        <f aca="false">IF($B11="","","Shane Mattingly")</f>
        <v>Shane Mattingly</v>
      </c>
      <c r="F11" s="117" t="s">
        <v>265</v>
      </c>
      <c r="G11" s="117" t="s">
        <v>101</v>
      </c>
      <c r="H11" s="118" t="s">
        <v>272</v>
      </c>
      <c r="I11" s="118" t="s">
        <v>11</v>
      </c>
      <c r="J11" s="33" t="n">
        <v>0</v>
      </c>
      <c r="K11" s="119" t="n">
        <v>46183</v>
      </c>
      <c r="L11" s="119" t="n">
        <v>46228</v>
      </c>
      <c r="M11" s="117"/>
      <c r="N11" s="117"/>
      <c r="O11" s="119" t="s">
        <v>311</v>
      </c>
      <c r="P11" s="117" t="s">
        <v>333</v>
      </c>
      <c r="Q11" s="140" t="str">
        <f aca="false">IF($B11="","",HYPERLINK("#Projects!A"&amp;MATCH($B11,Projects!$A:$A,0),"Open Project"))</f>
        <v>Open Project</v>
      </c>
    </row>
    <row r="12" customFormat="false" ht="30" hidden="false" customHeight="true" outlineLevel="0" collapsed="false">
      <c r="A12" s="137" t="str">
        <f aca="false">IF($B12="","","SM-"&amp;TEXT(ROW()-4,"000"))</f>
        <v/>
      </c>
      <c r="B12" s="118"/>
      <c r="C12" s="138" t="str">
        <f aca="false">IF($B12="","",IFERROR(VLOOKUP($B12,Lists!$A:$H,2,FALSE()),"unknown ID"))</f>
        <v/>
      </c>
      <c r="D12" s="138" t="str">
        <f aca="false">IF($B12="","",IFERROR(VLOOKUP($B12,Lists!$A:$H,3,FALSE()),""))</f>
        <v/>
      </c>
      <c r="E12" s="139" t="str">
        <f aca="false">IF($B12="","","Shane Mattingly")</f>
        <v/>
      </c>
      <c r="F12" s="117"/>
      <c r="G12" s="117"/>
      <c r="H12" s="118"/>
      <c r="I12" s="118"/>
      <c r="J12" s="33"/>
      <c r="K12" s="119"/>
      <c r="L12" s="119"/>
      <c r="M12" s="117"/>
      <c r="N12" s="117"/>
      <c r="O12" s="119"/>
      <c r="P12" s="117"/>
      <c r="Q12" s="140" t="str">
        <f aca="false">IF($B12="","",HYPERLINK("#Projects!A"&amp;MATCH($B12,Projects!$A:$A,0),"Open Project"))</f>
        <v/>
      </c>
    </row>
    <row r="13" customFormat="false" ht="30" hidden="false" customHeight="true" outlineLevel="0" collapsed="false">
      <c r="A13" s="137" t="str">
        <f aca="false">IF($B13="","","SM-"&amp;TEXT(ROW()-4,"000"))</f>
        <v/>
      </c>
      <c r="B13" s="118"/>
      <c r="C13" s="138" t="str">
        <f aca="false">IF($B13="","",IFERROR(VLOOKUP($B13,Lists!$A:$H,2,FALSE()),"unknown ID"))</f>
        <v/>
      </c>
      <c r="D13" s="138" t="str">
        <f aca="false">IF($B13="","",IFERROR(VLOOKUP($B13,Lists!$A:$H,3,FALSE()),""))</f>
        <v/>
      </c>
      <c r="E13" s="139" t="str">
        <f aca="false">IF($B13="","","Shane Mattingly")</f>
        <v/>
      </c>
      <c r="F13" s="117"/>
      <c r="G13" s="117"/>
      <c r="H13" s="118"/>
      <c r="I13" s="118"/>
      <c r="J13" s="33"/>
      <c r="K13" s="119"/>
      <c r="L13" s="119"/>
      <c r="M13" s="117"/>
      <c r="N13" s="117"/>
      <c r="O13" s="119"/>
      <c r="P13" s="117"/>
      <c r="Q13" s="140" t="str">
        <f aca="false">IF($B13="","",HYPERLINK("#Projects!A"&amp;MATCH($B13,Projects!$A:$A,0),"Open Project"))</f>
        <v/>
      </c>
    </row>
    <row r="14" customFormat="false" ht="30" hidden="false" customHeight="true" outlineLevel="0" collapsed="false">
      <c r="A14" s="137" t="str">
        <f aca="false">IF($B14="","","SM-"&amp;TEXT(ROW()-4,"000"))</f>
        <v/>
      </c>
      <c r="B14" s="118"/>
      <c r="C14" s="138" t="str">
        <f aca="false">IF($B14="","",IFERROR(VLOOKUP($B14,Lists!$A:$H,2,FALSE()),"unknown ID"))</f>
        <v/>
      </c>
      <c r="D14" s="138" t="str">
        <f aca="false">IF($B14="","",IFERROR(VLOOKUP($B14,Lists!$A:$H,3,FALSE()),""))</f>
        <v/>
      </c>
      <c r="E14" s="139" t="str">
        <f aca="false">IF($B14="","","Shane Mattingly")</f>
        <v/>
      </c>
      <c r="F14" s="117"/>
      <c r="G14" s="117"/>
      <c r="H14" s="118"/>
      <c r="I14" s="118"/>
      <c r="J14" s="33"/>
      <c r="K14" s="119"/>
      <c r="L14" s="119"/>
      <c r="M14" s="117"/>
      <c r="N14" s="117"/>
      <c r="O14" s="119"/>
      <c r="P14" s="117"/>
      <c r="Q14" s="140" t="str">
        <f aca="false">IF($B14="","",HYPERLINK("#Projects!A"&amp;MATCH($B14,Projects!$A:$A,0),"Open Project"))</f>
        <v/>
      </c>
    </row>
    <row r="15" customFormat="false" ht="30" hidden="false" customHeight="true" outlineLevel="0" collapsed="false">
      <c r="A15" s="137" t="str">
        <f aca="false">IF($B15="","","SM-"&amp;TEXT(ROW()-4,"000"))</f>
        <v/>
      </c>
      <c r="B15" s="118"/>
      <c r="C15" s="138" t="str">
        <f aca="false">IF($B15="","",IFERROR(VLOOKUP($B15,Lists!$A:$H,2,FALSE()),"unknown ID"))</f>
        <v/>
      </c>
      <c r="D15" s="138" t="str">
        <f aca="false">IF($B15="","",IFERROR(VLOOKUP($B15,Lists!$A:$H,3,FALSE()),""))</f>
        <v/>
      </c>
      <c r="E15" s="139" t="str">
        <f aca="false">IF($B15="","","Shane Mattingly")</f>
        <v/>
      </c>
      <c r="F15" s="117"/>
      <c r="G15" s="117"/>
      <c r="H15" s="118"/>
      <c r="I15" s="118"/>
      <c r="J15" s="33"/>
      <c r="K15" s="119"/>
      <c r="L15" s="119"/>
      <c r="M15" s="117"/>
      <c r="N15" s="117"/>
      <c r="O15" s="119"/>
      <c r="P15" s="117"/>
      <c r="Q15" s="140" t="str">
        <f aca="false">IF($B15="","",HYPERLINK("#Projects!A"&amp;MATCH($B15,Projects!$A:$A,0),"Open Project"))</f>
        <v/>
      </c>
    </row>
    <row r="16" customFormat="false" ht="30" hidden="false" customHeight="true" outlineLevel="0" collapsed="false">
      <c r="A16" s="137" t="str">
        <f aca="false">IF($B16="","","SM-"&amp;TEXT(ROW()-4,"000"))</f>
        <v/>
      </c>
      <c r="B16" s="118"/>
      <c r="C16" s="138" t="str">
        <f aca="false">IF($B16="","",IFERROR(VLOOKUP($B16,Lists!$A:$H,2,FALSE()),"unknown ID"))</f>
        <v/>
      </c>
      <c r="D16" s="138" t="str">
        <f aca="false">IF($B16="","",IFERROR(VLOOKUP($B16,Lists!$A:$H,3,FALSE()),""))</f>
        <v/>
      </c>
      <c r="E16" s="139" t="str">
        <f aca="false">IF($B16="","","Shane Mattingly")</f>
        <v/>
      </c>
      <c r="F16" s="117"/>
      <c r="G16" s="117"/>
      <c r="H16" s="118"/>
      <c r="I16" s="118"/>
      <c r="J16" s="33"/>
      <c r="K16" s="119"/>
      <c r="L16" s="119"/>
      <c r="M16" s="117"/>
      <c r="N16" s="117"/>
      <c r="O16" s="119"/>
      <c r="P16" s="117"/>
      <c r="Q16" s="140" t="str">
        <f aca="false">IF($B16="","",HYPERLINK("#Projects!A"&amp;MATCH($B16,Projects!$A:$A,0),"Open Project"))</f>
        <v/>
      </c>
    </row>
    <row r="17" customFormat="false" ht="30" hidden="false" customHeight="true" outlineLevel="0" collapsed="false">
      <c r="A17" s="137" t="str">
        <f aca="false">IF($B17="","","SM-"&amp;TEXT(ROW()-4,"000"))</f>
        <v/>
      </c>
      <c r="B17" s="118"/>
      <c r="C17" s="138" t="str">
        <f aca="false">IF($B17="","",IFERROR(VLOOKUP($B17,Lists!$A:$H,2,FALSE()),"unknown ID"))</f>
        <v/>
      </c>
      <c r="D17" s="138" t="str">
        <f aca="false">IF($B17="","",IFERROR(VLOOKUP($B17,Lists!$A:$H,3,FALSE()),""))</f>
        <v/>
      </c>
      <c r="E17" s="139" t="str">
        <f aca="false">IF($B17="","","Shane Mattingly")</f>
        <v/>
      </c>
      <c r="F17" s="117"/>
      <c r="G17" s="117"/>
      <c r="H17" s="118"/>
      <c r="I17" s="118"/>
      <c r="J17" s="33"/>
      <c r="K17" s="119"/>
      <c r="L17" s="119"/>
      <c r="M17" s="117"/>
      <c r="N17" s="117"/>
      <c r="O17" s="119"/>
      <c r="P17" s="117"/>
      <c r="Q17" s="140" t="str">
        <f aca="false">IF($B17="","",HYPERLINK("#Projects!A"&amp;MATCH($B17,Projects!$A:$A,0),"Open Project"))</f>
        <v/>
      </c>
    </row>
    <row r="18" customFormat="false" ht="30" hidden="false" customHeight="true" outlineLevel="0" collapsed="false">
      <c r="A18" s="137" t="str">
        <f aca="false">IF($B18="","","SM-"&amp;TEXT(ROW()-4,"000"))</f>
        <v/>
      </c>
      <c r="B18" s="118"/>
      <c r="C18" s="138" t="str">
        <f aca="false">IF($B18="","",IFERROR(VLOOKUP($B18,Lists!$A:$H,2,FALSE()),"unknown ID"))</f>
        <v/>
      </c>
      <c r="D18" s="138" t="str">
        <f aca="false">IF($B18="","",IFERROR(VLOOKUP($B18,Lists!$A:$H,3,FALSE()),""))</f>
        <v/>
      </c>
      <c r="E18" s="139" t="str">
        <f aca="false">IF($B18="","","Shane Mattingly")</f>
        <v/>
      </c>
      <c r="F18" s="117"/>
      <c r="G18" s="117"/>
      <c r="H18" s="118"/>
      <c r="I18" s="118"/>
      <c r="J18" s="33"/>
      <c r="K18" s="119"/>
      <c r="L18" s="119"/>
      <c r="M18" s="117"/>
      <c r="N18" s="117"/>
      <c r="O18" s="119"/>
      <c r="P18" s="117"/>
      <c r="Q18" s="140" t="str">
        <f aca="false">IF($B18="","",HYPERLINK("#Projects!A"&amp;MATCH($B18,Projects!$A:$A,0),"Open Project"))</f>
        <v/>
      </c>
    </row>
    <row r="19" customFormat="false" ht="30" hidden="false" customHeight="true" outlineLevel="0" collapsed="false">
      <c r="A19" s="137" t="str">
        <f aca="false">IF($B19="","","SM-"&amp;TEXT(ROW()-4,"000"))</f>
        <v/>
      </c>
      <c r="B19" s="118"/>
      <c r="C19" s="138" t="str">
        <f aca="false">IF($B19="","",IFERROR(VLOOKUP($B19,Lists!$A:$H,2,FALSE()),"unknown ID"))</f>
        <v/>
      </c>
      <c r="D19" s="138" t="str">
        <f aca="false">IF($B19="","",IFERROR(VLOOKUP($B19,Lists!$A:$H,3,FALSE()),""))</f>
        <v/>
      </c>
      <c r="E19" s="139" t="str">
        <f aca="false">IF($B19="","","Shane Mattingly")</f>
        <v/>
      </c>
      <c r="F19" s="117"/>
      <c r="G19" s="117"/>
      <c r="H19" s="118"/>
      <c r="I19" s="118"/>
      <c r="J19" s="33"/>
      <c r="K19" s="119"/>
      <c r="L19" s="119"/>
      <c r="M19" s="117"/>
      <c r="N19" s="117"/>
      <c r="O19" s="119"/>
      <c r="P19" s="117"/>
      <c r="Q19" s="140" t="str">
        <f aca="false">IF($B19="","",HYPERLINK("#Projects!A"&amp;MATCH($B19,Projects!$A:$A,0),"Open Project"))</f>
        <v/>
      </c>
    </row>
    <row r="20" customFormat="false" ht="30" hidden="false" customHeight="true" outlineLevel="0" collapsed="false">
      <c r="A20" s="137" t="str">
        <f aca="false">IF($B20="","","SM-"&amp;TEXT(ROW()-4,"000"))</f>
        <v/>
      </c>
      <c r="B20" s="118"/>
      <c r="C20" s="138" t="str">
        <f aca="false">IF($B20="","",IFERROR(VLOOKUP($B20,Lists!$A:$H,2,FALSE()),"unknown ID"))</f>
        <v/>
      </c>
      <c r="D20" s="138" t="str">
        <f aca="false">IF($B20="","",IFERROR(VLOOKUP($B20,Lists!$A:$H,3,FALSE()),""))</f>
        <v/>
      </c>
      <c r="E20" s="139" t="str">
        <f aca="false">IF($B20="","","Shane Mattingly")</f>
        <v/>
      </c>
      <c r="F20" s="117"/>
      <c r="G20" s="117"/>
      <c r="H20" s="118"/>
      <c r="I20" s="118"/>
      <c r="J20" s="33"/>
      <c r="K20" s="119"/>
      <c r="L20" s="119"/>
      <c r="M20" s="117"/>
      <c r="N20" s="117"/>
      <c r="O20" s="119"/>
      <c r="P20" s="117"/>
      <c r="Q20" s="140" t="str">
        <f aca="false">IF($B20="","",HYPERLINK("#Projects!A"&amp;MATCH($B20,Projects!$A:$A,0),"Open Project"))</f>
        <v/>
      </c>
    </row>
    <row r="21" customFormat="false" ht="30" hidden="false" customHeight="true" outlineLevel="0" collapsed="false">
      <c r="A21" s="137" t="str">
        <f aca="false">IF($B21="","","SM-"&amp;TEXT(ROW()-4,"000"))</f>
        <v/>
      </c>
      <c r="B21" s="118"/>
      <c r="C21" s="138" t="str">
        <f aca="false">IF($B21="","",IFERROR(VLOOKUP($B21,Lists!$A:$H,2,FALSE()),"unknown ID"))</f>
        <v/>
      </c>
      <c r="D21" s="138" t="str">
        <f aca="false">IF($B21="","",IFERROR(VLOOKUP($B21,Lists!$A:$H,3,FALSE()),""))</f>
        <v/>
      </c>
      <c r="E21" s="139" t="str">
        <f aca="false">IF($B21="","","Shane Mattingly")</f>
        <v/>
      </c>
      <c r="F21" s="117"/>
      <c r="G21" s="117"/>
      <c r="H21" s="118"/>
      <c r="I21" s="118"/>
      <c r="J21" s="33"/>
      <c r="K21" s="119"/>
      <c r="L21" s="119"/>
      <c r="M21" s="117"/>
      <c r="N21" s="117"/>
      <c r="O21" s="119"/>
      <c r="P21" s="117"/>
      <c r="Q21" s="140" t="str">
        <f aca="false">IF($B21="","",HYPERLINK("#Projects!A"&amp;MATCH($B21,Projects!$A:$A,0),"Open Project"))</f>
        <v/>
      </c>
    </row>
    <row r="22" customFormat="false" ht="30" hidden="false" customHeight="true" outlineLevel="0" collapsed="false">
      <c r="A22" s="137" t="str">
        <f aca="false">IF($B22="","","SM-"&amp;TEXT(ROW()-4,"000"))</f>
        <v/>
      </c>
      <c r="B22" s="118"/>
      <c r="C22" s="138" t="str">
        <f aca="false">IF($B22="","",IFERROR(VLOOKUP($B22,Lists!$A:$H,2,FALSE()),"unknown ID"))</f>
        <v/>
      </c>
      <c r="D22" s="138" t="str">
        <f aca="false">IF($B22="","",IFERROR(VLOOKUP($B22,Lists!$A:$H,3,FALSE()),""))</f>
        <v/>
      </c>
      <c r="E22" s="139" t="str">
        <f aca="false">IF($B22="","","Shane Mattingly")</f>
        <v/>
      </c>
      <c r="F22" s="117"/>
      <c r="G22" s="117"/>
      <c r="H22" s="118"/>
      <c r="I22" s="118"/>
      <c r="J22" s="33"/>
      <c r="K22" s="119"/>
      <c r="L22" s="119"/>
      <c r="M22" s="117"/>
      <c r="N22" s="117"/>
      <c r="O22" s="119"/>
      <c r="P22" s="117"/>
      <c r="Q22" s="140" t="str">
        <f aca="false">IF($B22="","",HYPERLINK("#Projects!A"&amp;MATCH($B22,Projects!$A:$A,0),"Open Project"))</f>
        <v/>
      </c>
    </row>
    <row r="23" customFormat="false" ht="30" hidden="false" customHeight="true" outlineLevel="0" collapsed="false">
      <c r="A23" s="137" t="str">
        <f aca="false">IF($B23="","","SM-"&amp;TEXT(ROW()-4,"000"))</f>
        <v/>
      </c>
      <c r="B23" s="118"/>
      <c r="C23" s="138" t="str">
        <f aca="false">IF($B23="","",IFERROR(VLOOKUP($B23,Lists!$A:$H,2,FALSE()),"unknown ID"))</f>
        <v/>
      </c>
      <c r="D23" s="138" t="str">
        <f aca="false">IF($B23="","",IFERROR(VLOOKUP($B23,Lists!$A:$H,3,FALSE()),""))</f>
        <v/>
      </c>
      <c r="E23" s="139" t="str">
        <f aca="false">IF($B23="","","Shane Mattingly")</f>
        <v/>
      </c>
      <c r="F23" s="117"/>
      <c r="G23" s="117"/>
      <c r="H23" s="118"/>
      <c r="I23" s="118"/>
      <c r="J23" s="33"/>
      <c r="K23" s="119"/>
      <c r="L23" s="119"/>
      <c r="M23" s="117"/>
      <c r="N23" s="117"/>
      <c r="O23" s="119"/>
      <c r="P23" s="117"/>
      <c r="Q23" s="140" t="str">
        <f aca="false">IF($B23="","",HYPERLINK("#Projects!A"&amp;MATCH($B23,Projects!$A:$A,0),"Open Project"))</f>
        <v/>
      </c>
    </row>
    <row r="24" customFormat="false" ht="30" hidden="false" customHeight="true" outlineLevel="0" collapsed="false">
      <c r="A24" s="137" t="str">
        <f aca="false">IF($B24="","","SM-"&amp;TEXT(ROW()-4,"000"))</f>
        <v/>
      </c>
      <c r="B24" s="118"/>
      <c r="C24" s="138" t="str">
        <f aca="false">IF($B24="","",IFERROR(VLOOKUP($B24,Lists!$A:$H,2,FALSE()),"unknown ID"))</f>
        <v/>
      </c>
      <c r="D24" s="138" t="str">
        <f aca="false">IF($B24="","",IFERROR(VLOOKUP($B24,Lists!$A:$H,3,FALSE()),""))</f>
        <v/>
      </c>
      <c r="E24" s="139" t="str">
        <f aca="false">IF($B24="","","Shane Mattingly")</f>
        <v/>
      </c>
      <c r="F24" s="117"/>
      <c r="G24" s="117"/>
      <c r="H24" s="118"/>
      <c r="I24" s="118"/>
      <c r="J24" s="33"/>
      <c r="K24" s="119"/>
      <c r="L24" s="119"/>
      <c r="M24" s="117"/>
      <c r="N24" s="117"/>
      <c r="O24" s="119"/>
      <c r="P24" s="117"/>
      <c r="Q24" s="140" t="str">
        <f aca="false">IF($B24="","",HYPERLINK("#Projects!A"&amp;MATCH($B24,Projects!$A:$A,0),"Open Project"))</f>
        <v/>
      </c>
    </row>
    <row r="25" customFormat="false" ht="30" hidden="false" customHeight="true" outlineLevel="0" collapsed="false">
      <c r="A25" s="137" t="str">
        <f aca="false">IF($B25="","","SM-"&amp;TEXT(ROW()-4,"000"))</f>
        <v/>
      </c>
      <c r="B25" s="118"/>
      <c r="C25" s="138" t="str">
        <f aca="false">IF($B25="","",IFERROR(VLOOKUP($B25,Lists!$A:$H,2,FALSE()),"unknown ID"))</f>
        <v/>
      </c>
      <c r="D25" s="138" t="str">
        <f aca="false">IF($B25="","",IFERROR(VLOOKUP($B25,Lists!$A:$H,3,FALSE()),""))</f>
        <v/>
      </c>
      <c r="E25" s="139" t="str">
        <f aca="false">IF($B25="","","Shane Mattingly")</f>
        <v/>
      </c>
      <c r="F25" s="117"/>
      <c r="G25" s="117"/>
      <c r="H25" s="118"/>
      <c r="I25" s="118"/>
      <c r="J25" s="33"/>
      <c r="K25" s="119"/>
      <c r="L25" s="119"/>
      <c r="M25" s="117"/>
      <c r="N25" s="117"/>
      <c r="O25" s="119"/>
      <c r="P25" s="117"/>
      <c r="Q25" s="140" t="str">
        <f aca="false">IF($B25="","",HYPERLINK("#Projects!A"&amp;MATCH($B25,Projects!$A:$A,0),"Open Project"))</f>
        <v/>
      </c>
    </row>
    <row r="26" customFormat="false" ht="30" hidden="false" customHeight="true" outlineLevel="0" collapsed="false">
      <c r="A26" s="137" t="str">
        <f aca="false">IF($B26="","","SM-"&amp;TEXT(ROW()-4,"000"))</f>
        <v/>
      </c>
      <c r="B26" s="118"/>
      <c r="C26" s="138" t="str">
        <f aca="false">IF($B26="","",IFERROR(VLOOKUP($B26,Lists!$A:$H,2,FALSE()),"unknown ID"))</f>
        <v/>
      </c>
      <c r="D26" s="138" t="str">
        <f aca="false">IF($B26="","",IFERROR(VLOOKUP($B26,Lists!$A:$H,3,FALSE()),""))</f>
        <v/>
      </c>
      <c r="E26" s="139" t="str">
        <f aca="false">IF($B26="","","Shane Mattingly")</f>
        <v/>
      </c>
      <c r="F26" s="117"/>
      <c r="G26" s="117"/>
      <c r="H26" s="118"/>
      <c r="I26" s="118"/>
      <c r="J26" s="33"/>
      <c r="K26" s="119"/>
      <c r="L26" s="119"/>
      <c r="M26" s="117"/>
      <c r="N26" s="117"/>
      <c r="O26" s="119"/>
      <c r="P26" s="117"/>
      <c r="Q26" s="140" t="str">
        <f aca="false">IF($B26="","",HYPERLINK("#Projects!A"&amp;MATCH($B26,Projects!$A:$A,0),"Open Project"))</f>
        <v/>
      </c>
    </row>
    <row r="27" customFormat="false" ht="30" hidden="false" customHeight="true" outlineLevel="0" collapsed="false">
      <c r="A27" s="137" t="str">
        <f aca="false">IF($B27="","","SM-"&amp;TEXT(ROW()-4,"000"))</f>
        <v/>
      </c>
      <c r="B27" s="118"/>
      <c r="C27" s="138" t="str">
        <f aca="false">IF($B27="","",IFERROR(VLOOKUP($B27,Lists!$A:$H,2,FALSE()),"unknown ID"))</f>
        <v/>
      </c>
      <c r="D27" s="138" t="str">
        <f aca="false">IF($B27="","",IFERROR(VLOOKUP($B27,Lists!$A:$H,3,FALSE()),""))</f>
        <v/>
      </c>
      <c r="E27" s="139" t="str">
        <f aca="false">IF($B27="","","Shane Mattingly")</f>
        <v/>
      </c>
      <c r="F27" s="117"/>
      <c r="G27" s="117"/>
      <c r="H27" s="118"/>
      <c r="I27" s="118"/>
      <c r="J27" s="33"/>
      <c r="K27" s="119"/>
      <c r="L27" s="119"/>
      <c r="M27" s="117"/>
      <c r="N27" s="117"/>
      <c r="O27" s="119"/>
      <c r="P27" s="117"/>
      <c r="Q27" s="140" t="str">
        <f aca="false">IF($B27="","",HYPERLINK("#Projects!A"&amp;MATCH($B27,Projects!$A:$A,0),"Open Project"))</f>
        <v/>
      </c>
    </row>
    <row r="28" customFormat="false" ht="30" hidden="false" customHeight="true" outlineLevel="0" collapsed="false">
      <c r="A28" s="137" t="str">
        <f aca="false">IF($B28="","","SM-"&amp;TEXT(ROW()-4,"000"))</f>
        <v/>
      </c>
      <c r="B28" s="118"/>
      <c r="C28" s="138" t="str">
        <f aca="false">IF($B28="","",IFERROR(VLOOKUP($B28,Lists!$A:$H,2,FALSE()),"unknown ID"))</f>
        <v/>
      </c>
      <c r="D28" s="138" t="str">
        <f aca="false">IF($B28="","",IFERROR(VLOOKUP($B28,Lists!$A:$H,3,FALSE()),""))</f>
        <v/>
      </c>
      <c r="E28" s="139" t="str">
        <f aca="false">IF($B28="","","Shane Mattingly")</f>
        <v/>
      </c>
      <c r="F28" s="117"/>
      <c r="G28" s="117"/>
      <c r="H28" s="118"/>
      <c r="I28" s="118"/>
      <c r="J28" s="33"/>
      <c r="K28" s="119"/>
      <c r="L28" s="119"/>
      <c r="M28" s="117"/>
      <c r="N28" s="117"/>
      <c r="O28" s="119"/>
      <c r="P28" s="117"/>
      <c r="Q28" s="140" t="str">
        <f aca="false">IF($B28="","",HYPERLINK("#Projects!A"&amp;MATCH($B28,Projects!$A:$A,0),"Open Project"))</f>
        <v/>
      </c>
    </row>
    <row r="29" customFormat="false" ht="30" hidden="false" customHeight="true" outlineLevel="0" collapsed="false">
      <c r="A29" s="137" t="str">
        <f aca="false">IF($B29="","","SM-"&amp;TEXT(ROW()-4,"000"))</f>
        <v/>
      </c>
      <c r="B29" s="118"/>
      <c r="C29" s="138" t="str">
        <f aca="false">IF($B29="","",IFERROR(VLOOKUP($B29,Lists!$A:$H,2,FALSE()),"unknown ID"))</f>
        <v/>
      </c>
      <c r="D29" s="138" t="str">
        <f aca="false">IF($B29="","",IFERROR(VLOOKUP($B29,Lists!$A:$H,3,FALSE()),""))</f>
        <v/>
      </c>
      <c r="E29" s="139" t="str">
        <f aca="false">IF($B29="","","Shane Mattingly")</f>
        <v/>
      </c>
      <c r="F29" s="117"/>
      <c r="G29" s="117"/>
      <c r="H29" s="118"/>
      <c r="I29" s="118"/>
      <c r="J29" s="33"/>
      <c r="K29" s="119"/>
      <c r="L29" s="119"/>
      <c r="M29" s="117"/>
      <c r="N29" s="117"/>
      <c r="O29" s="119"/>
      <c r="P29" s="117"/>
      <c r="Q29" s="140" t="str">
        <f aca="false">IF($B29="","",HYPERLINK("#Projects!A"&amp;MATCH($B29,Projects!$A:$A,0),"Open Project"))</f>
        <v/>
      </c>
    </row>
    <row r="30" customFormat="false" ht="30" hidden="false" customHeight="true" outlineLevel="0" collapsed="false">
      <c r="A30" s="137" t="str">
        <f aca="false">IF($B30="","","SM-"&amp;TEXT(ROW()-4,"000"))</f>
        <v/>
      </c>
      <c r="B30" s="118"/>
      <c r="C30" s="138" t="str">
        <f aca="false">IF($B30="","",IFERROR(VLOOKUP($B30,Lists!$A:$H,2,FALSE()),"unknown ID"))</f>
        <v/>
      </c>
      <c r="D30" s="138" t="str">
        <f aca="false">IF($B30="","",IFERROR(VLOOKUP($B30,Lists!$A:$H,3,FALSE()),""))</f>
        <v/>
      </c>
      <c r="E30" s="139" t="str">
        <f aca="false">IF($B30="","","Shane Mattingly")</f>
        <v/>
      </c>
      <c r="F30" s="117"/>
      <c r="G30" s="117"/>
      <c r="H30" s="118"/>
      <c r="I30" s="118"/>
      <c r="J30" s="33"/>
      <c r="K30" s="119"/>
      <c r="L30" s="119"/>
      <c r="M30" s="117"/>
      <c r="N30" s="117"/>
      <c r="O30" s="119"/>
      <c r="P30" s="117"/>
      <c r="Q30" s="140" t="str">
        <f aca="false">IF($B30="","",HYPERLINK("#Projects!A"&amp;MATCH($B30,Projects!$A:$A,0),"Open Project"))</f>
        <v/>
      </c>
    </row>
    <row r="31" customFormat="false" ht="30" hidden="false" customHeight="true" outlineLevel="0" collapsed="false">
      <c r="A31" s="137" t="str">
        <f aca="false">IF($B31="","","SM-"&amp;TEXT(ROW()-4,"000"))</f>
        <v/>
      </c>
      <c r="B31" s="118"/>
      <c r="C31" s="138" t="str">
        <f aca="false">IF($B31="","",IFERROR(VLOOKUP($B31,Lists!$A:$H,2,FALSE()),"unknown ID"))</f>
        <v/>
      </c>
      <c r="D31" s="138" t="str">
        <f aca="false">IF($B31="","",IFERROR(VLOOKUP($B31,Lists!$A:$H,3,FALSE()),""))</f>
        <v/>
      </c>
      <c r="E31" s="139" t="str">
        <f aca="false">IF($B31="","","Shane Mattingly")</f>
        <v/>
      </c>
      <c r="F31" s="117"/>
      <c r="G31" s="117"/>
      <c r="H31" s="118"/>
      <c r="I31" s="118"/>
      <c r="J31" s="33"/>
      <c r="K31" s="119"/>
      <c r="L31" s="119"/>
      <c r="M31" s="117"/>
      <c r="N31" s="117"/>
      <c r="O31" s="119"/>
      <c r="P31" s="117"/>
      <c r="Q31" s="140" t="str">
        <f aca="false">IF($B31="","",HYPERLINK("#Projects!A"&amp;MATCH($B31,Projects!$A:$A,0),"Open Project"))</f>
        <v/>
      </c>
    </row>
    <row r="32" customFormat="false" ht="30" hidden="false" customHeight="true" outlineLevel="0" collapsed="false">
      <c r="A32" s="137" t="str">
        <f aca="false">IF($B32="","","SM-"&amp;TEXT(ROW()-4,"000"))</f>
        <v/>
      </c>
      <c r="B32" s="118"/>
      <c r="C32" s="138" t="str">
        <f aca="false">IF($B32="","",IFERROR(VLOOKUP($B32,Lists!$A:$H,2,FALSE()),"unknown ID"))</f>
        <v/>
      </c>
      <c r="D32" s="138" t="str">
        <f aca="false">IF($B32="","",IFERROR(VLOOKUP($B32,Lists!$A:$H,3,FALSE()),""))</f>
        <v/>
      </c>
      <c r="E32" s="139" t="str">
        <f aca="false">IF($B32="","","Shane Mattingly")</f>
        <v/>
      </c>
      <c r="F32" s="117"/>
      <c r="G32" s="117"/>
      <c r="H32" s="118"/>
      <c r="I32" s="118"/>
      <c r="J32" s="33"/>
      <c r="K32" s="119"/>
      <c r="L32" s="119"/>
      <c r="M32" s="117"/>
      <c r="N32" s="117"/>
      <c r="O32" s="119"/>
      <c r="P32" s="117"/>
      <c r="Q32" s="140" t="str">
        <f aca="false">IF($B32="","",HYPERLINK("#Projects!A"&amp;MATCH($B32,Projects!$A:$A,0),"Open Project"))</f>
        <v/>
      </c>
    </row>
    <row r="33" customFormat="false" ht="30" hidden="false" customHeight="true" outlineLevel="0" collapsed="false">
      <c r="A33" s="137" t="str">
        <f aca="false">IF($B33="","","SM-"&amp;TEXT(ROW()-4,"000"))</f>
        <v/>
      </c>
      <c r="B33" s="118"/>
      <c r="C33" s="138" t="str">
        <f aca="false">IF($B33="","",IFERROR(VLOOKUP($B33,Lists!$A:$H,2,FALSE()),"unknown ID"))</f>
        <v/>
      </c>
      <c r="D33" s="138" t="str">
        <f aca="false">IF($B33="","",IFERROR(VLOOKUP($B33,Lists!$A:$H,3,FALSE()),""))</f>
        <v/>
      </c>
      <c r="E33" s="139" t="str">
        <f aca="false">IF($B33="","","Shane Mattingly")</f>
        <v/>
      </c>
      <c r="F33" s="117"/>
      <c r="G33" s="117"/>
      <c r="H33" s="118"/>
      <c r="I33" s="118"/>
      <c r="J33" s="33"/>
      <c r="K33" s="119"/>
      <c r="L33" s="119"/>
      <c r="M33" s="117"/>
      <c r="N33" s="117"/>
      <c r="O33" s="119"/>
      <c r="P33" s="117"/>
      <c r="Q33" s="140" t="str">
        <f aca="false">IF($B33="","",HYPERLINK("#Projects!A"&amp;MATCH($B33,Projects!$A:$A,0),"Open Project"))</f>
        <v/>
      </c>
    </row>
    <row r="34" customFormat="false" ht="30" hidden="false" customHeight="true" outlineLevel="0" collapsed="false">
      <c r="A34" s="137" t="str">
        <f aca="false">IF($B34="","","SM-"&amp;TEXT(ROW()-4,"000"))</f>
        <v/>
      </c>
      <c r="B34" s="118"/>
      <c r="C34" s="138" t="str">
        <f aca="false">IF($B34="","",IFERROR(VLOOKUP($B34,Lists!$A:$H,2,FALSE()),"unknown ID"))</f>
        <v/>
      </c>
      <c r="D34" s="138" t="str">
        <f aca="false">IF($B34="","",IFERROR(VLOOKUP($B34,Lists!$A:$H,3,FALSE()),""))</f>
        <v/>
      </c>
      <c r="E34" s="139" t="str">
        <f aca="false">IF($B34="","","Shane Mattingly")</f>
        <v/>
      </c>
      <c r="F34" s="117"/>
      <c r="G34" s="117"/>
      <c r="H34" s="118"/>
      <c r="I34" s="118"/>
      <c r="J34" s="33"/>
      <c r="K34" s="119"/>
      <c r="L34" s="119"/>
      <c r="M34" s="117"/>
      <c r="N34" s="117"/>
      <c r="O34" s="119"/>
      <c r="P34" s="117"/>
      <c r="Q34" s="140" t="str">
        <f aca="false">IF($B34="","",HYPERLINK("#Projects!A"&amp;MATCH($B34,Projects!$A:$A,0),"Open Project"))</f>
        <v/>
      </c>
    </row>
    <row r="35" customFormat="false" ht="30" hidden="false" customHeight="true" outlineLevel="0" collapsed="false">
      <c r="A35" s="137" t="str">
        <f aca="false">IF($B35="","","SM-"&amp;TEXT(ROW()-4,"000"))</f>
        <v/>
      </c>
      <c r="B35" s="118"/>
      <c r="C35" s="138" t="str">
        <f aca="false">IF($B35="","",IFERROR(VLOOKUP($B35,Lists!$A:$H,2,FALSE()),"unknown ID"))</f>
        <v/>
      </c>
      <c r="D35" s="138" t="str">
        <f aca="false">IF($B35="","",IFERROR(VLOOKUP($B35,Lists!$A:$H,3,FALSE()),""))</f>
        <v/>
      </c>
      <c r="E35" s="139" t="str">
        <f aca="false">IF($B35="","","Shane Mattingly")</f>
        <v/>
      </c>
      <c r="F35" s="117"/>
      <c r="G35" s="117"/>
      <c r="H35" s="118"/>
      <c r="I35" s="118"/>
      <c r="J35" s="33"/>
      <c r="K35" s="119"/>
      <c r="L35" s="119"/>
      <c r="M35" s="117"/>
      <c r="N35" s="117"/>
      <c r="O35" s="119"/>
      <c r="P35" s="117"/>
      <c r="Q35" s="140" t="str">
        <f aca="false">IF($B35="","",HYPERLINK("#Projects!A"&amp;MATCH($B35,Projects!$A:$A,0),"Open Project"))</f>
        <v/>
      </c>
    </row>
    <row r="36" customFormat="false" ht="30" hidden="false" customHeight="true" outlineLevel="0" collapsed="false">
      <c r="A36" s="137" t="str">
        <f aca="false">IF($B36="","","SM-"&amp;TEXT(ROW()-4,"000"))</f>
        <v/>
      </c>
      <c r="B36" s="118"/>
      <c r="C36" s="138" t="str">
        <f aca="false">IF($B36="","",IFERROR(VLOOKUP($B36,Lists!$A:$H,2,FALSE()),"unknown ID"))</f>
        <v/>
      </c>
      <c r="D36" s="138" t="str">
        <f aca="false">IF($B36="","",IFERROR(VLOOKUP($B36,Lists!$A:$H,3,FALSE()),""))</f>
        <v/>
      </c>
      <c r="E36" s="139" t="str">
        <f aca="false">IF($B36="","","Shane Mattingly")</f>
        <v/>
      </c>
      <c r="F36" s="117"/>
      <c r="G36" s="117"/>
      <c r="H36" s="118"/>
      <c r="I36" s="118"/>
      <c r="J36" s="33"/>
      <c r="K36" s="119"/>
      <c r="L36" s="119"/>
      <c r="M36" s="117"/>
      <c r="N36" s="117"/>
      <c r="O36" s="119"/>
      <c r="P36" s="117"/>
      <c r="Q36" s="140" t="str">
        <f aca="false">IF($B36="","",HYPERLINK("#Projects!A"&amp;MATCH($B36,Projects!$A:$A,0),"Open Project"))</f>
        <v/>
      </c>
    </row>
    <row r="37" customFormat="false" ht="30" hidden="false" customHeight="true" outlineLevel="0" collapsed="false">
      <c r="A37" s="137" t="str">
        <f aca="false">IF($B37="","","SM-"&amp;TEXT(ROW()-4,"000"))</f>
        <v/>
      </c>
      <c r="B37" s="118"/>
      <c r="C37" s="138" t="str">
        <f aca="false">IF($B37="","",IFERROR(VLOOKUP($B37,Lists!$A:$H,2,FALSE()),"unknown ID"))</f>
        <v/>
      </c>
      <c r="D37" s="138" t="str">
        <f aca="false">IF($B37="","",IFERROR(VLOOKUP($B37,Lists!$A:$H,3,FALSE()),""))</f>
        <v/>
      </c>
      <c r="E37" s="139" t="str">
        <f aca="false">IF($B37="","","Shane Mattingly")</f>
        <v/>
      </c>
      <c r="F37" s="117"/>
      <c r="G37" s="117"/>
      <c r="H37" s="118"/>
      <c r="I37" s="118"/>
      <c r="J37" s="33"/>
      <c r="K37" s="119"/>
      <c r="L37" s="119"/>
      <c r="M37" s="117"/>
      <c r="N37" s="117"/>
      <c r="O37" s="119"/>
      <c r="P37" s="117"/>
      <c r="Q37" s="140" t="str">
        <f aca="false">IF($B37="","",HYPERLINK("#Projects!A"&amp;MATCH($B37,Projects!$A:$A,0),"Open Project"))</f>
        <v/>
      </c>
    </row>
    <row r="38" customFormat="false" ht="30" hidden="false" customHeight="true" outlineLevel="0" collapsed="false">
      <c r="A38" s="137" t="str">
        <f aca="false">IF($B38="","","SM-"&amp;TEXT(ROW()-4,"000"))</f>
        <v/>
      </c>
      <c r="B38" s="118"/>
      <c r="C38" s="138" t="str">
        <f aca="false">IF($B38="","",IFERROR(VLOOKUP($B38,Lists!$A:$H,2,FALSE()),"unknown ID"))</f>
        <v/>
      </c>
      <c r="D38" s="138" t="str">
        <f aca="false">IF($B38="","",IFERROR(VLOOKUP($B38,Lists!$A:$H,3,FALSE()),""))</f>
        <v/>
      </c>
      <c r="E38" s="139" t="str">
        <f aca="false">IF($B38="","","Shane Mattingly")</f>
        <v/>
      </c>
      <c r="F38" s="117"/>
      <c r="G38" s="117"/>
      <c r="H38" s="118"/>
      <c r="I38" s="118"/>
      <c r="J38" s="33"/>
      <c r="K38" s="119"/>
      <c r="L38" s="119"/>
      <c r="M38" s="117"/>
      <c r="N38" s="117"/>
      <c r="O38" s="119"/>
      <c r="P38" s="117"/>
      <c r="Q38" s="140" t="str">
        <f aca="false">IF($B38="","",HYPERLINK("#Projects!A"&amp;MATCH($B38,Projects!$A:$A,0),"Open Project"))</f>
        <v/>
      </c>
    </row>
    <row r="39" customFormat="false" ht="30" hidden="false" customHeight="true" outlineLevel="0" collapsed="false">
      <c r="A39" s="137" t="str">
        <f aca="false">IF($B39="","","SM-"&amp;TEXT(ROW()-4,"000"))</f>
        <v/>
      </c>
      <c r="B39" s="118"/>
      <c r="C39" s="138" t="str">
        <f aca="false">IF($B39="","",IFERROR(VLOOKUP($B39,Lists!$A:$H,2,FALSE()),"unknown ID"))</f>
        <v/>
      </c>
      <c r="D39" s="138" t="str">
        <f aca="false">IF($B39="","",IFERROR(VLOOKUP($B39,Lists!$A:$H,3,FALSE()),""))</f>
        <v/>
      </c>
      <c r="E39" s="139" t="str">
        <f aca="false">IF($B39="","","Shane Mattingly")</f>
        <v/>
      </c>
      <c r="F39" s="117"/>
      <c r="G39" s="117"/>
      <c r="H39" s="118"/>
      <c r="I39" s="118"/>
      <c r="J39" s="33"/>
      <c r="K39" s="119"/>
      <c r="L39" s="119"/>
      <c r="M39" s="117"/>
      <c r="N39" s="117"/>
      <c r="O39" s="119"/>
      <c r="P39" s="117"/>
      <c r="Q39" s="140" t="str">
        <f aca="false">IF($B39="","",HYPERLINK("#Projects!A"&amp;MATCH($B39,Projects!$A:$A,0),"Open Project"))</f>
        <v/>
      </c>
    </row>
    <row r="40" customFormat="false" ht="30" hidden="false" customHeight="true" outlineLevel="0" collapsed="false">
      <c r="A40" s="137" t="str">
        <f aca="false">IF($B40="","","SM-"&amp;TEXT(ROW()-4,"000"))</f>
        <v/>
      </c>
      <c r="B40" s="118"/>
      <c r="C40" s="138" t="str">
        <f aca="false">IF($B40="","",IFERROR(VLOOKUP($B40,Lists!$A:$H,2,FALSE()),"unknown ID"))</f>
        <v/>
      </c>
      <c r="D40" s="138" t="str">
        <f aca="false">IF($B40="","",IFERROR(VLOOKUP($B40,Lists!$A:$H,3,FALSE()),""))</f>
        <v/>
      </c>
      <c r="E40" s="139" t="str">
        <f aca="false">IF($B40="","","Shane Mattingly")</f>
        <v/>
      </c>
      <c r="F40" s="117"/>
      <c r="G40" s="117"/>
      <c r="H40" s="118"/>
      <c r="I40" s="118"/>
      <c r="J40" s="33"/>
      <c r="K40" s="119"/>
      <c r="L40" s="119"/>
      <c r="M40" s="117"/>
      <c r="N40" s="117"/>
      <c r="O40" s="119"/>
      <c r="P40" s="117"/>
      <c r="Q40" s="140" t="str">
        <f aca="false">IF($B40="","",HYPERLINK("#Projects!A"&amp;MATCH($B40,Projects!$A:$A,0),"Open Project"))</f>
        <v/>
      </c>
    </row>
    <row r="41" customFormat="false" ht="30" hidden="false" customHeight="true" outlineLevel="0" collapsed="false">
      <c r="A41" s="137" t="str">
        <f aca="false">IF($B41="","","SM-"&amp;TEXT(ROW()-4,"000"))</f>
        <v/>
      </c>
      <c r="B41" s="118"/>
      <c r="C41" s="138" t="str">
        <f aca="false">IF($B41="","",IFERROR(VLOOKUP($B41,Lists!$A:$H,2,FALSE()),"unknown ID"))</f>
        <v/>
      </c>
      <c r="D41" s="138" t="str">
        <f aca="false">IF($B41="","",IFERROR(VLOOKUP($B41,Lists!$A:$H,3,FALSE()),""))</f>
        <v/>
      </c>
      <c r="E41" s="139" t="str">
        <f aca="false">IF($B41="","","Shane Mattingly")</f>
        <v/>
      </c>
      <c r="F41" s="117"/>
      <c r="G41" s="117"/>
      <c r="H41" s="118"/>
      <c r="I41" s="118"/>
      <c r="J41" s="33"/>
      <c r="K41" s="119"/>
      <c r="L41" s="119"/>
      <c r="M41" s="117"/>
      <c r="N41" s="117"/>
      <c r="O41" s="119"/>
      <c r="P41" s="117"/>
      <c r="Q41" s="140" t="str">
        <f aca="false">IF($B41="","",HYPERLINK("#Projects!A"&amp;MATCH($B41,Projects!$A:$A,0),"Open Project"))</f>
        <v/>
      </c>
    </row>
    <row r="42" customFormat="false" ht="30" hidden="false" customHeight="true" outlineLevel="0" collapsed="false">
      <c r="A42" s="137" t="str">
        <f aca="false">IF($B42="","","SM-"&amp;TEXT(ROW()-4,"000"))</f>
        <v/>
      </c>
      <c r="B42" s="118"/>
      <c r="C42" s="138" t="str">
        <f aca="false">IF($B42="","",IFERROR(VLOOKUP($B42,Lists!$A:$H,2,FALSE()),"unknown ID"))</f>
        <v/>
      </c>
      <c r="D42" s="138" t="str">
        <f aca="false">IF($B42="","",IFERROR(VLOOKUP($B42,Lists!$A:$H,3,FALSE()),""))</f>
        <v/>
      </c>
      <c r="E42" s="139" t="str">
        <f aca="false">IF($B42="","","Shane Mattingly")</f>
        <v/>
      </c>
      <c r="F42" s="117"/>
      <c r="G42" s="117"/>
      <c r="H42" s="118"/>
      <c r="I42" s="118"/>
      <c r="J42" s="33"/>
      <c r="K42" s="119"/>
      <c r="L42" s="119"/>
      <c r="M42" s="117"/>
      <c r="N42" s="117"/>
      <c r="O42" s="119"/>
      <c r="P42" s="117"/>
      <c r="Q42" s="140" t="str">
        <f aca="false">IF($B42="","",HYPERLINK("#Projects!A"&amp;MATCH($B42,Projects!$A:$A,0),"Open Project"))</f>
        <v/>
      </c>
    </row>
    <row r="43" customFormat="false" ht="30" hidden="false" customHeight="true" outlineLevel="0" collapsed="false">
      <c r="A43" s="137" t="str">
        <f aca="false">IF($B43="","","SM-"&amp;TEXT(ROW()-4,"000"))</f>
        <v/>
      </c>
      <c r="B43" s="118"/>
      <c r="C43" s="138" t="str">
        <f aca="false">IF($B43="","",IFERROR(VLOOKUP($B43,Lists!$A:$H,2,FALSE()),"unknown ID"))</f>
        <v/>
      </c>
      <c r="D43" s="138" t="str">
        <f aca="false">IF($B43="","",IFERROR(VLOOKUP($B43,Lists!$A:$H,3,FALSE()),""))</f>
        <v/>
      </c>
      <c r="E43" s="139" t="str">
        <f aca="false">IF($B43="","","Shane Mattingly")</f>
        <v/>
      </c>
      <c r="F43" s="117"/>
      <c r="G43" s="117"/>
      <c r="H43" s="118"/>
      <c r="I43" s="118"/>
      <c r="J43" s="33"/>
      <c r="K43" s="119"/>
      <c r="L43" s="119"/>
      <c r="M43" s="117"/>
      <c r="N43" s="117"/>
      <c r="O43" s="119"/>
      <c r="P43" s="117"/>
      <c r="Q43" s="140" t="str">
        <f aca="false">IF($B43="","",HYPERLINK("#Projects!A"&amp;MATCH($B43,Projects!$A:$A,0),"Open Project"))</f>
        <v/>
      </c>
    </row>
    <row r="44" customFormat="false" ht="30" hidden="false" customHeight="true" outlineLevel="0" collapsed="false">
      <c r="A44" s="137" t="str">
        <f aca="false">IF($B44="","","SM-"&amp;TEXT(ROW()-4,"000"))</f>
        <v/>
      </c>
      <c r="B44" s="118"/>
      <c r="C44" s="138" t="str">
        <f aca="false">IF($B44="","",IFERROR(VLOOKUP($B44,Lists!$A:$H,2,FALSE()),"unknown ID"))</f>
        <v/>
      </c>
      <c r="D44" s="138" t="str">
        <f aca="false">IF($B44="","",IFERROR(VLOOKUP($B44,Lists!$A:$H,3,FALSE()),""))</f>
        <v/>
      </c>
      <c r="E44" s="139" t="str">
        <f aca="false">IF($B44="","","Shane Mattingly")</f>
        <v/>
      </c>
      <c r="F44" s="117"/>
      <c r="G44" s="117"/>
      <c r="H44" s="118"/>
      <c r="I44" s="118"/>
      <c r="J44" s="33"/>
      <c r="K44" s="119"/>
      <c r="L44" s="119"/>
      <c r="M44" s="117"/>
      <c r="N44" s="117"/>
      <c r="O44" s="119"/>
      <c r="P44" s="117"/>
      <c r="Q44" s="140" t="str">
        <f aca="false">IF($B44="","",HYPERLINK("#Projects!A"&amp;MATCH($B44,Projects!$A:$A,0),"Open Project"))</f>
        <v/>
      </c>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sheetData>
  <mergeCells count="2">
    <mergeCell ref="A1:Q1"/>
    <mergeCell ref="A2:Q2"/>
  </mergeCells>
  <conditionalFormatting sqref="M6:M9">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J6:J101">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I5:I44">
    <cfRule type="cellIs" priority="16" operator="equal" aboveAverage="0" equalAverage="0" bottom="0" percent="0" rank="0" text="" dxfId="29">
      <formula>"Complete"</formula>
    </cfRule>
    <cfRule type="cellIs" priority="17" operator="equal" aboveAverage="0" equalAverage="0" bottom="0" percent="0" rank="0" text="" dxfId="4">
      <formula>"Blocked"</formula>
    </cfRule>
    <cfRule type="cellIs" priority="18" operator="equal" aboveAverage="0" equalAverage="0" bottom="0" percent="0" rank="0" text="" dxfId="45">
      <formula>"Waiting on Someone"</formula>
    </cfRule>
    <cfRule type="cellIs" priority="19" operator="equal" aboveAverage="0" equalAverage="0" bottom="0" percent="0" rank="0" text="" dxfId="30">
      <formula>"In Progress"</formula>
    </cfRule>
    <cfRule type="cellIs" priority="20" operator="equal" aboveAverage="0" equalAverage="0" bottom="0" percent="0" rank="0" text="" dxfId="32">
      <formula>"Not Started"</formula>
    </cfRule>
  </conditionalFormatting>
  <conditionalFormatting sqref="L5:L44">
    <cfRule type="expression" priority="21" aboveAverage="0" equalAverage="0" bottom="0" percent="0" rank="0" text="" dxfId="4">
      <formula>AND($L5&lt;&gt;"",$L5&lt;TODAY(),$I5&lt;&gt;"Complete")</formula>
    </cfRule>
    <cfRule type="expression" priority="22" aboveAverage="0" equalAverage="0" bottom="0" percent="0" rank="0" text="" dxfId="46">
      <formula>AND($L5&lt;&gt;"",$L5&gt;=TODAY(),$L5&lt;=TODAY()+7,$I5&lt;&gt;"Complete")</formula>
    </cfRule>
  </conditionalFormatting>
  <conditionalFormatting sqref="G5:G44">
    <cfRule type="expression" priority="23" aboveAverage="0" equalAverage="0" bottom="0" percent="0" rank="0" text="" dxfId="47">
      <formula>$I5="Complete"</formula>
    </cfRule>
  </conditionalFormatting>
  <conditionalFormatting sqref="J5:J44">
    <cfRule type="dataBar" priority="24">
      <dataBar showValue="1" minLength="10" maxLength="90">
        <cfvo type="num" val="0"/>
        <cfvo type="num" val="1"/>
        <color rgb="FF2E75B6"/>
      </dataBar>
      <extLst>
        <ext xmlns:x14="http://schemas.microsoft.com/office/spreadsheetml/2009/9/main" uri="{B025F937-C7B1-47D3-B67F-A62EFF666E3E}">
          <x14:id>{B342C339-1FBC-4CCD-ADD5-59FA41156FA8}</x14:id>
        </ext>
      </extLst>
    </cfRule>
  </conditionalFormatting>
  <dataValidations count="5">
    <dataValidation allowBlank="true" errorStyle="stop" operator="between" showDropDown="false" showErrorMessage="true" showInputMessage="true" sqref="J6:J10 M6:M9 J11:J101" type="list">
      <formula1>"C,G,Y,R,na"</formula1>
      <formula2>0</formula2>
    </dataValidation>
    <dataValidation allowBlank="true" error="Pick a value from the list" errorStyle="stop" errorTitle="Invalid entry" operator="between" showDropDown="false" showErrorMessage="false" showInputMessage="false" sqref="B5:B44" type="list">
      <formula1>ProjectIDList</formula1>
      <formula2>0</formula2>
    </dataValidation>
    <dataValidation allowBlank="true" error="Pick a value from the list" errorStyle="stop" errorTitle="Invalid entry" operator="between" showDropDown="false" showErrorMessage="false" showInputMessage="false" sqref="F5:F44" type="list">
      <formula1>RoleList</formula1>
      <formula2>0</formula2>
    </dataValidation>
    <dataValidation allowBlank="true" error="Pick a value from the list" errorStyle="stop" errorTitle="Invalid entry" operator="between" showDropDown="false" showErrorMessage="false" showInputMessage="false" sqref="H5:H44" type="list">
      <formula1>PriorityList</formula1>
      <formula2>0</formula2>
    </dataValidation>
    <dataValidation allowBlank="true" error="Pick a value from the list" errorStyle="stop" errorTitle="Invalid entry" operator="between" showDropDown="false" showErrorMessage="false" showInputMessage="false" sqref="I5:I44" type="list">
      <formula1>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B342C339-1FBC-4CCD-ADD5-59FA41156FA8}">
            <x14:dataBar minLength="10" maxLength="90" axisPosition="none" gradient="true">
              <x14:cfvo type="num">
                <xm:f>0</xm:f>
              </x14:cfvo>
              <x14:cfvo type="num">
                <xm:f>1</xm:f>
              </x14:cfvo>
              <x14:negativeFillColor rgb="FF2E75B6"/>
              <x14:axisColor rgb="FF000000"/>
            </x14:dataBar>
          </x14:cfRule>
          <xm:sqref>J5:J44</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Q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J15" activeCellId="0" sqref="J15"/>
    </sheetView>
  </sheetViews>
  <sheetFormatPr defaultColWidth="8.5390625" defaultRowHeight="14.2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4"/>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36"/>
    <col collapsed="false" customWidth="true" hidden="false" outlineLevel="0" max="8" min="8" style="0" width="10"/>
    <col collapsed="false" customWidth="true" hidden="false" outlineLevel="0" max="9" min="9" style="0" width="16"/>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26"/>
    <col collapsed="false" customWidth="true" hidden="false" outlineLevel="0" max="15" min="15" style="0" width="12"/>
    <col collapsed="false" customWidth="true" hidden="false" outlineLevel="0" max="16" min="16" style="0" width="30"/>
    <col collapsed="false" customWidth="true" hidden="false" outlineLevel="0" max="17" min="17" style="0" width="15"/>
  </cols>
  <sheetData>
    <row r="1" customFormat="false" ht="30" hidden="false" customHeight="true" outlineLevel="0" collapsed="false">
      <c r="A1" s="114" t="s">
        <v>334</v>
      </c>
      <c r="B1" s="114"/>
      <c r="C1" s="114"/>
      <c r="D1" s="114"/>
      <c r="E1" s="114"/>
      <c r="F1" s="114"/>
      <c r="G1" s="114"/>
      <c r="H1" s="114"/>
      <c r="I1" s="114"/>
      <c r="J1" s="114"/>
      <c r="K1" s="114"/>
      <c r="L1" s="114"/>
      <c r="M1" s="114"/>
      <c r="N1" s="114"/>
      <c r="O1" s="114"/>
      <c r="P1" s="114"/>
      <c r="Q1" s="114"/>
    </row>
    <row r="2" customFormat="false" ht="24" hidden="false" customHeight="true" outlineLevel="0" collapsed="false">
      <c r="A2" s="115" t="s">
        <v>263</v>
      </c>
      <c r="B2" s="115"/>
      <c r="C2" s="115"/>
      <c r="D2" s="115"/>
      <c r="E2" s="115"/>
      <c r="F2" s="115"/>
      <c r="G2" s="115"/>
      <c r="H2" s="115"/>
      <c r="I2" s="115"/>
      <c r="J2" s="115"/>
      <c r="K2" s="115"/>
      <c r="L2" s="115"/>
      <c r="M2" s="115"/>
      <c r="N2" s="115"/>
      <c r="O2" s="115"/>
      <c r="P2" s="115"/>
      <c r="Q2" s="115"/>
    </row>
    <row r="3" customFormat="false" ht="24" hidden="false" customHeight="true" outlineLevel="0" collapsed="false"/>
    <row r="4" customFormat="false" ht="33.75" hidden="false" customHeight="true" outlineLevel="0" collapsed="false">
      <c r="A4" s="129" t="s">
        <v>237</v>
      </c>
      <c r="B4" s="136" t="s">
        <v>178</v>
      </c>
      <c r="C4" s="129" t="s">
        <v>16</v>
      </c>
      <c r="D4" s="129" t="s">
        <v>251</v>
      </c>
      <c r="E4" s="129" t="s">
        <v>238</v>
      </c>
      <c r="F4" s="136" t="s">
        <v>240</v>
      </c>
      <c r="G4" s="136" t="s">
        <v>239</v>
      </c>
      <c r="H4" s="136" t="s">
        <v>241</v>
      </c>
      <c r="I4" s="136" t="s">
        <v>50</v>
      </c>
      <c r="J4" s="136" t="s">
        <v>252</v>
      </c>
      <c r="K4" s="136" t="s">
        <v>253</v>
      </c>
      <c r="L4" s="136" t="s">
        <v>254</v>
      </c>
      <c r="M4" s="136" t="s">
        <v>255</v>
      </c>
      <c r="N4" s="136" t="s">
        <v>246</v>
      </c>
      <c r="O4" s="136" t="s">
        <v>247</v>
      </c>
      <c r="P4" s="136" t="s">
        <v>248</v>
      </c>
      <c r="Q4" s="129" t="s">
        <v>264</v>
      </c>
    </row>
    <row r="5" customFormat="false" ht="30" hidden="false" customHeight="true" outlineLevel="0" collapsed="false">
      <c r="A5" s="137" t="str">
        <f aca="false">IF($B5="","","LT-"&amp;TEXT(ROW()-4,"000"))</f>
        <v>LT-001</v>
      </c>
      <c r="B5" s="118" t="s">
        <v>187</v>
      </c>
      <c r="C5" s="138" t="str">
        <f aca="false">IF($B5="","",IFERROR(VLOOKUP($B5,Lists!$A:$H,2,FALSE()),"unknown ID"))</f>
        <v>1 – Unified Development System</v>
      </c>
      <c r="D5" s="138" t="str">
        <f aca="false">IF($B5="","",IFERROR(VLOOKUP($B5,Lists!$A:$H,3,FALSE()),""))</f>
        <v>Implement standardized Mutual Evaluation Process (MEP) across all brands</v>
      </c>
      <c r="E5" s="139" t="str">
        <f aca="false">IF($B5="","","Leslie Toole")</f>
        <v>Leslie Toole</v>
      </c>
      <c r="F5" s="117" t="s">
        <v>270</v>
      </c>
      <c r="G5" s="117" t="s">
        <v>271</v>
      </c>
      <c r="H5" s="118" t="s">
        <v>272</v>
      </c>
      <c r="I5" s="118" t="s">
        <v>18</v>
      </c>
      <c r="J5" s="33" t="n">
        <v>0.5</v>
      </c>
      <c r="K5" s="119" t="n">
        <v>46162</v>
      </c>
      <c r="L5" s="119" t="n">
        <v>46186</v>
      </c>
      <c r="M5" s="117"/>
      <c r="N5" s="117"/>
      <c r="O5" s="119" t="s">
        <v>273</v>
      </c>
      <c r="P5" s="117" t="s">
        <v>274</v>
      </c>
      <c r="Q5" s="140" t="str">
        <f aca="false">IF($B5="","",HYPERLINK("#Projects!A"&amp;MATCH($B5,Projects!$A:$A,0),"Open Project"))</f>
        <v>Open Project</v>
      </c>
    </row>
    <row r="6" customFormat="false" ht="30" hidden="false" customHeight="true" outlineLevel="0" collapsed="false">
      <c r="A6" s="137" t="str">
        <f aca="false">IF($B6="","","LT-"&amp;TEXT(ROW()-4,"000"))</f>
        <v/>
      </c>
      <c r="B6" s="118"/>
      <c r="C6" s="138" t="str">
        <f aca="false">IF($B6="","",IFERROR(VLOOKUP($B6,Lists!$A:$H,2,FALSE()),"unknown ID"))</f>
        <v/>
      </c>
      <c r="D6" s="138" t="str">
        <f aca="false">IF($B6="","",IFERROR(VLOOKUP($B6,Lists!$A:$H,3,FALSE()),""))</f>
        <v/>
      </c>
      <c r="E6" s="139" t="str">
        <f aca="false">IF($B6="","","Leslie Toole")</f>
        <v/>
      </c>
      <c r="F6" s="117"/>
      <c r="G6" s="117"/>
      <c r="H6" s="118"/>
      <c r="I6" s="118"/>
      <c r="J6" s="33"/>
      <c r="K6" s="119"/>
      <c r="L6" s="119"/>
      <c r="M6" s="117"/>
      <c r="N6" s="117"/>
      <c r="O6" s="119"/>
      <c r="P6" s="117"/>
      <c r="Q6" s="140" t="str">
        <f aca="false">IF($B6="","",HYPERLINK("#Projects!A"&amp;MATCH($B6,Projects!$A:$A,0),"Open Project"))</f>
        <v/>
      </c>
    </row>
    <row r="7" customFormat="false" ht="30" hidden="false" customHeight="true" outlineLevel="0" collapsed="false">
      <c r="A7" s="137" t="str">
        <f aca="false">IF($B7="","","LT-"&amp;TEXT(ROW()-4,"000"))</f>
        <v/>
      </c>
      <c r="B7" s="118"/>
      <c r="C7" s="138" t="str">
        <f aca="false">IF($B7="","",IFERROR(VLOOKUP($B7,Lists!$A:$H,2,FALSE()),"unknown ID"))</f>
        <v/>
      </c>
      <c r="D7" s="138" t="str">
        <f aca="false">IF($B7="","",IFERROR(VLOOKUP($B7,Lists!$A:$H,3,FALSE()),""))</f>
        <v/>
      </c>
      <c r="E7" s="139" t="str">
        <f aca="false">IF($B7="","","Leslie Toole")</f>
        <v/>
      </c>
      <c r="F7" s="117"/>
      <c r="G7" s="117"/>
      <c r="H7" s="118"/>
      <c r="I7" s="118"/>
      <c r="J7" s="33"/>
      <c r="K7" s="119"/>
      <c r="L7" s="119"/>
      <c r="M7" s="117"/>
      <c r="N7" s="117"/>
      <c r="O7" s="119"/>
      <c r="P7" s="117"/>
      <c r="Q7" s="140" t="str">
        <f aca="false">IF($B7="","",HYPERLINK("#Projects!A"&amp;MATCH($B7,Projects!$A:$A,0),"Open Project"))</f>
        <v/>
      </c>
    </row>
    <row r="8" customFormat="false" ht="30" hidden="false" customHeight="true" outlineLevel="0" collapsed="false">
      <c r="A8" s="137" t="str">
        <f aca="false">IF($B8="","","LT-"&amp;TEXT(ROW()-4,"000"))</f>
        <v/>
      </c>
      <c r="B8" s="118"/>
      <c r="C8" s="138" t="str">
        <f aca="false">IF($B8="","",IFERROR(VLOOKUP($B8,Lists!$A:$H,2,FALSE()),"unknown ID"))</f>
        <v/>
      </c>
      <c r="D8" s="138" t="str">
        <f aca="false">IF($B8="","",IFERROR(VLOOKUP($B8,Lists!$A:$H,3,FALSE()),""))</f>
        <v/>
      </c>
      <c r="E8" s="139" t="str">
        <f aca="false">IF($B8="","","Leslie Toole")</f>
        <v/>
      </c>
      <c r="F8" s="117"/>
      <c r="G8" s="117"/>
      <c r="H8" s="118"/>
      <c r="I8" s="118"/>
      <c r="J8" s="33"/>
      <c r="K8" s="119"/>
      <c r="L8" s="119"/>
      <c r="M8" s="117"/>
      <c r="N8" s="117"/>
      <c r="O8" s="119"/>
      <c r="P8" s="117"/>
      <c r="Q8" s="140" t="str">
        <f aca="false">IF($B8="","",HYPERLINK("#Projects!A"&amp;MATCH($B8,Projects!$A:$A,0),"Open Project"))</f>
        <v/>
      </c>
    </row>
    <row r="9" customFormat="false" ht="30" hidden="false" customHeight="true" outlineLevel="0" collapsed="false">
      <c r="A9" s="137" t="str">
        <f aca="false">IF($B9="","","LT-"&amp;TEXT(ROW()-4,"000"))</f>
        <v/>
      </c>
      <c r="B9" s="118"/>
      <c r="C9" s="138" t="str">
        <f aca="false">IF($B9="","",IFERROR(VLOOKUP($B9,Lists!$A:$H,2,FALSE()),"unknown ID"))</f>
        <v/>
      </c>
      <c r="D9" s="138" t="str">
        <f aca="false">IF($B9="","",IFERROR(VLOOKUP($B9,Lists!$A:$H,3,FALSE()),""))</f>
        <v/>
      </c>
      <c r="E9" s="139" t="str">
        <f aca="false">IF($B9="","","Leslie Toole")</f>
        <v/>
      </c>
      <c r="F9" s="117"/>
      <c r="G9" s="117"/>
      <c r="H9" s="118"/>
      <c r="I9" s="118"/>
      <c r="J9" s="33"/>
      <c r="K9" s="119"/>
      <c r="L9" s="119"/>
      <c r="M9" s="117"/>
      <c r="N9" s="117"/>
      <c r="O9" s="119"/>
      <c r="P9" s="117"/>
      <c r="Q9" s="140" t="str">
        <f aca="false">IF($B9="","",HYPERLINK("#Projects!A"&amp;MATCH($B9,Projects!$A:$A,0),"Open Project"))</f>
        <v/>
      </c>
    </row>
    <row r="10" customFormat="false" ht="30" hidden="false" customHeight="true" outlineLevel="0" collapsed="false">
      <c r="A10" s="137" t="str">
        <f aca="false">IF($B10="","","LT-"&amp;TEXT(ROW()-4,"000"))</f>
        <v/>
      </c>
      <c r="B10" s="118"/>
      <c r="C10" s="138" t="str">
        <f aca="false">IF($B10="","",IFERROR(VLOOKUP($B10,Lists!$A:$H,2,FALSE()),"unknown ID"))</f>
        <v/>
      </c>
      <c r="D10" s="138" t="str">
        <f aca="false">IF($B10="","",IFERROR(VLOOKUP($B10,Lists!$A:$H,3,FALSE()),""))</f>
        <v/>
      </c>
      <c r="E10" s="139" t="str">
        <f aca="false">IF($B10="","","Leslie Toole")</f>
        <v/>
      </c>
      <c r="F10" s="117"/>
      <c r="G10" s="117"/>
      <c r="H10" s="118"/>
      <c r="I10" s="118"/>
      <c r="J10" s="33"/>
      <c r="K10" s="119"/>
      <c r="L10" s="119"/>
      <c r="M10" s="117"/>
      <c r="N10" s="117"/>
      <c r="O10" s="119"/>
      <c r="P10" s="117"/>
      <c r="Q10" s="140" t="str">
        <f aca="false">IF($B10="","",HYPERLINK("#Projects!A"&amp;MATCH($B10,Projects!$A:$A,0),"Open Project"))</f>
        <v/>
      </c>
    </row>
    <row r="11" customFormat="false" ht="30" hidden="false" customHeight="true" outlineLevel="0" collapsed="false">
      <c r="A11" s="137" t="str">
        <f aca="false">IF($B11="","","LT-"&amp;TEXT(ROW()-4,"000"))</f>
        <v/>
      </c>
      <c r="B11" s="118"/>
      <c r="C11" s="138" t="str">
        <f aca="false">IF($B11="","",IFERROR(VLOOKUP($B11,Lists!$A:$H,2,FALSE()),"unknown ID"))</f>
        <v/>
      </c>
      <c r="D11" s="138" t="str">
        <f aca="false">IF($B11="","",IFERROR(VLOOKUP($B11,Lists!$A:$H,3,FALSE()),""))</f>
        <v/>
      </c>
      <c r="E11" s="139" t="str">
        <f aca="false">IF($B11="","","Leslie Toole")</f>
        <v/>
      </c>
      <c r="F11" s="117"/>
      <c r="G11" s="117"/>
      <c r="H11" s="118"/>
      <c r="I11" s="118"/>
      <c r="J11" s="33"/>
      <c r="K11" s="119"/>
      <c r="L11" s="119"/>
      <c r="M11" s="117"/>
      <c r="N11" s="117"/>
      <c r="O11" s="119"/>
      <c r="P11" s="117"/>
      <c r="Q11" s="140" t="str">
        <f aca="false">IF($B11="","",HYPERLINK("#Projects!A"&amp;MATCH($B11,Projects!$A:$A,0),"Open Project"))</f>
        <v/>
      </c>
    </row>
    <row r="12" customFormat="false" ht="30" hidden="false" customHeight="true" outlineLevel="0" collapsed="false">
      <c r="A12" s="137" t="str">
        <f aca="false">IF($B12="","","LT-"&amp;TEXT(ROW()-4,"000"))</f>
        <v/>
      </c>
      <c r="B12" s="118"/>
      <c r="C12" s="138" t="str">
        <f aca="false">IF($B12="","",IFERROR(VLOOKUP($B12,Lists!$A:$H,2,FALSE()),"unknown ID"))</f>
        <v/>
      </c>
      <c r="D12" s="138" t="str">
        <f aca="false">IF($B12="","",IFERROR(VLOOKUP($B12,Lists!$A:$H,3,FALSE()),""))</f>
        <v/>
      </c>
      <c r="E12" s="139" t="str">
        <f aca="false">IF($B12="","","Leslie Toole")</f>
        <v/>
      </c>
      <c r="F12" s="117"/>
      <c r="G12" s="117"/>
      <c r="H12" s="118"/>
      <c r="I12" s="118"/>
      <c r="J12" s="33"/>
      <c r="K12" s="119"/>
      <c r="L12" s="119"/>
      <c r="M12" s="117"/>
      <c r="N12" s="117"/>
      <c r="O12" s="119"/>
      <c r="P12" s="117"/>
      <c r="Q12" s="140" t="str">
        <f aca="false">IF($B12="","",HYPERLINK("#Projects!A"&amp;MATCH($B12,Projects!$A:$A,0),"Open Project"))</f>
        <v/>
      </c>
    </row>
    <row r="13" customFormat="false" ht="30" hidden="false" customHeight="true" outlineLevel="0" collapsed="false">
      <c r="A13" s="137" t="str">
        <f aca="false">IF($B13="","","LT-"&amp;TEXT(ROW()-4,"000"))</f>
        <v/>
      </c>
      <c r="B13" s="118"/>
      <c r="C13" s="138" t="str">
        <f aca="false">IF($B13="","",IFERROR(VLOOKUP($B13,Lists!$A:$H,2,FALSE()),"unknown ID"))</f>
        <v/>
      </c>
      <c r="D13" s="138" t="str">
        <f aca="false">IF($B13="","",IFERROR(VLOOKUP($B13,Lists!$A:$H,3,FALSE()),""))</f>
        <v/>
      </c>
      <c r="E13" s="139" t="str">
        <f aca="false">IF($B13="","","Leslie Toole")</f>
        <v/>
      </c>
      <c r="F13" s="117"/>
      <c r="G13" s="117"/>
      <c r="H13" s="118"/>
      <c r="I13" s="118"/>
      <c r="J13" s="33"/>
      <c r="K13" s="119"/>
      <c r="L13" s="119"/>
      <c r="M13" s="117"/>
      <c r="N13" s="117"/>
      <c r="O13" s="119"/>
      <c r="P13" s="117"/>
      <c r="Q13" s="140" t="str">
        <f aca="false">IF($B13="","",HYPERLINK("#Projects!A"&amp;MATCH($B13,Projects!$A:$A,0),"Open Project"))</f>
        <v/>
      </c>
    </row>
    <row r="14" customFormat="false" ht="30" hidden="false" customHeight="true" outlineLevel="0" collapsed="false">
      <c r="A14" s="137" t="str">
        <f aca="false">IF($B14="","","LT-"&amp;TEXT(ROW()-4,"000"))</f>
        <v/>
      </c>
      <c r="B14" s="118"/>
      <c r="C14" s="138" t="str">
        <f aca="false">IF($B14="","",IFERROR(VLOOKUP($B14,Lists!$A:$H,2,FALSE()),"unknown ID"))</f>
        <v/>
      </c>
      <c r="D14" s="138" t="str">
        <f aca="false">IF($B14="","",IFERROR(VLOOKUP($B14,Lists!$A:$H,3,FALSE()),""))</f>
        <v/>
      </c>
      <c r="E14" s="139" t="str">
        <f aca="false">IF($B14="","","Leslie Toole")</f>
        <v/>
      </c>
      <c r="F14" s="117"/>
      <c r="G14" s="117"/>
      <c r="H14" s="118"/>
      <c r="I14" s="118"/>
      <c r="J14" s="33"/>
      <c r="K14" s="119"/>
      <c r="L14" s="119"/>
      <c r="M14" s="117"/>
      <c r="N14" s="117"/>
      <c r="O14" s="119"/>
      <c r="P14" s="117"/>
      <c r="Q14" s="140" t="str">
        <f aca="false">IF($B14="","",HYPERLINK("#Projects!A"&amp;MATCH($B14,Projects!$A:$A,0),"Open Project"))</f>
        <v/>
      </c>
    </row>
    <row r="15" customFormat="false" ht="30" hidden="false" customHeight="true" outlineLevel="0" collapsed="false">
      <c r="A15" s="137" t="str">
        <f aca="false">IF($B15="","","LT-"&amp;TEXT(ROW()-4,"000"))</f>
        <v/>
      </c>
      <c r="B15" s="118"/>
      <c r="C15" s="138" t="str">
        <f aca="false">IF($B15="","",IFERROR(VLOOKUP($B15,Lists!$A:$H,2,FALSE()),"unknown ID"))</f>
        <v/>
      </c>
      <c r="D15" s="138" t="str">
        <f aca="false">IF($B15="","",IFERROR(VLOOKUP($B15,Lists!$A:$H,3,FALSE()),""))</f>
        <v/>
      </c>
      <c r="E15" s="139" t="str">
        <f aca="false">IF($B15="","","Leslie Toole")</f>
        <v/>
      </c>
      <c r="F15" s="117"/>
      <c r="G15" s="117"/>
      <c r="H15" s="118"/>
      <c r="I15" s="118"/>
      <c r="J15" s="33"/>
      <c r="K15" s="119"/>
      <c r="L15" s="119"/>
      <c r="M15" s="117"/>
      <c r="N15" s="117"/>
      <c r="O15" s="119"/>
      <c r="P15" s="117"/>
      <c r="Q15" s="140" t="str">
        <f aca="false">IF($B15="","",HYPERLINK("#Projects!A"&amp;MATCH($B15,Projects!$A:$A,0),"Open Project"))</f>
        <v/>
      </c>
    </row>
    <row r="16" customFormat="false" ht="30" hidden="false" customHeight="true" outlineLevel="0" collapsed="false">
      <c r="A16" s="137" t="str">
        <f aca="false">IF($B16="","","LT-"&amp;TEXT(ROW()-4,"000"))</f>
        <v/>
      </c>
      <c r="B16" s="118"/>
      <c r="C16" s="138" t="str">
        <f aca="false">IF($B16="","",IFERROR(VLOOKUP($B16,Lists!$A:$H,2,FALSE()),"unknown ID"))</f>
        <v/>
      </c>
      <c r="D16" s="138" t="str">
        <f aca="false">IF($B16="","",IFERROR(VLOOKUP($B16,Lists!$A:$H,3,FALSE()),""))</f>
        <v/>
      </c>
      <c r="E16" s="139" t="str">
        <f aca="false">IF($B16="","","Leslie Toole")</f>
        <v/>
      </c>
      <c r="F16" s="117"/>
      <c r="G16" s="117"/>
      <c r="H16" s="118"/>
      <c r="I16" s="118"/>
      <c r="J16" s="33"/>
      <c r="K16" s="119"/>
      <c r="L16" s="119"/>
      <c r="M16" s="117"/>
      <c r="N16" s="117"/>
      <c r="O16" s="119"/>
      <c r="P16" s="117"/>
      <c r="Q16" s="140" t="str">
        <f aca="false">IF($B16="","",HYPERLINK("#Projects!A"&amp;MATCH($B16,Projects!$A:$A,0),"Open Project"))</f>
        <v/>
      </c>
    </row>
    <row r="17" customFormat="false" ht="30" hidden="false" customHeight="true" outlineLevel="0" collapsed="false">
      <c r="A17" s="137" t="str">
        <f aca="false">IF($B17="","","LT-"&amp;TEXT(ROW()-4,"000"))</f>
        <v/>
      </c>
      <c r="B17" s="118"/>
      <c r="C17" s="138" t="str">
        <f aca="false">IF($B17="","",IFERROR(VLOOKUP($B17,Lists!$A:$H,2,FALSE()),"unknown ID"))</f>
        <v/>
      </c>
      <c r="D17" s="138" t="str">
        <f aca="false">IF($B17="","",IFERROR(VLOOKUP($B17,Lists!$A:$H,3,FALSE()),""))</f>
        <v/>
      </c>
      <c r="E17" s="139" t="str">
        <f aca="false">IF($B17="","","Leslie Toole")</f>
        <v/>
      </c>
      <c r="F17" s="117"/>
      <c r="G17" s="117"/>
      <c r="H17" s="118"/>
      <c r="I17" s="118"/>
      <c r="J17" s="33"/>
      <c r="K17" s="119"/>
      <c r="L17" s="119"/>
      <c r="M17" s="117"/>
      <c r="N17" s="117"/>
      <c r="O17" s="119"/>
      <c r="P17" s="117"/>
      <c r="Q17" s="140" t="str">
        <f aca="false">IF($B17="","",HYPERLINK("#Projects!A"&amp;MATCH($B17,Projects!$A:$A,0),"Open Project"))</f>
        <v/>
      </c>
    </row>
    <row r="18" customFormat="false" ht="30" hidden="false" customHeight="true" outlineLevel="0" collapsed="false">
      <c r="A18" s="137" t="str">
        <f aca="false">IF($B18="","","LT-"&amp;TEXT(ROW()-4,"000"))</f>
        <v/>
      </c>
      <c r="B18" s="118"/>
      <c r="C18" s="138" t="str">
        <f aca="false">IF($B18="","",IFERROR(VLOOKUP($B18,Lists!$A:$H,2,FALSE()),"unknown ID"))</f>
        <v/>
      </c>
      <c r="D18" s="138" t="str">
        <f aca="false">IF($B18="","",IFERROR(VLOOKUP($B18,Lists!$A:$H,3,FALSE()),""))</f>
        <v/>
      </c>
      <c r="E18" s="139" t="str">
        <f aca="false">IF($B18="","","Leslie Toole")</f>
        <v/>
      </c>
      <c r="F18" s="117"/>
      <c r="G18" s="117"/>
      <c r="H18" s="118"/>
      <c r="I18" s="118"/>
      <c r="J18" s="33"/>
      <c r="K18" s="119"/>
      <c r="L18" s="119"/>
      <c r="M18" s="117"/>
      <c r="N18" s="117"/>
      <c r="O18" s="119"/>
      <c r="P18" s="117"/>
      <c r="Q18" s="140" t="str">
        <f aca="false">IF($B18="","",HYPERLINK("#Projects!A"&amp;MATCH($B18,Projects!$A:$A,0),"Open Project"))</f>
        <v/>
      </c>
    </row>
    <row r="19" customFormat="false" ht="30" hidden="false" customHeight="true" outlineLevel="0" collapsed="false">
      <c r="A19" s="137" t="str">
        <f aca="false">IF($B19="","","LT-"&amp;TEXT(ROW()-4,"000"))</f>
        <v/>
      </c>
      <c r="B19" s="118"/>
      <c r="C19" s="138" t="str">
        <f aca="false">IF($B19="","",IFERROR(VLOOKUP($B19,Lists!$A:$H,2,FALSE()),"unknown ID"))</f>
        <v/>
      </c>
      <c r="D19" s="138" t="str">
        <f aca="false">IF($B19="","",IFERROR(VLOOKUP($B19,Lists!$A:$H,3,FALSE()),""))</f>
        <v/>
      </c>
      <c r="E19" s="139" t="str">
        <f aca="false">IF($B19="","","Leslie Toole")</f>
        <v/>
      </c>
      <c r="F19" s="117"/>
      <c r="G19" s="117"/>
      <c r="H19" s="118"/>
      <c r="I19" s="118"/>
      <c r="J19" s="33"/>
      <c r="K19" s="119"/>
      <c r="L19" s="119"/>
      <c r="M19" s="117"/>
      <c r="N19" s="117"/>
      <c r="O19" s="119"/>
      <c r="P19" s="117"/>
      <c r="Q19" s="140" t="str">
        <f aca="false">IF($B19="","",HYPERLINK("#Projects!A"&amp;MATCH($B19,Projects!$A:$A,0),"Open Project"))</f>
        <v/>
      </c>
    </row>
    <row r="20" customFormat="false" ht="30" hidden="false" customHeight="true" outlineLevel="0" collapsed="false">
      <c r="A20" s="137" t="str">
        <f aca="false">IF($B20="","","LT-"&amp;TEXT(ROW()-4,"000"))</f>
        <v/>
      </c>
      <c r="B20" s="118"/>
      <c r="C20" s="138" t="str">
        <f aca="false">IF($B20="","",IFERROR(VLOOKUP($B20,Lists!$A:$H,2,FALSE()),"unknown ID"))</f>
        <v/>
      </c>
      <c r="D20" s="138" t="str">
        <f aca="false">IF($B20="","",IFERROR(VLOOKUP($B20,Lists!$A:$H,3,FALSE()),""))</f>
        <v/>
      </c>
      <c r="E20" s="139" t="str">
        <f aca="false">IF($B20="","","Leslie Toole")</f>
        <v/>
      </c>
      <c r="F20" s="117"/>
      <c r="G20" s="117"/>
      <c r="H20" s="118"/>
      <c r="I20" s="118"/>
      <c r="J20" s="33"/>
      <c r="K20" s="119"/>
      <c r="L20" s="119"/>
      <c r="M20" s="117"/>
      <c r="N20" s="117"/>
      <c r="O20" s="119"/>
      <c r="P20" s="117"/>
      <c r="Q20" s="140" t="str">
        <f aca="false">IF($B20="","",HYPERLINK("#Projects!A"&amp;MATCH($B20,Projects!$A:$A,0),"Open Project"))</f>
        <v/>
      </c>
    </row>
    <row r="21" customFormat="false" ht="30" hidden="false" customHeight="true" outlineLevel="0" collapsed="false">
      <c r="A21" s="137" t="str">
        <f aca="false">IF($B21="","","LT-"&amp;TEXT(ROW()-4,"000"))</f>
        <v/>
      </c>
      <c r="B21" s="118"/>
      <c r="C21" s="138" t="str">
        <f aca="false">IF($B21="","",IFERROR(VLOOKUP($B21,Lists!$A:$H,2,FALSE()),"unknown ID"))</f>
        <v/>
      </c>
      <c r="D21" s="138" t="str">
        <f aca="false">IF($B21="","",IFERROR(VLOOKUP($B21,Lists!$A:$H,3,FALSE()),""))</f>
        <v/>
      </c>
      <c r="E21" s="139" t="str">
        <f aca="false">IF($B21="","","Leslie Toole")</f>
        <v/>
      </c>
      <c r="F21" s="117"/>
      <c r="G21" s="117"/>
      <c r="H21" s="118"/>
      <c r="I21" s="118"/>
      <c r="J21" s="33"/>
      <c r="K21" s="119"/>
      <c r="L21" s="119"/>
      <c r="M21" s="117"/>
      <c r="N21" s="117"/>
      <c r="O21" s="119"/>
      <c r="P21" s="117"/>
      <c r="Q21" s="140" t="str">
        <f aca="false">IF($B21="","",HYPERLINK("#Projects!A"&amp;MATCH($B21,Projects!$A:$A,0),"Open Project"))</f>
        <v/>
      </c>
    </row>
    <row r="22" customFormat="false" ht="30" hidden="false" customHeight="true" outlineLevel="0" collapsed="false">
      <c r="A22" s="137" t="str">
        <f aca="false">IF($B22="","","LT-"&amp;TEXT(ROW()-4,"000"))</f>
        <v/>
      </c>
      <c r="B22" s="118"/>
      <c r="C22" s="138" t="str">
        <f aca="false">IF($B22="","",IFERROR(VLOOKUP($B22,Lists!$A:$H,2,FALSE()),"unknown ID"))</f>
        <v/>
      </c>
      <c r="D22" s="138" t="str">
        <f aca="false">IF($B22="","",IFERROR(VLOOKUP($B22,Lists!$A:$H,3,FALSE()),""))</f>
        <v/>
      </c>
      <c r="E22" s="139" t="str">
        <f aca="false">IF($B22="","","Leslie Toole")</f>
        <v/>
      </c>
      <c r="F22" s="117"/>
      <c r="G22" s="117"/>
      <c r="H22" s="118"/>
      <c r="I22" s="118"/>
      <c r="J22" s="33"/>
      <c r="K22" s="119"/>
      <c r="L22" s="119"/>
      <c r="M22" s="117"/>
      <c r="N22" s="117"/>
      <c r="O22" s="119"/>
      <c r="P22" s="117"/>
      <c r="Q22" s="140" t="str">
        <f aca="false">IF($B22="","",HYPERLINK("#Projects!A"&amp;MATCH($B22,Projects!$A:$A,0),"Open Project"))</f>
        <v/>
      </c>
    </row>
    <row r="23" customFormat="false" ht="30" hidden="false" customHeight="true" outlineLevel="0" collapsed="false">
      <c r="A23" s="137" t="str">
        <f aca="false">IF($B23="","","LT-"&amp;TEXT(ROW()-4,"000"))</f>
        <v/>
      </c>
      <c r="B23" s="118"/>
      <c r="C23" s="138" t="str">
        <f aca="false">IF($B23="","",IFERROR(VLOOKUP($B23,Lists!$A:$H,2,FALSE()),"unknown ID"))</f>
        <v/>
      </c>
      <c r="D23" s="138" t="str">
        <f aca="false">IF($B23="","",IFERROR(VLOOKUP($B23,Lists!$A:$H,3,FALSE()),""))</f>
        <v/>
      </c>
      <c r="E23" s="139" t="str">
        <f aca="false">IF($B23="","","Leslie Toole")</f>
        <v/>
      </c>
      <c r="F23" s="117"/>
      <c r="G23" s="117"/>
      <c r="H23" s="118"/>
      <c r="I23" s="118"/>
      <c r="J23" s="33"/>
      <c r="K23" s="119"/>
      <c r="L23" s="119"/>
      <c r="M23" s="117"/>
      <c r="N23" s="117"/>
      <c r="O23" s="119"/>
      <c r="P23" s="117"/>
      <c r="Q23" s="140" t="str">
        <f aca="false">IF($B23="","",HYPERLINK("#Projects!A"&amp;MATCH($B23,Projects!$A:$A,0),"Open Project"))</f>
        <v/>
      </c>
    </row>
    <row r="24" customFormat="false" ht="30" hidden="false" customHeight="true" outlineLevel="0" collapsed="false">
      <c r="A24" s="137" t="str">
        <f aca="false">IF($B24="","","LT-"&amp;TEXT(ROW()-4,"000"))</f>
        <v/>
      </c>
      <c r="B24" s="118"/>
      <c r="C24" s="138" t="str">
        <f aca="false">IF($B24="","",IFERROR(VLOOKUP($B24,Lists!$A:$H,2,FALSE()),"unknown ID"))</f>
        <v/>
      </c>
      <c r="D24" s="138" t="str">
        <f aca="false">IF($B24="","",IFERROR(VLOOKUP($B24,Lists!$A:$H,3,FALSE()),""))</f>
        <v/>
      </c>
      <c r="E24" s="139" t="str">
        <f aca="false">IF($B24="","","Leslie Toole")</f>
        <v/>
      </c>
      <c r="F24" s="117"/>
      <c r="G24" s="117"/>
      <c r="H24" s="118"/>
      <c r="I24" s="118"/>
      <c r="J24" s="33"/>
      <c r="K24" s="119"/>
      <c r="L24" s="119"/>
      <c r="M24" s="117"/>
      <c r="N24" s="117"/>
      <c r="O24" s="119"/>
      <c r="P24" s="117"/>
      <c r="Q24" s="140" t="str">
        <f aca="false">IF($B24="","",HYPERLINK("#Projects!A"&amp;MATCH($B24,Projects!$A:$A,0),"Open Project"))</f>
        <v/>
      </c>
    </row>
    <row r="25" customFormat="false" ht="30" hidden="false" customHeight="true" outlineLevel="0" collapsed="false">
      <c r="A25" s="137" t="str">
        <f aca="false">IF($B25="","","LT-"&amp;TEXT(ROW()-4,"000"))</f>
        <v/>
      </c>
      <c r="B25" s="118"/>
      <c r="C25" s="138" t="str">
        <f aca="false">IF($B25="","",IFERROR(VLOOKUP($B25,Lists!$A:$H,2,FALSE()),"unknown ID"))</f>
        <v/>
      </c>
      <c r="D25" s="138" t="str">
        <f aca="false">IF($B25="","",IFERROR(VLOOKUP($B25,Lists!$A:$H,3,FALSE()),""))</f>
        <v/>
      </c>
      <c r="E25" s="139" t="str">
        <f aca="false">IF($B25="","","Leslie Toole")</f>
        <v/>
      </c>
      <c r="F25" s="117"/>
      <c r="G25" s="117"/>
      <c r="H25" s="118"/>
      <c r="I25" s="118"/>
      <c r="J25" s="33"/>
      <c r="K25" s="119"/>
      <c r="L25" s="119"/>
      <c r="M25" s="117"/>
      <c r="N25" s="117"/>
      <c r="O25" s="119"/>
      <c r="P25" s="117"/>
      <c r="Q25" s="140" t="str">
        <f aca="false">IF($B25="","",HYPERLINK("#Projects!A"&amp;MATCH($B25,Projects!$A:$A,0),"Open Project"))</f>
        <v/>
      </c>
    </row>
    <row r="26" customFormat="false" ht="30" hidden="false" customHeight="true" outlineLevel="0" collapsed="false">
      <c r="A26" s="137" t="str">
        <f aca="false">IF($B26="","","LT-"&amp;TEXT(ROW()-4,"000"))</f>
        <v/>
      </c>
      <c r="B26" s="118"/>
      <c r="C26" s="138" t="str">
        <f aca="false">IF($B26="","",IFERROR(VLOOKUP($B26,Lists!$A:$H,2,FALSE()),"unknown ID"))</f>
        <v/>
      </c>
      <c r="D26" s="138" t="str">
        <f aca="false">IF($B26="","",IFERROR(VLOOKUP($B26,Lists!$A:$H,3,FALSE()),""))</f>
        <v/>
      </c>
      <c r="E26" s="139" t="str">
        <f aca="false">IF($B26="","","Leslie Toole")</f>
        <v/>
      </c>
      <c r="F26" s="117"/>
      <c r="G26" s="117"/>
      <c r="H26" s="118"/>
      <c r="I26" s="118"/>
      <c r="J26" s="33"/>
      <c r="K26" s="119"/>
      <c r="L26" s="119"/>
      <c r="M26" s="117"/>
      <c r="N26" s="117"/>
      <c r="O26" s="119"/>
      <c r="P26" s="117"/>
      <c r="Q26" s="140" t="str">
        <f aca="false">IF($B26="","",HYPERLINK("#Projects!A"&amp;MATCH($B26,Projects!$A:$A,0),"Open Project"))</f>
        <v/>
      </c>
    </row>
    <row r="27" customFormat="false" ht="30" hidden="false" customHeight="true" outlineLevel="0" collapsed="false">
      <c r="A27" s="137" t="str">
        <f aca="false">IF($B27="","","LT-"&amp;TEXT(ROW()-4,"000"))</f>
        <v/>
      </c>
      <c r="B27" s="118"/>
      <c r="C27" s="138" t="str">
        <f aca="false">IF($B27="","",IFERROR(VLOOKUP($B27,Lists!$A:$H,2,FALSE()),"unknown ID"))</f>
        <v/>
      </c>
      <c r="D27" s="138" t="str">
        <f aca="false">IF($B27="","",IFERROR(VLOOKUP($B27,Lists!$A:$H,3,FALSE()),""))</f>
        <v/>
      </c>
      <c r="E27" s="139" t="str">
        <f aca="false">IF($B27="","","Leslie Toole")</f>
        <v/>
      </c>
      <c r="F27" s="117"/>
      <c r="G27" s="117"/>
      <c r="H27" s="118"/>
      <c r="I27" s="118"/>
      <c r="J27" s="33"/>
      <c r="K27" s="119"/>
      <c r="L27" s="119"/>
      <c r="M27" s="117"/>
      <c r="N27" s="117"/>
      <c r="O27" s="119"/>
      <c r="P27" s="117"/>
      <c r="Q27" s="140" t="str">
        <f aca="false">IF($B27="","",HYPERLINK("#Projects!A"&amp;MATCH($B27,Projects!$A:$A,0),"Open Project"))</f>
        <v/>
      </c>
    </row>
    <row r="28" customFormat="false" ht="30" hidden="false" customHeight="true" outlineLevel="0" collapsed="false">
      <c r="A28" s="137" t="str">
        <f aca="false">IF($B28="","","LT-"&amp;TEXT(ROW()-4,"000"))</f>
        <v/>
      </c>
      <c r="B28" s="118"/>
      <c r="C28" s="138" t="str">
        <f aca="false">IF($B28="","",IFERROR(VLOOKUP($B28,Lists!$A:$H,2,FALSE()),"unknown ID"))</f>
        <v/>
      </c>
      <c r="D28" s="138" t="str">
        <f aca="false">IF($B28="","",IFERROR(VLOOKUP($B28,Lists!$A:$H,3,FALSE()),""))</f>
        <v/>
      </c>
      <c r="E28" s="139" t="str">
        <f aca="false">IF($B28="","","Leslie Toole")</f>
        <v/>
      </c>
      <c r="F28" s="117"/>
      <c r="G28" s="117"/>
      <c r="H28" s="118"/>
      <c r="I28" s="118"/>
      <c r="J28" s="33"/>
      <c r="K28" s="119"/>
      <c r="L28" s="119"/>
      <c r="M28" s="117"/>
      <c r="N28" s="117"/>
      <c r="O28" s="119"/>
      <c r="P28" s="117"/>
      <c r="Q28" s="140" t="str">
        <f aca="false">IF($B28="","",HYPERLINK("#Projects!A"&amp;MATCH($B28,Projects!$A:$A,0),"Open Project"))</f>
        <v/>
      </c>
    </row>
    <row r="29" customFormat="false" ht="30" hidden="false" customHeight="true" outlineLevel="0" collapsed="false">
      <c r="A29" s="137" t="str">
        <f aca="false">IF($B29="","","LT-"&amp;TEXT(ROW()-4,"000"))</f>
        <v/>
      </c>
      <c r="B29" s="118"/>
      <c r="C29" s="138" t="str">
        <f aca="false">IF($B29="","",IFERROR(VLOOKUP($B29,Lists!$A:$H,2,FALSE()),"unknown ID"))</f>
        <v/>
      </c>
      <c r="D29" s="138" t="str">
        <f aca="false">IF($B29="","",IFERROR(VLOOKUP($B29,Lists!$A:$H,3,FALSE()),""))</f>
        <v/>
      </c>
      <c r="E29" s="139" t="str">
        <f aca="false">IF($B29="","","Leslie Toole")</f>
        <v/>
      </c>
      <c r="F29" s="117"/>
      <c r="G29" s="117"/>
      <c r="H29" s="118"/>
      <c r="I29" s="118"/>
      <c r="J29" s="33"/>
      <c r="K29" s="119"/>
      <c r="L29" s="119"/>
      <c r="M29" s="117"/>
      <c r="N29" s="117"/>
      <c r="O29" s="119"/>
      <c r="P29" s="117"/>
      <c r="Q29" s="140" t="str">
        <f aca="false">IF($B29="","",HYPERLINK("#Projects!A"&amp;MATCH($B29,Projects!$A:$A,0),"Open Project"))</f>
        <v/>
      </c>
    </row>
    <row r="30" customFormat="false" ht="30" hidden="false" customHeight="true" outlineLevel="0" collapsed="false">
      <c r="A30" s="137" t="str">
        <f aca="false">IF($B30="","","LT-"&amp;TEXT(ROW()-4,"000"))</f>
        <v/>
      </c>
      <c r="B30" s="118"/>
      <c r="C30" s="138" t="str">
        <f aca="false">IF($B30="","",IFERROR(VLOOKUP($B30,Lists!$A:$H,2,FALSE()),"unknown ID"))</f>
        <v/>
      </c>
      <c r="D30" s="138" t="str">
        <f aca="false">IF($B30="","",IFERROR(VLOOKUP($B30,Lists!$A:$H,3,FALSE()),""))</f>
        <v/>
      </c>
      <c r="E30" s="139" t="str">
        <f aca="false">IF($B30="","","Leslie Toole")</f>
        <v/>
      </c>
      <c r="F30" s="117"/>
      <c r="G30" s="117"/>
      <c r="H30" s="118"/>
      <c r="I30" s="118"/>
      <c r="J30" s="33"/>
      <c r="K30" s="119"/>
      <c r="L30" s="119"/>
      <c r="M30" s="117"/>
      <c r="N30" s="117"/>
      <c r="O30" s="119"/>
      <c r="P30" s="117"/>
      <c r="Q30" s="140" t="str">
        <f aca="false">IF($B30="","",HYPERLINK("#Projects!A"&amp;MATCH($B30,Projects!$A:$A,0),"Open Project"))</f>
        <v/>
      </c>
    </row>
    <row r="31" customFormat="false" ht="30" hidden="false" customHeight="true" outlineLevel="0" collapsed="false">
      <c r="A31" s="137" t="str">
        <f aca="false">IF($B31="","","LT-"&amp;TEXT(ROW()-4,"000"))</f>
        <v/>
      </c>
      <c r="B31" s="118"/>
      <c r="C31" s="138" t="str">
        <f aca="false">IF($B31="","",IFERROR(VLOOKUP($B31,Lists!$A:$H,2,FALSE()),"unknown ID"))</f>
        <v/>
      </c>
      <c r="D31" s="138" t="str">
        <f aca="false">IF($B31="","",IFERROR(VLOOKUP($B31,Lists!$A:$H,3,FALSE()),""))</f>
        <v/>
      </c>
      <c r="E31" s="139" t="str">
        <f aca="false">IF($B31="","","Leslie Toole")</f>
        <v/>
      </c>
      <c r="F31" s="117"/>
      <c r="G31" s="117"/>
      <c r="H31" s="118"/>
      <c r="I31" s="118"/>
      <c r="J31" s="33"/>
      <c r="K31" s="119"/>
      <c r="L31" s="119"/>
      <c r="M31" s="117"/>
      <c r="N31" s="117"/>
      <c r="O31" s="119"/>
      <c r="P31" s="117"/>
      <c r="Q31" s="140" t="str">
        <f aca="false">IF($B31="","",HYPERLINK("#Projects!A"&amp;MATCH($B31,Projects!$A:$A,0),"Open Project"))</f>
        <v/>
      </c>
    </row>
    <row r="32" customFormat="false" ht="30" hidden="false" customHeight="true" outlineLevel="0" collapsed="false">
      <c r="A32" s="137" t="str">
        <f aca="false">IF($B32="","","LT-"&amp;TEXT(ROW()-4,"000"))</f>
        <v/>
      </c>
      <c r="B32" s="118"/>
      <c r="C32" s="138" t="str">
        <f aca="false">IF($B32="","",IFERROR(VLOOKUP($B32,Lists!$A:$H,2,FALSE()),"unknown ID"))</f>
        <v/>
      </c>
      <c r="D32" s="138" t="str">
        <f aca="false">IF($B32="","",IFERROR(VLOOKUP($B32,Lists!$A:$H,3,FALSE()),""))</f>
        <v/>
      </c>
      <c r="E32" s="139" t="str">
        <f aca="false">IF($B32="","","Leslie Toole")</f>
        <v/>
      </c>
      <c r="F32" s="117"/>
      <c r="G32" s="117"/>
      <c r="H32" s="118"/>
      <c r="I32" s="118"/>
      <c r="J32" s="33"/>
      <c r="K32" s="119"/>
      <c r="L32" s="119"/>
      <c r="M32" s="117"/>
      <c r="N32" s="117"/>
      <c r="O32" s="119"/>
      <c r="P32" s="117"/>
      <c r="Q32" s="140" t="str">
        <f aca="false">IF($B32="","",HYPERLINK("#Projects!A"&amp;MATCH($B32,Projects!$A:$A,0),"Open Project"))</f>
        <v/>
      </c>
    </row>
    <row r="33" customFormat="false" ht="30" hidden="false" customHeight="true" outlineLevel="0" collapsed="false">
      <c r="A33" s="137" t="str">
        <f aca="false">IF($B33="","","LT-"&amp;TEXT(ROW()-4,"000"))</f>
        <v/>
      </c>
      <c r="B33" s="118"/>
      <c r="C33" s="138" t="str">
        <f aca="false">IF($B33="","",IFERROR(VLOOKUP($B33,Lists!$A:$H,2,FALSE()),"unknown ID"))</f>
        <v/>
      </c>
      <c r="D33" s="138" t="str">
        <f aca="false">IF($B33="","",IFERROR(VLOOKUP($B33,Lists!$A:$H,3,FALSE()),""))</f>
        <v/>
      </c>
      <c r="E33" s="139" t="str">
        <f aca="false">IF($B33="","","Leslie Toole")</f>
        <v/>
      </c>
      <c r="F33" s="117"/>
      <c r="G33" s="117"/>
      <c r="H33" s="118"/>
      <c r="I33" s="118"/>
      <c r="J33" s="33"/>
      <c r="K33" s="119"/>
      <c r="L33" s="119"/>
      <c r="M33" s="117"/>
      <c r="N33" s="117"/>
      <c r="O33" s="119"/>
      <c r="P33" s="117"/>
      <c r="Q33" s="140" t="str">
        <f aca="false">IF($B33="","",HYPERLINK("#Projects!A"&amp;MATCH($B33,Projects!$A:$A,0),"Open Project"))</f>
        <v/>
      </c>
    </row>
    <row r="34" customFormat="false" ht="30" hidden="false" customHeight="true" outlineLevel="0" collapsed="false">
      <c r="A34" s="137" t="str">
        <f aca="false">IF($B34="","","LT-"&amp;TEXT(ROW()-4,"000"))</f>
        <v/>
      </c>
      <c r="B34" s="118"/>
      <c r="C34" s="138" t="str">
        <f aca="false">IF($B34="","",IFERROR(VLOOKUP($B34,Lists!$A:$H,2,FALSE()),"unknown ID"))</f>
        <v/>
      </c>
      <c r="D34" s="138" t="str">
        <f aca="false">IF($B34="","",IFERROR(VLOOKUP($B34,Lists!$A:$H,3,FALSE()),""))</f>
        <v/>
      </c>
      <c r="E34" s="139" t="str">
        <f aca="false">IF($B34="","","Leslie Toole")</f>
        <v/>
      </c>
      <c r="F34" s="117"/>
      <c r="G34" s="117"/>
      <c r="H34" s="118"/>
      <c r="I34" s="118"/>
      <c r="J34" s="33"/>
      <c r="K34" s="119"/>
      <c r="L34" s="119"/>
      <c r="M34" s="117"/>
      <c r="N34" s="117"/>
      <c r="O34" s="119"/>
      <c r="P34" s="117"/>
      <c r="Q34" s="140" t="str">
        <f aca="false">IF($B34="","",HYPERLINK("#Projects!A"&amp;MATCH($B34,Projects!$A:$A,0),"Open Project"))</f>
        <v/>
      </c>
    </row>
    <row r="35" customFormat="false" ht="30" hidden="false" customHeight="true" outlineLevel="0" collapsed="false">
      <c r="A35" s="137" t="str">
        <f aca="false">IF($B35="","","LT-"&amp;TEXT(ROW()-4,"000"))</f>
        <v/>
      </c>
      <c r="B35" s="118"/>
      <c r="C35" s="138" t="str">
        <f aca="false">IF($B35="","",IFERROR(VLOOKUP($B35,Lists!$A:$H,2,FALSE()),"unknown ID"))</f>
        <v/>
      </c>
      <c r="D35" s="138" t="str">
        <f aca="false">IF($B35="","",IFERROR(VLOOKUP($B35,Lists!$A:$H,3,FALSE()),""))</f>
        <v/>
      </c>
      <c r="E35" s="139" t="str">
        <f aca="false">IF($B35="","","Leslie Toole")</f>
        <v/>
      </c>
      <c r="F35" s="117"/>
      <c r="G35" s="117"/>
      <c r="H35" s="118"/>
      <c r="I35" s="118"/>
      <c r="J35" s="33"/>
      <c r="K35" s="119"/>
      <c r="L35" s="119"/>
      <c r="M35" s="117"/>
      <c r="N35" s="117"/>
      <c r="O35" s="119"/>
      <c r="P35" s="117"/>
      <c r="Q35" s="140" t="str">
        <f aca="false">IF($B35="","",HYPERLINK("#Projects!A"&amp;MATCH($B35,Projects!$A:$A,0),"Open Project"))</f>
        <v/>
      </c>
    </row>
    <row r="36" customFormat="false" ht="30" hidden="false" customHeight="true" outlineLevel="0" collapsed="false">
      <c r="A36" s="137" t="str">
        <f aca="false">IF($B36="","","LT-"&amp;TEXT(ROW()-4,"000"))</f>
        <v/>
      </c>
      <c r="B36" s="118"/>
      <c r="C36" s="138" t="str">
        <f aca="false">IF($B36="","",IFERROR(VLOOKUP($B36,Lists!$A:$H,2,FALSE()),"unknown ID"))</f>
        <v/>
      </c>
      <c r="D36" s="138" t="str">
        <f aca="false">IF($B36="","",IFERROR(VLOOKUP($B36,Lists!$A:$H,3,FALSE()),""))</f>
        <v/>
      </c>
      <c r="E36" s="139" t="str">
        <f aca="false">IF($B36="","","Leslie Toole")</f>
        <v/>
      </c>
      <c r="F36" s="117"/>
      <c r="G36" s="117"/>
      <c r="H36" s="118"/>
      <c r="I36" s="118"/>
      <c r="J36" s="33"/>
      <c r="K36" s="119"/>
      <c r="L36" s="119"/>
      <c r="M36" s="117"/>
      <c r="N36" s="117"/>
      <c r="O36" s="119"/>
      <c r="P36" s="117"/>
      <c r="Q36" s="140" t="str">
        <f aca="false">IF($B36="","",HYPERLINK("#Projects!A"&amp;MATCH($B36,Projects!$A:$A,0),"Open Project"))</f>
        <v/>
      </c>
    </row>
    <row r="37" customFormat="false" ht="30" hidden="false" customHeight="true" outlineLevel="0" collapsed="false">
      <c r="A37" s="137" t="str">
        <f aca="false">IF($B37="","","LT-"&amp;TEXT(ROW()-4,"000"))</f>
        <v/>
      </c>
      <c r="B37" s="118"/>
      <c r="C37" s="138" t="str">
        <f aca="false">IF($B37="","",IFERROR(VLOOKUP($B37,Lists!$A:$H,2,FALSE()),"unknown ID"))</f>
        <v/>
      </c>
      <c r="D37" s="138" t="str">
        <f aca="false">IF($B37="","",IFERROR(VLOOKUP($B37,Lists!$A:$H,3,FALSE()),""))</f>
        <v/>
      </c>
      <c r="E37" s="139" t="str">
        <f aca="false">IF($B37="","","Leslie Toole")</f>
        <v/>
      </c>
      <c r="F37" s="117"/>
      <c r="G37" s="117"/>
      <c r="H37" s="118"/>
      <c r="I37" s="118"/>
      <c r="J37" s="33"/>
      <c r="K37" s="119"/>
      <c r="L37" s="119"/>
      <c r="M37" s="117"/>
      <c r="N37" s="117"/>
      <c r="O37" s="119"/>
      <c r="P37" s="117"/>
      <c r="Q37" s="140" t="str">
        <f aca="false">IF($B37="","",HYPERLINK("#Projects!A"&amp;MATCH($B37,Projects!$A:$A,0),"Open Project"))</f>
        <v/>
      </c>
    </row>
    <row r="38" customFormat="false" ht="30" hidden="false" customHeight="true" outlineLevel="0" collapsed="false">
      <c r="A38" s="137" t="str">
        <f aca="false">IF($B38="","","LT-"&amp;TEXT(ROW()-4,"000"))</f>
        <v/>
      </c>
      <c r="B38" s="118"/>
      <c r="C38" s="138" t="str">
        <f aca="false">IF($B38="","",IFERROR(VLOOKUP($B38,Lists!$A:$H,2,FALSE()),"unknown ID"))</f>
        <v/>
      </c>
      <c r="D38" s="138" t="str">
        <f aca="false">IF($B38="","",IFERROR(VLOOKUP($B38,Lists!$A:$H,3,FALSE()),""))</f>
        <v/>
      </c>
      <c r="E38" s="139" t="str">
        <f aca="false">IF($B38="","","Leslie Toole")</f>
        <v/>
      </c>
      <c r="F38" s="117"/>
      <c r="G38" s="117"/>
      <c r="H38" s="118"/>
      <c r="I38" s="118"/>
      <c r="J38" s="33"/>
      <c r="K38" s="119"/>
      <c r="L38" s="119"/>
      <c r="M38" s="117"/>
      <c r="N38" s="117"/>
      <c r="O38" s="119"/>
      <c r="P38" s="117"/>
      <c r="Q38" s="140" t="str">
        <f aca="false">IF($B38="","",HYPERLINK("#Projects!A"&amp;MATCH($B38,Projects!$A:$A,0),"Open Project"))</f>
        <v/>
      </c>
    </row>
    <row r="39" customFormat="false" ht="30" hidden="false" customHeight="true" outlineLevel="0" collapsed="false">
      <c r="A39" s="137" t="str">
        <f aca="false">IF($B39="","","LT-"&amp;TEXT(ROW()-4,"000"))</f>
        <v/>
      </c>
      <c r="B39" s="118"/>
      <c r="C39" s="138" t="str">
        <f aca="false">IF($B39="","",IFERROR(VLOOKUP($B39,Lists!$A:$H,2,FALSE()),"unknown ID"))</f>
        <v/>
      </c>
      <c r="D39" s="138" t="str">
        <f aca="false">IF($B39="","",IFERROR(VLOOKUP($B39,Lists!$A:$H,3,FALSE()),""))</f>
        <v/>
      </c>
      <c r="E39" s="139" t="str">
        <f aca="false">IF($B39="","","Leslie Toole")</f>
        <v/>
      </c>
      <c r="F39" s="117"/>
      <c r="G39" s="117"/>
      <c r="H39" s="118"/>
      <c r="I39" s="118"/>
      <c r="J39" s="33"/>
      <c r="K39" s="119"/>
      <c r="L39" s="119"/>
      <c r="M39" s="117"/>
      <c r="N39" s="117"/>
      <c r="O39" s="119"/>
      <c r="P39" s="117"/>
      <c r="Q39" s="140" t="str">
        <f aca="false">IF($B39="","",HYPERLINK("#Projects!A"&amp;MATCH($B39,Projects!$A:$A,0),"Open Project"))</f>
        <v/>
      </c>
    </row>
    <row r="40" customFormat="false" ht="30" hidden="false" customHeight="true" outlineLevel="0" collapsed="false">
      <c r="A40" s="137" t="str">
        <f aca="false">IF($B40="","","LT-"&amp;TEXT(ROW()-4,"000"))</f>
        <v/>
      </c>
      <c r="B40" s="118"/>
      <c r="C40" s="138" t="str">
        <f aca="false">IF($B40="","",IFERROR(VLOOKUP($B40,Lists!$A:$H,2,FALSE()),"unknown ID"))</f>
        <v/>
      </c>
      <c r="D40" s="138" t="str">
        <f aca="false">IF($B40="","",IFERROR(VLOOKUP($B40,Lists!$A:$H,3,FALSE()),""))</f>
        <v/>
      </c>
      <c r="E40" s="139" t="str">
        <f aca="false">IF($B40="","","Leslie Toole")</f>
        <v/>
      </c>
      <c r="F40" s="117"/>
      <c r="G40" s="117"/>
      <c r="H40" s="118"/>
      <c r="I40" s="118"/>
      <c r="J40" s="33"/>
      <c r="K40" s="119"/>
      <c r="L40" s="119"/>
      <c r="M40" s="117"/>
      <c r="N40" s="117"/>
      <c r="O40" s="119"/>
      <c r="P40" s="117"/>
      <c r="Q40" s="140" t="str">
        <f aca="false">IF($B40="","",HYPERLINK("#Projects!A"&amp;MATCH($B40,Projects!$A:$A,0),"Open Project"))</f>
        <v/>
      </c>
    </row>
    <row r="41" customFormat="false" ht="30" hidden="false" customHeight="true" outlineLevel="0" collapsed="false">
      <c r="A41" s="137" t="str">
        <f aca="false">IF($B41="","","LT-"&amp;TEXT(ROW()-4,"000"))</f>
        <v/>
      </c>
      <c r="B41" s="118"/>
      <c r="C41" s="138" t="str">
        <f aca="false">IF($B41="","",IFERROR(VLOOKUP($B41,Lists!$A:$H,2,FALSE()),"unknown ID"))</f>
        <v/>
      </c>
      <c r="D41" s="138" t="str">
        <f aca="false">IF($B41="","",IFERROR(VLOOKUP($B41,Lists!$A:$H,3,FALSE()),""))</f>
        <v/>
      </c>
      <c r="E41" s="139" t="str">
        <f aca="false">IF($B41="","","Leslie Toole")</f>
        <v/>
      </c>
      <c r="F41" s="117"/>
      <c r="G41" s="117"/>
      <c r="H41" s="118"/>
      <c r="I41" s="118"/>
      <c r="J41" s="33"/>
      <c r="K41" s="119"/>
      <c r="L41" s="119"/>
      <c r="M41" s="117"/>
      <c r="N41" s="117"/>
      <c r="O41" s="119"/>
      <c r="P41" s="117"/>
      <c r="Q41" s="140" t="str">
        <f aca="false">IF($B41="","",HYPERLINK("#Projects!A"&amp;MATCH($B41,Projects!$A:$A,0),"Open Project"))</f>
        <v/>
      </c>
    </row>
    <row r="42" customFormat="false" ht="30" hidden="false" customHeight="true" outlineLevel="0" collapsed="false">
      <c r="A42" s="137" t="str">
        <f aca="false">IF($B42="","","LT-"&amp;TEXT(ROW()-4,"000"))</f>
        <v/>
      </c>
      <c r="B42" s="118"/>
      <c r="C42" s="138" t="str">
        <f aca="false">IF($B42="","",IFERROR(VLOOKUP($B42,Lists!$A:$H,2,FALSE()),"unknown ID"))</f>
        <v/>
      </c>
      <c r="D42" s="138" t="str">
        <f aca="false">IF($B42="","",IFERROR(VLOOKUP($B42,Lists!$A:$H,3,FALSE()),""))</f>
        <v/>
      </c>
      <c r="E42" s="139" t="str">
        <f aca="false">IF($B42="","","Leslie Toole")</f>
        <v/>
      </c>
      <c r="F42" s="117"/>
      <c r="G42" s="117"/>
      <c r="H42" s="118"/>
      <c r="I42" s="118"/>
      <c r="J42" s="33"/>
      <c r="K42" s="119"/>
      <c r="L42" s="119"/>
      <c r="M42" s="117"/>
      <c r="N42" s="117"/>
      <c r="O42" s="119"/>
      <c r="P42" s="117"/>
      <c r="Q42" s="140" t="str">
        <f aca="false">IF($B42="","",HYPERLINK("#Projects!A"&amp;MATCH($B42,Projects!$A:$A,0),"Open Project"))</f>
        <v/>
      </c>
    </row>
    <row r="43" customFormat="false" ht="30" hidden="false" customHeight="true" outlineLevel="0" collapsed="false">
      <c r="A43" s="137" t="str">
        <f aca="false">IF($B43="","","LT-"&amp;TEXT(ROW()-4,"000"))</f>
        <v/>
      </c>
      <c r="B43" s="118"/>
      <c r="C43" s="138" t="str">
        <f aca="false">IF($B43="","",IFERROR(VLOOKUP($B43,Lists!$A:$H,2,FALSE()),"unknown ID"))</f>
        <v/>
      </c>
      <c r="D43" s="138" t="str">
        <f aca="false">IF($B43="","",IFERROR(VLOOKUP($B43,Lists!$A:$H,3,FALSE()),""))</f>
        <v/>
      </c>
      <c r="E43" s="139" t="str">
        <f aca="false">IF($B43="","","Leslie Toole")</f>
        <v/>
      </c>
      <c r="F43" s="117"/>
      <c r="G43" s="117"/>
      <c r="H43" s="118"/>
      <c r="I43" s="118"/>
      <c r="J43" s="33"/>
      <c r="K43" s="119"/>
      <c r="L43" s="119"/>
      <c r="M43" s="117"/>
      <c r="N43" s="117"/>
      <c r="O43" s="119"/>
      <c r="P43" s="117"/>
      <c r="Q43" s="140" t="str">
        <f aca="false">IF($B43="","",HYPERLINK("#Projects!A"&amp;MATCH($B43,Projects!$A:$A,0),"Open Project"))</f>
        <v/>
      </c>
    </row>
    <row r="44" customFormat="false" ht="30" hidden="false" customHeight="true" outlineLevel="0" collapsed="false">
      <c r="A44" s="137" t="str">
        <f aca="false">IF($B44="","","LT-"&amp;TEXT(ROW()-4,"000"))</f>
        <v/>
      </c>
      <c r="B44" s="118"/>
      <c r="C44" s="138" t="str">
        <f aca="false">IF($B44="","",IFERROR(VLOOKUP($B44,Lists!$A:$H,2,FALSE()),"unknown ID"))</f>
        <v/>
      </c>
      <c r="D44" s="138" t="str">
        <f aca="false">IF($B44="","",IFERROR(VLOOKUP($B44,Lists!$A:$H,3,FALSE()),""))</f>
        <v/>
      </c>
      <c r="E44" s="139" t="str">
        <f aca="false">IF($B44="","","Leslie Toole")</f>
        <v/>
      </c>
      <c r="F44" s="117"/>
      <c r="G44" s="117"/>
      <c r="H44" s="118"/>
      <c r="I44" s="118"/>
      <c r="J44" s="33"/>
      <c r="K44" s="119"/>
      <c r="L44" s="119"/>
      <c r="M44" s="117"/>
      <c r="N44" s="117"/>
      <c r="O44" s="119"/>
      <c r="P44" s="117"/>
      <c r="Q44" s="140" t="str">
        <f aca="false">IF($B44="","",HYPERLINK("#Projects!A"&amp;MATCH($B44,Projects!$A:$A,0),"Open Project"))</f>
        <v/>
      </c>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sheetData>
  <mergeCells count="2">
    <mergeCell ref="A1:Q1"/>
    <mergeCell ref="A2:Q2"/>
  </mergeCells>
  <conditionalFormatting sqref="M6:M9">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J6:J101">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I5:I44">
    <cfRule type="cellIs" priority="16" operator="equal" aboveAverage="0" equalAverage="0" bottom="0" percent="0" rank="0" text="" dxfId="29">
      <formula>"Complete"</formula>
    </cfRule>
    <cfRule type="cellIs" priority="17" operator="equal" aboveAverage="0" equalAverage="0" bottom="0" percent="0" rank="0" text="" dxfId="4">
      <formula>"Blocked"</formula>
    </cfRule>
    <cfRule type="cellIs" priority="18" operator="equal" aboveAverage="0" equalAverage="0" bottom="0" percent="0" rank="0" text="" dxfId="45">
      <formula>"Waiting on Someone"</formula>
    </cfRule>
    <cfRule type="cellIs" priority="19" operator="equal" aboveAverage="0" equalAverage="0" bottom="0" percent="0" rank="0" text="" dxfId="30">
      <formula>"In Progress"</formula>
    </cfRule>
    <cfRule type="cellIs" priority="20" operator="equal" aboveAverage="0" equalAverage="0" bottom="0" percent="0" rank="0" text="" dxfId="32">
      <formula>"Not Started"</formula>
    </cfRule>
  </conditionalFormatting>
  <conditionalFormatting sqref="L5:L44">
    <cfRule type="expression" priority="21" aboveAverage="0" equalAverage="0" bottom="0" percent="0" rank="0" text="" dxfId="4">
      <formula>AND($L5&lt;&gt;"",$L5&lt;TODAY(),$I5&lt;&gt;"Complete")</formula>
    </cfRule>
    <cfRule type="expression" priority="22" aboveAverage="0" equalAverage="0" bottom="0" percent="0" rank="0" text="" dxfId="46">
      <formula>AND($L5&lt;&gt;"",$L5&gt;=TODAY(),$L5&lt;=TODAY()+7,$I5&lt;&gt;"Complete")</formula>
    </cfRule>
  </conditionalFormatting>
  <conditionalFormatting sqref="G5:G44">
    <cfRule type="expression" priority="23" aboveAverage="0" equalAverage="0" bottom="0" percent="0" rank="0" text="" dxfId="47">
      <formula>$I5="Complete"</formula>
    </cfRule>
  </conditionalFormatting>
  <conditionalFormatting sqref="J5:J44">
    <cfRule type="dataBar" priority="24">
      <dataBar showValue="1" minLength="10" maxLength="90">
        <cfvo type="num" val="0"/>
        <cfvo type="num" val="1"/>
        <color rgb="FF2E75B6"/>
      </dataBar>
      <extLst>
        <ext xmlns:x14="http://schemas.microsoft.com/office/spreadsheetml/2009/9/main" uri="{B025F937-C7B1-47D3-B67F-A62EFF666E3E}">
          <x14:id>{C4AFFFAD-D977-4F72-B5CC-E64C44148AEB}</x14:id>
        </ext>
      </extLst>
    </cfRule>
  </conditionalFormatting>
  <dataValidations count="5">
    <dataValidation allowBlank="true" errorStyle="stop" operator="between" showDropDown="false" showErrorMessage="true" showInputMessage="true" sqref="J6:J10 M6:M9 J11:J101" type="list">
      <formula1>"C,G,Y,R,na"</formula1>
      <formula2>0</formula2>
    </dataValidation>
    <dataValidation allowBlank="true" error="Pick a value from the list" errorStyle="stop" errorTitle="Invalid entry" operator="between" showDropDown="false" showErrorMessage="false" showInputMessage="false" sqref="B5:B44" type="list">
      <formula1>ProjectIDList</formula1>
      <formula2>0</formula2>
    </dataValidation>
    <dataValidation allowBlank="true" error="Pick a value from the list" errorStyle="stop" errorTitle="Invalid entry" operator="between" showDropDown="false" showErrorMessage="false" showInputMessage="false" sqref="F5:F44" type="list">
      <formula1>RoleList</formula1>
      <formula2>0</formula2>
    </dataValidation>
    <dataValidation allowBlank="true" error="Pick a value from the list" errorStyle="stop" errorTitle="Invalid entry" operator="between" showDropDown="false" showErrorMessage="false" showInputMessage="false" sqref="H5:H44" type="list">
      <formula1>PriorityList</formula1>
      <formula2>0</formula2>
    </dataValidation>
    <dataValidation allowBlank="true" error="Pick a value from the list" errorStyle="stop" errorTitle="Invalid entry" operator="between" showDropDown="false" showErrorMessage="false" showInputMessage="false" sqref="I5:I44" type="list">
      <formula1>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C4AFFFAD-D977-4F72-B5CC-E64C44148AEB}">
            <x14:dataBar minLength="10" maxLength="90" axisPosition="none" gradient="true">
              <x14:cfvo type="num">
                <xm:f>0</xm:f>
              </x14:cfvo>
              <x14:cfvo type="num">
                <xm:f>1</xm:f>
              </x14:cfvo>
              <x14:negativeFillColor rgb="FF2E75B6"/>
              <x14:axisColor rgb="FF000000"/>
            </x14:dataBar>
          </x14:cfRule>
          <xm:sqref>J5:J44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Q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K7" activeCellId="0" sqref="K7"/>
    </sheetView>
  </sheetViews>
  <sheetFormatPr defaultColWidth="8.5390625" defaultRowHeight="14.2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4"/>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36"/>
    <col collapsed="false" customWidth="true" hidden="false" outlineLevel="0" max="8" min="8" style="0" width="10"/>
    <col collapsed="false" customWidth="true" hidden="false" outlineLevel="0" max="9" min="9" style="0" width="16"/>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26"/>
    <col collapsed="false" customWidth="true" hidden="false" outlineLevel="0" max="15" min="15" style="0" width="12"/>
    <col collapsed="false" customWidth="true" hidden="false" outlineLevel="0" max="16" min="16" style="0" width="30"/>
    <col collapsed="false" customWidth="true" hidden="false" outlineLevel="0" max="17" min="17" style="0" width="15"/>
  </cols>
  <sheetData>
    <row r="1" customFormat="false" ht="30" hidden="false" customHeight="true" outlineLevel="0" collapsed="false">
      <c r="A1" s="114" t="s">
        <v>335</v>
      </c>
      <c r="B1" s="114"/>
      <c r="C1" s="114"/>
      <c r="D1" s="114"/>
      <c r="E1" s="114"/>
      <c r="F1" s="114"/>
      <c r="G1" s="114"/>
      <c r="H1" s="114"/>
      <c r="I1" s="114"/>
      <c r="J1" s="114"/>
      <c r="K1" s="114"/>
      <c r="L1" s="114"/>
      <c r="M1" s="114"/>
      <c r="N1" s="114"/>
      <c r="O1" s="114"/>
      <c r="P1" s="114"/>
      <c r="Q1" s="114"/>
    </row>
    <row r="2" customFormat="false" ht="24" hidden="false" customHeight="true" outlineLevel="0" collapsed="false">
      <c r="A2" s="115" t="s">
        <v>263</v>
      </c>
      <c r="B2" s="115"/>
      <c r="C2" s="115"/>
      <c r="D2" s="115"/>
      <c r="E2" s="115"/>
      <c r="F2" s="115"/>
      <c r="G2" s="115"/>
      <c r="H2" s="115"/>
      <c r="I2" s="115"/>
      <c r="J2" s="115"/>
      <c r="K2" s="115"/>
      <c r="L2" s="115"/>
      <c r="M2" s="115"/>
      <c r="N2" s="115"/>
      <c r="O2" s="115"/>
      <c r="P2" s="115"/>
      <c r="Q2" s="115"/>
    </row>
    <row r="3" customFormat="false" ht="24" hidden="false" customHeight="true" outlineLevel="0" collapsed="false"/>
    <row r="4" customFormat="false" ht="33.75" hidden="false" customHeight="true" outlineLevel="0" collapsed="false">
      <c r="A4" s="129" t="s">
        <v>237</v>
      </c>
      <c r="B4" s="136" t="s">
        <v>178</v>
      </c>
      <c r="C4" s="129" t="s">
        <v>16</v>
      </c>
      <c r="D4" s="129" t="s">
        <v>251</v>
      </c>
      <c r="E4" s="129" t="s">
        <v>238</v>
      </c>
      <c r="F4" s="136" t="s">
        <v>240</v>
      </c>
      <c r="G4" s="136" t="s">
        <v>239</v>
      </c>
      <c r="H4" s="136" t="s">
        <v>241</v>
      </c>
      <c r="I4" s="136" t="s">
        <v>50</v>
      </c>
      <c r="J4" s="136" t="s">
        <v>252</v>
      </c>
      <c r="K4" s="136" t="s">
        <v>253</v>
      </c>
      <c r="L4" s="136" t="s">
        <v>254</v>
      </c>
      <c r="M4" s="136" t="s">
        <v>255</v>
      </c>
      <c r="N4" s="136" t="s">
        <v>246</v>
      </c>
      <c r="O4" s="136" t="s">
        <v>247</v>
      </c>
      <c r="P4" s="136" t="s">
        <v>248</v>
      </c>
      <c r="Q4" s="129" t="s">
        <v>264</v>
      </c>
    </row>
    <row r="5" customFormat="false" ht="30" hidden="false" customHeight="true" outlineLevel="0" collapsed="false">
      <c r="A5" s="137" t="str">
        <f aca="false">IF($B5="","","LH-"&amp;TEXT(ROW()-4,"000"))</f>
        <v>LH-001</v>
      </c>
      <c r="B5" s="118" t="s">
        <v>187</v>
      </c>
      <c r="C5" s="138" t="str">
        <f aca="false">IF($B5="","",IFERROR(VLOOKUP($B5,Lists!$A:$H,2,FALSE()),"unknown ID"))</f>
        <v>1 – Unified Development System</v>
      </c>
      <c r="D5" s="138" t="str">
        <f aca="false">IF($B5="","",IFERROR(VLOOKUP($B5,Lists!$A:$H,3,FALSE()),""))</f>
        <v>Implement standardized Mutual Evaluation Process (MEP) across all brands</v>
      </c>
      <c r="E5" s="139" t="str">
        <f aca="false">IF($B5="","","Leah Hanlon")</f>
        <v>Leah Hanlon</v>
      </c>
      <c r="F5" s="117" t="s">
        <v>270</v>
      </c>
      <c r="G5" s="117" t="s">
        <v>271</v>
      </c>
      <c r="H5" s="118" t="s">
        <v>272</v>
      </c>
      <c r="I5" s="118" t="s">
        <v>18</v>
      </c>
      <c r="J5" s="33" t="n">
        <v>0.5</v>
      </c>
      <c r="K5" s="119" t="n">
        <v>46162</v>
      </c>
      <c r="L5" s="119" t="n">
        <v>46186</v>
      </c>
      <c r="M5" s="117"/>
      <c r="N5" s="117"/>
      <c r="O5" s="119" t="s">
        <v>273</v>
      </c>
      <c r="P5" s="117" t="s">
        <v>274</v>
      </c>
      <c r="Q5" s="140" t="str">
        <f aca="false">IF($B5="","",HYPERLINK("#Projects!A"&amp;MATCH($B5,Projects!$A:$A,0),"Open Project"))</f>
        <v>Open Project</v>
      </c>
    </row>
    <row r="6" customFormat="false" ht="30" hidden="false" customHeight="true" outlineLevel="0" collapsed="false">
      <c r="A6" s="137" t="str">
        <f aca="false">IF($B6="","","LH-"&amp;TEXT(ROW()-4,"000"))</f>
        <v/>
      </c>
      <c r="B6" s="118"/>
      <c r="C6" s="138" t="str">
        <f aca="false">IF($B6="","",IFERROR(VLOOKUP($B6,Lists!$A:$H,2,FALSE()),"unknown ID"))</f>
        <v/>
      </c>
      <c r="D6" s="138" t="str">
        <f aca="false">IF($B6="","",IFERROR(VLOOKUP($B6,Lists!$A:$H,3,FALSE()),""))</f>
        <v/>
      </c>
      <c r="E6" s="139" t="str">
        <f aca="false">IF($B6="","","Leah Hanlon")</f>
        <v/>
      </c>
      <c r="F6" s="117"/>
      <c r="G6" s="117"/>
      <c r="H6" s="118"/>
      <c r="I6" s="118"/>
      <c r="J6" s="33"/>
      <c r="K6" s="119"/>
      <c r="L6" s="119"/>
      <c r="M6" s="117"/>
      <c r="N6" s="117"/>
      <c r="O6" s="119"/>
      <c r="P6" s="117"/>
      <c r="Q6" s="140" t="str">
        <f aca="false">IF($B6="","",HYPERLINK("#Projects!A"&amp;MATCH($B6,Projects!$A:$A,0),"Open Project"))</f>
        <v/>
      </c>
    </row>
    <row r="7" customFormat="false" ht="30" hidden="false" customHeight="true" outlineLevel="0" collapsed="false">
      <c r="A7" s="137" t="str">
        <f aca="false">IF($B7="","","LH-"&amp;TEXT(ROW()-4,"000"))</f>
        <v/>
      </c>
      <c r="B7" s="118"/>
      <c r="C7" s="138" t="str">
        <f aca="false">IF($B7="","",IFERROR(VLOOKUP($B7,Lists!$A:$H,2,FALSE()),"unknown ID"))</f>
        <v/>
      </c>
      <c r="D7" s="138" t="str">
        <f aca="false">IF($B7="","",IFERROR(VLOOKUP($B7,Lists!$A:$H,3,FALSE()),""))</f>
        <v/>
      </c>
      <c r="E7" s="139" t="str">
        <f aca="false">IF($B7="","","Leah Hanlon")</f>
        <v/>
      </c>
      <c r="F7" s="117"/>
      <c r="G7" s="117"/>
      <c r="H7" s="118"/>
      <c r="I7" s="118"/>
      <c r="J7" s="33"/>
      <c r="K7" s="119"/>
      <c r="L7" s="119"/>
      <c r="M7" s="117"/>
      <c r="N7" s="117"/>
      <c r="O7" s="119"/>
      <c r="P7" s="117"/>
      <c r="Q7" s="140" t="str">
        <f aca="false">IF($B7="","",HYPERLINK("#Projects!A"&amp;MATCH($B7,Projects!$A:$A,0),"Open Project"))</f>
        <v/>
      </c>
    </row>
    <row r="8" customFormat="false" ht="30" hidden="false" customHeight="true" outlineLevel="0" collapsed="false">
      <c r="A8" s="137" t="str">
        <f aca="false">IF($B8="","","LH-"&amp;TEXT(ROW()-4,"000"))</f>
        <v/>
      </c>
      <c r="B8" s="118"/>
      <c r="C8" s="138" t="str">
        <f aca="false">IF($B8="","",IFERROR(VLOOKUP($B8,Lists!$A:$H,2,FALSE()),"unknown ID"))</f>
        <v/>
      </c>
      <c r="D8" s="138" t="str">
        <f aca="false">IF($B8="","",IFERROR(VLOOKUP($B8,Lists!$A:$H,3,FALSE()),""))</f>
        <v/>
      </c>
      <c r="E8" s="139" t="str">
        <f aca="false">IF($B8="","","Leah Hanlon")</f>
        <v/>
      </c>
      <c r="F8" s="117"/>
      <c r="G8" s="117"/>
      <c r="H8" s="118"/>
      <c r="I8" s="118"/>
      <c r="J8" s="33"/>
      <c r="K8" s="119"/>
      <c r="L8" s="119"/>
      <c r="M8" s="117"/>
      <c r="N8" s="117"/>
      <c r="O8" s="119"/>
      <c r="P8" s="117"/>
      <c r="Q8" s="140" t="str">
        <f aca="false">IF($B8="","",HYPERLINK("#Projects!A"&amp;MATCH($B8,Projects!$A:$A,0),"Open Project"))</f>
        <v/>
      </c>
    </row>
    <row r="9" customFormat="false" ht="30" hidden="false" customHeight="true" outlineLevel="0" collapsed="false">
      <c r="A9" s="137" t="str">
        <f aca="false">IF($B9="","","LH-"&amp;TEXT(ROW()-4,"000"))</f>
        <v/>
      </c>
      <c r="B9" s="118"/>
      <c r="C9" s="138" t="str">
        <f aca="false">IF($B9="","",IFERROR(VLOOKUP($B9,Lists!$A:$H,2,FALSE()),"unknown ID"))</f>
        <v/>
      </c>
      <c r="D9" s="138" t="str">
        <f aca="false">IF($B9="","",IFERROR(VLOOKUP($B9,Lists!$A:$H,3,FALSE()),""))</f>
        <v/>
      </c>
      <c r="E9" s="139" t="str">
        <f aca="false">IF($B9="","","Leah Hanlon")</f>
        <v/>
      </c>
      <c r="F9" s="117"/>
      <c r="G9" s="117"/>
      <c r="H9" s="118"/>
      <c r="I9" s="118"/>
      <c r="J9" s="33"/>
      <c r="K9" s="119"/>
      <c r="L9" s="119"/>
      <c r="M9" s="117"/>
      <c r="N9" s="117"/>
      <c r="O9" s="119"/>
      <c r="P9" s="117"/>
      <c r="Q9" s="140" t="str">
        <f aca="false">IF($B9="","",HYPERLINK("#Projects!A"&amp;MATCH($B9,Projects!$A:$A,0),"Open Project"))</f>
        <v/>
      </c>
    </row>
    <row r="10" customFormat="false" ht="30" hidden="false" customHeight="true" outlineLevel="0" collapsed="false">
      <c r="A10" s="137" t="str">
        <f aca="false">IF($B10="","","LH-"&amp;TEXT(ROW()-4,"000"))</f>
        <v/>
      </c>
      <c r="B10" s="118"/>
      <c r="C10" s="138" t="str">
        <f aca="false">IF($B10="","",IFERROR(VLOOKUP($B10,Lists!$A:$H,2,FALSE()),"unknown ID"))</f>
        <v/>
      </c>
      <c r="D10" s="138" t="str">
        <f aca="false">IF($B10="","",IFERROR(VLOOKUP($B10,Lists!$A:$H,3,FALSE()),""))</f>
        <v/>
      </c>
      <c r="E10" s="139" t="str">
        <f aca="false">IF($B10="","","Leah Hanlon")</f>
        <v/>
      </c>
      <c r="F10" s="117"/>
      <c r="G10" s="117"/>
      <c r="H10" s="118"/>
      <c r="I10" s="118"/>
      <c r="J10" s="33"/>
      <c r="K10" s="119"/>
      <c r="L10" s="119"/>
      <c r="M10" s="117"/>
      <c r="N10" s="117"/>
      <c r="O10" s="119"/>
      <c r="P10" s="117"/>
      <c r="Q10" s="140" t="str">
        <f aca="false">IF($B10="","",HYPERLINK("#Projects!A"&amp;MATCH($B10,Projects!$A:$A,0),"Open Project"))</f>
        <v/>
      </c>
    </row>
    <row r="11" customFormat="false" ht="30" hidden="false" customHeight="true" outlineLevel="0" collapsed="false">
      <c r="A11" s="137" t="str">
        <f aca="false">IF($B11="","","LH-"&amp;TEXT(ROW()-4,"000"))</f>
        <v/>
      </c>
      <c r="B11" s="118"/>
      <c r="C11" s="138" t="str">
        <f aca="false">IF($B11="","",IFERROR(VLOOKUP($B11,Lists!$A:$H,2,FALSE()),"unknown ID"))</f>
        <v/>
      </c>
      <c r="D11" s="138" t="str">
        <f aca="false">IF($B11="","",IFERROR(VLOOKUP($B11,Lists!$A:$H,3,FALSE()),""))</f>
        <v/>
      </c>
      <c r="E11" s="139" t="str">
        <f aca="false">IF($B11="","","Leah Hanlon")</f>
        <v/>
      </c>
      <c r="F11" s="117"/>
      <c r="G11" s="117"/>
      <c r="H11" s="118"/>
      <c r="I11" s="118"/>
      <c r="J11" s="33"/>
      <c r="K11" s="119"/>
      <c r="L11" s="119"/>
      <c r="M11" s="117"/>
      <c r="N11" s="117"/>
      <c r="O11" s="119"/>
      <c r="P11" s="117"/>
      <c r="Q11" s="140" t="str">
        <f aca="false">IF($B11="","",HYPERLINK("#Projects!A"&amp;MATCH($B11,Projects!$A:$A,0),"Open Project"))</f>
        <v/>
      </c>
    </row>
    <row r="12" customFormat="false" ht="30" hidden="false" customHeight="true" outlineLevel="0" collapsed="false">
      <c r="A12" s="137" t="str">
        <f aca="false">IF($B12="","","LH-"&amp;TEXT(ROW()-4,"000"))</f>
        <v/>
      </c>
      <c r="B12" s="118"/>
      <c r="C12" s="138" t="str">
        <f aca="false">IF($B12="","",IFERROR(VLOOKUP($B12,Lists!$A:$H,2,FALSE()),"unknown ID"))</f>
        <v/>
      </c>
      <c r="D12" s="138" t="str">
        <f aca="false">IF($B12="","",IFERROR(VLOOKUP($B12,Lists!$A:$H,3,FALSE()),""))</f>
        <v/>
      </c>
      <c r="E12" s="139" t="str">
        <f aca="false">IF($B12="","","Leah Hanlon")</f>
        <v/>
      </c>
      <c r="F12" s="117"/>
      <c r="G12" s="117"/>
      <c r="H12" s="118"/>
      <c r="I12" s="118"/>
      <c r="J12" s="33"/>
      <c r="K12" s="119"/>
      <c r="L12" s="119"/>
      <c r="M12" s="117"/>
      <c r="N12" s="117"/>
      <c r="O12" s="119"/>
      <c r="P12" s="117"/>
      <c r="Q12" s="140" t="str">
        <f aca="false">IF($B12="","",HYPERLINK("#Projects!A"&amp;MATCH($B12,Projects!$A:$A,0),"Open Project"))</f>
        <v/>
      </c>
    </row>
    <row r="13" customFormat="false" ht="30" hidden="false" customHeight="true" outlineLevel="0" collapsed="false">
      <c r="A13" s="137" t="str">
        <f aca="false">IF($B13="","","LH-"&amp;TEXT(ROW()-4,"000"))</f>
        <v/>
      </c>
      <c r="B13" s="118"/>
      <c r="C13" s="138" t="str">
        <f aca="false">IF($B13="","",IFERROR(VLOOKUP($B13,Lists!$A:$H,2,FALSE()),"unknown ID"))</f>
        <v/>
      </c>
      <c r="D13" s="138" t="str">
        <f aca="false">IF($B13="","",IFERROR(VLOOKUP($B13,Lists!$A:$H,3,FALSE()),""))</f>
        <v/>
      </c>
      <c r="E13" s="139" t="str">
        <f aca="false">IF($B13="","","Leah Hanlon")</f>
        <v/>
      </c>
      <c r="F13" s="117"/>
      <c r="G13" s="117"/>
      <c r="H13" s="118"/>
      <c r="I13" s="118"/>
      <c r="J13" s="33"/>
      <c r="K13" s="119"/>
      <c r="L13" s="119"/>
      <c r="M13" s="117"/>
      <c r="N13" s="117"/>
      <c r="O13" s="119"/>
      <c r="P13" s="117"/>
      <c r="Q13" s="140" t="str">
        <f aca="false">IF($B13="","",HYPERLINK("#Projects!A"&amp;MATCH($B13,Projects!$A:$A,0),"Open Project"))</f>
        <v/>
      </c>
    </row>
    <row r="14" customFormat="false" ht="30" hidden="false" customHeight="true" outlineLevel="0" collapsed="false">
      <c r="A14" s="137" t="str">
        <f aca="false">IF($B14="","","LH-"&amp;TEXT(ROW()-4,"000"))</f>
        <v/>
      </c>
      <c r="B14" s="118"/>
      <c r="C14" s="138" t="str">
        <f aca="false">IF($B14="","",IFERROR(VLOOKUP($B14,Lists!$A:$H,2,FALSE()),"unknown ID"))</f>
        <v/>
      </c>
      <c r="D14" s="138" t="str">
        <f aca="false">IF($B14="","",IFERROR(VLOOKUP($B14,Lists!$A:$H,3,FALSE()),""))</f>
        <v/>
      </c>
      <c r="E14" s="139" t="str">
        <f aca="false">IF($B14="","","Leah Hanlon")</f>
        <v/>
      </c>
      <c r="F14" s="117"/>
      <c r="G14" s="117"/>
      <c r="H14" s="118"/>
      <c r="I14" s="118"/>
      <c r="J14" s="33"/>
      <c r="K14" s="119"/>
      <c r="L14" s="119"/>
      <c r="M14" s="117"/>
      <c r="N14" s="117"/>
      <c r="O14" s="119"/>
      <c r="P14" s="117"/>
      <c r="Q14" s="140" t="str">
        <f aca="false">IF($B14="","",HYPERLINK("#Projects!A"&amp;MATCH($B14,Projects!$A:$A,0),"Open Project"))</f>
        <v/>
      </c>
    </row>
    <row r="15" customFormat="false" ht="30" hidden="false" customHeight="true" outlineLevel="0" collapsed="false">
      <c r="A15" s="137" t="str">
        <f aca="false">IF($B15="","","LH-"&amp;TEXT(ROW()-4,"000"))</f>
        <v/>
      </c>
      <c r="B15" s="118"/>
      <c r="C15" s="138" t="str">
        <f aca="false">IF($B15="","",IFERROR(VLOOKUP($B15,Lists!$A:$H,2,FALSE()),"unknown ID"))</f>
        <v/>
      </c>
      <c r="D15" s="138" t="str">
        <f aca="false">IF($B15="","",IFERROR(VLOOKUP($B15,Lists!$A:$H,3,FALSE()),""))</f>
        <v/>
      </c>
      <c r="E15" s="139" t="str">
        <f aca="false">IF($B15="","","Leah Hanlon")</f>
        <v/>
      </c>
      <c r="F15" s="117"/>
      <c r="G15" s="117"/>
      <c r="H15" s="118"/>
      <c r="I15" s="118"/>
      <c r="J15" s="33"/>
      <c r="K15" s="119"/>
      <c r="L15" s="119"/>
      <c r="M15" s="117"/>
      <c r="N15" s="117"/>
      <c r="O15" s="119"/>
      <c r="P15" s="117"/>
      <c r="Q15" s="140" t="str">
        <f aca="false">IF($B15="","",HYPERLINK("#Projects!A"&amp;MATCH($B15,Projects!$A:$A,0),"Open Project"))</f>
        <v/>
      </c>
    </row>
    <row r="16" customFormat="false" ht="30" hidden="false" customHeight="true" outlineLevel="0" collapsed="false">
      <c r="A16" s="137" t="str">
        <f aca="false">IF($B16="","","LH-"&amp;TEXT(ROW()-4,"000"))</f>
        <v/>
      </c>
      <c r="B16" s="118"/>
      <c r="C16" s="138" t="str">
        <f aca="false">IF($B16="","",IFERROR(VLOOKUP($B16,Lists!$A:$H,2,FALSE()),"unknown ID"))</f>
        <v/>
      </c>
      <c r="D16" s="138" t="str">
        <f aca="false">IF($B16="","",IFERROR(VLOOKUP($B16,Lists!$A:$H,3,FALSE()),""))</f>
        <v/>
      </c>
      <c r="E16" s="139" t="str">
        <f aca="false">IF($B16="","","Leah Hanlon")</f>
        <v/>
      </c>
      <c r="F16" s="117"/>
      <c r="G16" s="117"/>
      <c r="H16" s="118"/>
      <c r="I16" s="118"/>
      <c r="J16" s="33"/>
      <c r="K16" s="119"/>
      <c r="L16" s="119"/>
      <c r="M16" s="117"/>
      <c r="N16" s="117"/>
      <c r="O16" s="119"/>
      <c r="P16" s="117"/>
      <c r="Q16" s="140" t="str">
        <f aca="false">IF($B16="","",HYPERLINK("#Projects!A"&amp;MATCH($B16,Projects!$A:$A,0),"Open Project"))</f>
        <v/>
      </c>
    </row>
    <row r="17" customFormat="false" ht="30" hidden="false" customHeight="true" outlineLevel="0" collapsed="false">
      <c r="A17" s="137" t="str">
        <f aca="false">IF($B17="","","LH-"&amp;TEXT(ROW()-4,"000"))</f>
        <v/>
      </c>
      <c r="B17" s="118"/>
      <c r="C17" s="138" t="str">
        <f aca="false">IF($B17="","",IFERROR(VLOOKUP($B17,Lists!$A:$H,2,FALSE()),"unknown ID"))</f>
        <v/>
      </c>
      <c r="D17" s="138" t="str">
        <f aca="false">IF($B17="","",IFERROR(VLOOKUP($B17,Lists!$A:$H,3,FALSE()),""))</f>
        <v/>
      </c>
      <c r="E17" s="139" t="str">
        <f aca="false">IF($B17="","","Leah Hanlon")</f>
        <v/>
      </c>
      <c r="F17" s="117"/>
      <c r="G17" s="117"/>
      <c r="H17" s="118"/>
      <c r="I17" s="118"/>
      <c r="J17" s="33"/>
      <c r="K17" s="119"/>
      <c r="L17" s="119"/>
      <c r="M17" s="117"/>
      <c r="N17" s="117"/>
      <c r="O17" s="119"/>
      <c r="P17" s="117"/>
      <c r="Q17" s="140" t="str">
        <f aca="false">IF($B17="","",HYPERLINK("#Projects!A"&amp;MATCH($B17,Projects!$A:$A,0),"Open Project"))</f>
        <v/>
      </c>
    </row>
    <row r="18" customFormat="false" ht="30" hidden="false" customHeight="true" outlineLevel="0" collapsed="false">
      <c r="A18" s="137" t="str">
        <f aca="false">IF($B18="","","LH-"&amp;TEXT(ROW()-4,"000"))</f>
        <v/>
      </c>
      <c r="B18" s="118"/>
      <c r="C18" s="138" t="str">
        <f aca="false">IF($B18="","",IFERROR(VLOOKUP($B18,Lists!$A:$H,2,FALSE()),"unknown ID"))</f>
        <v/>
      </c>
      <c r="D18" s="138" t="str">
        <f aca="false">IF($B18="","",IFERROR(VLOOKUP($B18,Lists!$A:$H,3,FALSE()),""))</f>
        <v/>
      </c>
      <c r="E18" s="139" t="str">
        <f aca="false">IF($B18="","","Leah Hanlon")</f>
        <v/>
      </c>
      <c r="F18" s="117"/>
      <c r="G18" s="117"/>
      <c r="H18" s="118"/>
      <c r="I18" s="118"/>
      <c r="J18" s="33"/>
      <c r="K18" s="119"/>
      <c r="L18" s="119"/>
      <c r="M18" s="117"/>
      <c r="N18" s="117"/>
      <c r="O18" s="119"/>
      <c r="P18" s="117"/>
      <c r="Q18" s="140" t="str">
        <f aca="false">IF($B18="","",HYPERLINK("#Projects!A"&amp;MATCH($B18,Projects!$A:$A,0),"Open Project"))</f>
        <v/>
      </c>
    </row>
    <row r="19" customFormat="false" ht="30" hidden="false" customHeight="true" outlineLevel="0" collapsed="false">
      <c r="A19" s="137" t="str">
        <f aca="false">IF($B19="","","LH-"&amp;TEXT(ROW()-4,"000"))</f>
        <v/>
      </c>
      <c r="B19" s="118"/>
      <c r="C19" s="138" t="str">
        <f aca="false">IF($B19="","",IFERROR(VLOOKUP($B19,Lists!$A:$H,2,FALSE()),"unknown ID"))</f>
        <v/>
      </c>
      <c r="D19" s="138" t="str">
        <f aca="false">IF($B19="","",IFERROR(VLOOKUP($B19,Lists!$A:$H,3,FALSE()),""))</f>
        <v/>
      </c>
      <c r="E19" s="139" t="str">
        <f aca="false">IF($B19="","","Leah Hanlon")</f>
        <v/>
      </c>
      <c r="F19" s="117"/>
      <c r="G19" s="117"/>
      <c r="H19" s="118"/>
      <c r="I19" s="118"/>
      <c r="J19" s="33"/>
      <c r="K19" s="119"/>
      <c r="L19" s="119"/>
      <c r="M19" s="117"/>
      <c r="N19" s="117"/>
      <c r="O19" s="119"/>
      <c r="P19" s="117"/>
      <c r="Q19" s="140" t="str">
        <f aca="false">IF($B19="","",HYPERLINK("#Projects!A"&amp;MATCH($B19,Projects!$A:$A,0),"Open Project"))</f>
        <v/>
      </c>
    </row>
    <row r="20" customFormat="false" ht="30" hidden="false" customHeight="true" outlineLevel="0" collapsed="false">
      <c r="A20" s="137" t="str">
        <f aca="false">IF($B20="","","LH-"&amp;TEXT(ROW()-4,"000"))</f>
        <v/>
      </c>
      <c r="B20" s="118"/>
      <c r="C20" s="138" t="str">
        <f aca="false">IF($B20="","",IFERROR(VLOOKUP($B20,Lists!$A:$H,2,FALSE()),"unknown ID"))</f>
        <v/>
      </c>
      <c r="D20" s="138" t="str">
        <f aca="false">IF($B20="","",IFERROR(VLOOKUP($B20,Lists!$A:$H,3,FALSE()),""))</f>
        <v/>
      </c>
      <c r="E20" s="139" t="str">
        <f aca="false">IF($B20="","","Leah Hanlon")</f>
        <v/>
      </c>
      <c r="F20" s="117"/>
      <c r="G20" s="117"/>
      <c r="H20" s="118"/>
      <c r="I20" s="118"/>
      <c r="J20" s="33"/>
      <c r="K20" s="119"/>
      <c r="L20" s="119"/>
      <c r="M20" s="117"/>
      <c r="N20" s="117"/>
      <c r="O20" s="119"/>
      <c r="P20" s="117"/>
      <c r="Q20" s="140" t="str">
        <f aca="false">IF($B20="","",HYPERLINK("#Projects!A"&amp;MATCH($B20,Projects!$A:$A,0),"Open Project"))</f>
        <v/>
      </c>
    </row>
    <row r="21" customFormat="false" ht="30" hidden="false" customHeight="true" outlineLevel="0" collapsed="false">
      <c r="A21" s="137" t="str">
        <f aca="false">IF($B21="","","LH-"&amp;TEXT(ROW()-4,"000"))</f>
        <v/>
      </c>
      <c r="B21" s="118"/>
      <c r="C21" s="138" t="str">
        <f aca="false">IF($B21="","",IFERROR(VLOOKUP($B21,Lists!$A:$H,2,FALSE()),"unknown ID"))</f>
        <v/>
      </c>
      <c r="D21" s="138" t="str">
        <f aca="false">IF($B21="","",IFERROR(VLOOKUP($B21,Lists!$A:$H,3,FALSE()),""))</f>
        <v/>
      </c>
      <c r="E21" s="139" t="str">
        <f aca="false">IF($B21="","","Leah Hanlon")</f>
        <v/>
      </c>
      <c r="F21" s="117"/>
      <c r="G21" s="117"/>
      <c r="H21" s="118"/>
      <c r="I21" s="118"/>
      <c r="J21" s="33"/>
      <c r="K21" s="119"/>
      <c r="L21" s="119"/>
      <c r="M21" s="117"/>
      <c r="N21" s="117"/>
      <c r="O21" s="119"/>
      <c r="P21" s="117"/>
      <c r="Q21" s="140" t="str">
        <f aca="false">IF($B21="","",HYPERLINK("#Projects!A"&amp;MATCH($B21,Projects!$A:$A,0),"Open Project"))</f>
        <v/>
      </c>
    </row>
    <row r="22" customFormat="false" ht="30" hidden="false" customHeight="true" outlineLevel="0" collapsed="false">
      <c r="A22" s="137" t="str">
        <f aca="false">IF($B22="","","LH-"&amp;TEXT(ROW()-4,"000"))</f>
        <v/>
      </c>
      <c r="B22" s="118"/>
      <c r="C22" s="138" t="str">
        <f aca="false">IF($B22="","",IFERROR(VLOOKUP($B22,Lists!$A:$H,2,FALSE()),"unknown ID"))</f>
        <v/>
      </c>
      <c r="D22" s="138" t="str">
        <f aca="false">IF($B22="","",IFERROR(VLOOKUP($B22,Lists!$A:$H,3,FALSE()),""))</f>
        <v/>
      </c>
      <c r="E22" s="139" t="str">
        <f aca="false">IF($B22="","","Leah Hanlon")</f>
        <v/>
      </c>
      <c r="F22" s="117"/>
      <c r="G22" s="117"/>
      <c r="H22" s="118"/>
      <c r="I22" s="118"/>
      <c r="J22" s="33"/>
      <c r="K22" s="119"/>
      <c r="L22" s="119"/>
      <c r="M22" s="117"/>
      <c r="N22" s="117"/>
      <c r="O22" s="119"/>
      <c r="P22" s="117"/>
      <c r="Q22" s="140" t="str">
        <f aca="false">IF($B22="","",HYPERLINK("#Projects!A"&amp;MATCH($B22,Projects!$A:$A,0),"Open Project"))</f>
        <v/>
      </c>
    </row>
    <row r="23" customFormat="false" ht="30" hidden="false" customHeight="true" outlineLevel="0" collapsed="false">
      <c r="A23" s="137" t="str">
        <f aca="false">IF($B23="","","LH-"&amp;TEXT(ROW()-4,"000"))</f>
        <v/>
      </c>
      <c r="B23" s="118"/>
      <c r="C23" s="138" t="str">
        <f aca="false">IF($B23="","",IFERROR(VLOOKUP($B23,Lists!$A:$H,2,FALSE()),"unknown ID"))</f>
        <v/>
      </c>
      <c r="D23" s="138" t="str">
        <f aca="false">IF($B23="","",IFERROR(VLOOKUP($B23,Lists!$A:$H,3,FALSE()),""))</f>
        <v/>
      </c>
      <c r="E23" s="139" t="str">
        <f aca="false">IF($B23="","","Leah Hanlon")</f>
        <v/>
      </c>
      <c r="F23" s="117"/>
      <c r="G23" s="117"/>
      <c r="H23" s="118"/>
      <c r="I23" s="118"/>
      <c r="J23" s="33"/>
      <c r="K23" s="119"/>
      <c r="L23" s="119"/>
      <c r="M23" s="117"/>
      <c r="N23" s="117"/>
      <c r="O23" s="119"/>
      <c r="P23" s="117"/>
      <c r="Q23" s="140" t="str">
        <f aca="false">IF($B23="","",HYPERLINK("#Projects!A"&amp;MATCH($B23,Projects!$A:$A,0),"Open Project"))</f>
        <v/>
      </c>
    </row>
    <row r="24" customFormat="false" ht="30" hidden="false" customHeight="true" outlineLevel="0" collapsed="false">
      <c r="A24" s="137" t="str">
        <f aca="false">IF($B24="","","LH-"&amp;TEXT(ROW()-4,"000"))</f>
        <v/>
      </c>
      <c r="B24" s="118"/>
      <c r="C24" s="138" t="str">
        <f aca="false">IF($B24="","",IFERROR(VLOOKUP($B24,Lists!$A:$H,2,FALSE()),"unknown ID"))</f>
        <v/>
      </c>
      <c r="D24" s="138" t="str">
        <f aca="false">IF($B24="","",IFERROR(VLOOKUP($B24,Lists!$A:$H,3,FALSE()),""))</f>
        <v/>
      </c>
      <c r="E24" s="139" t="str">
        <f aca="false">IF($B24="","","Leah Hanlon")</f>
        <v/>
      </c>
      <c r="F24" s="117"/>
      <c r="G24" s="117"/>
      <c r="H24" s="118"/>
      <c r="I24" s="118"/>
      <c r="J24" s="33"/>
      <c r="K24" s="119"/>
      <c r="L24" s="119"/>
      <c r="M24" s="117"/>
      <c r="N24" s="117"/>
      <c r="O24" s="119"/>
      <c r="P24" s="117"/>
      <c r="Q24" s="140" t="str">
        <f aca="false">IF($B24="","",HYPERLINK("#Projects!A"&amp;MATCH($B24,Projects!$A:$A,0),"Open Project"))</f>
        <v/>
      </c>
    </row>
    <row r="25" customFormat="false" ht="30" hidden="false" customHeight="true" outlineLevel="0" collapsed="false">
      <c r="A25" s="137" t="str">
        <f aca="false">IF($B25="","","LH-"&amp;TEXT(ROW()-4,"000"))</f>
        <v/>
      </c>
      <c r="B25" s="118"/>
      <c r="C25" s="138" t="str">
        <f aca="false">IF($B25="","",IFERROR(VLOOKUP($B25,Lists!$A:$H,2,FALSE()),"unknown ID"))</f>
        <v/>
      </c>
      <c r="D25" s="138" t="str">
        <f aca="false">IF($B25="","",IFERROR(VLOOKUP($B25,Lists!$A:$H,3,FALSE()),""))</f>
        <v/>
      </c>
      <c r="E25" s="139" t="str">
        <f aca="false">IF($B25="","","Leah Hanlon")</f>
        <v/>
      </c>
      <c r="F25" s="117"/>
      <c r="G25" s="117"/>
      <c r="H25" s="118"/>
      <c r="I25" s="118"/>
      <c r="J25" s="33"/>
      <c r="K25" s="119"/>
      <c r="L25" s="119"/>
      <c r="M25" s="117"/>
      <c r="N25" s="117"/>
      <c r="O25" s="119"/>
      <c r="P25" s="117"/>
      <c r="Q25" s="140" t="str">
        <f aca="false">IF($B25="","",HYPERLINK("#Projects!A"&amp;MATCH($B25,Projects!$A:$A,0),"Open Project"))</f>
        <v/>
      </c>
    </row>
    <row r="26" customFormat="false" ht="30" hidden="false" customHeight="true" outlineLevel="0" collapsed="false">
      <c r="A26" s="137" t="str">
        <f aca="false">IF($B26="","","LH-"&amp;TEXT(ROW()-4,"000"))</f>
        <v/>
      </c>
      <c r="B26" s="118"/>
      <c r="C26" s="138" t="str">
        <f aca="false">IF($B26="","",IFERROR(VLOOKUP($B26,Lists!$A:$H,2,FALSE()),"unknown ID"))</f>
        <v/>
      </c>
      <c r="D26" s="138" t="str">
        <f aca="false">IF($B26="","",IFERROR(VLOOKUP($B26,Lists!$A:$H,3,FALSE()),""))</f>
        <v/>
      </c>
      <c r="E26" s="139" t="str">
        <f aca="false">IF($B26="","","Leah Hanlon")</f>
        <v/>
      </c>
      <c r="F26" s="117"/>
      <c r="G26" s="117"/>
      <c r="H26" s="118"/>
      <c r="I26" s="118"/>
      <c r="J26" s="33"/>
      <c r="K26" s="119"/>
      <c r="L26" s="119"/>
      <c r="M26" s="117"/>
      <c r="N26" s="117"/>
      <c r="O26" s="119"/>
      <c r="P26" s="117"/>
      <c r="Q26" s="140" t="str">
        <f aca="false">IF($B26="","",HYPERLINK("#Projects!A"&amp;MATCH($B26,Projects!$A:$A,0),"Open Project"))</f>
        <v/>
      </c>
    </row>
    <row r="27" customFormat="false" ht="30" hidden="false" customHeight="true" outlineLevel="0" collapsed="false">
      <c r="A27" s="137" t="str">
        <f aca="false">IF($B27="","","LH-"&amp;TEXT(ROW()-4,"000"))</f>
        <v/>
      </c>
      <c r="B27" s="118"/>
      <c r="C27" s="138" t="str">
        <f aca="false">IF($B27="","",IFERROR(VLOOKUP($B27,Lists!$A:$H,2,FALSE()),"unknown ID"))</f>
        <v/>
      </c>
      <c r="D27" s="138" t="str">
        <f aca="false">IF($B27="","",IFERROR(VLOOKUP($B27,Lists!$A:$H,3,FALSE()),""))</f>
        <v/>
      </c>
      <c r="E27" s="139" t="str">
        <f aca="false">IF($B27="","","Leah Hanlon")</f>
        <v/>
      </c>
      <c r="F27" s="117"/>
      <c r="G27" s="117"/>
      <c r="H27" s="118"/>
      <c r="I27" s="118"/>
      <c r="J27" s="33"/>
      <c r="K27" s="119"/>
      <c r="L27" s="119"/>
      <c r="M27" s="117"/>
      <c r="N27" s="117"/>
      <c r="O27" s="119"/>
      <c r="P27" s="117"/>
      <c r="Q27" s="140" t="str">
        <f aca="false">IF($B27="","",HYPERLINK("#Projects!A"&amp;MATCH($B27,Projects!$A:$A,0),"Open Project"))</f>
        <v/>
      </c>
    </row>
    <row r="28" customFormat="false" ht="30" hidden="false" customHeight="true" outlineLevel="0" collapsed="false">
      <c r="A28" s="137" t="str">
        <f aca="false">IF($B28="","","LH-"&amp;TEXT(ROW()-4,"000"))</f>
        <v/>
      </c>
      <c r="B28" s="118"/>
      <c r="C28" s="138" t="str">
        <f aca="false">IF($B28="","",IFERROR(VLOOKUP($B28,Lists!$A:$H,2,FALSE()),"unknown ID"))</f>
        <v/>
      </c>
      <c r="D28" s="138" t="str">
        <f aca="false">IF($B28="","",IFERROR(VLOOKUP($B28,Lists!$A:$H,3,FALSE()),""))</f>
        <v/>
      </c>
      <c r="E28" s="139" t="str">
        <f aca="false">IF($B28="","","Leah Hanlon")</f>
        <v/>
      </c>
      <c r="F28" s="117"/>
      <c r="G28" s="117"/>
      <c r="H28" s="118"/>
      <c r="I28" s="118"/>
      <c r="J28" s="33"/>
      <c r="K28" s="119"/>
      <c r="L28" s="119"/>
      <c r="M28" s="117"/>
      <c r="N28" s="117"/>
      <c r="O28" s="119"/>
      <c r="P28" s="117"/>
      <c r="Q28" s="140" t="str">
        <f aca="false">IF($B28="","",HYPERLINK("#Projects!A"&amp;MATCH($B28,Projects!$A:$A,0),"Open Project"))</f>
        <v/>
      </c>
    </row>
    <row r="29" customFormat="false" ht="30" hidden="false" customHeight="true" outlineLevel="0" collapsed="false">
      <c r="A29" s="137" t="str">
        <f aca="false">IF($B29="","","LH-"&amp;TEXT(ROW()-4,"000"))</f>
        <v/>
      </c>
      <c r="B29" s="118"/>
      <c r="C29" s="138" t="str">
        <f aca="false">IF($B29="","",IFERROR(VLOOKUP($B29,Lists!$A:$H,2,FALSE()),"unknown ID"))</f>
        <v/>
      </c>
      <c r="D29" s="138" t="str">
        <f aca="false">IF($B29="","",IFERROR(VLOOKUP($B29,Lists!$A:$H,3,FALSE()),""))</f>
        <v/>
      </c>
      <c r="E29" s="139" t="str">
        <f aca="false">IF($B29="","","Leah Hanlon")</f>
        <v/>
      </c>
      <c r="F29" s="117"/>
      <c r="G29" s="117"/>
      <c r="H29" s="118"/>
      <c r="I29" s="118"/>
      <c r="J29" s="33"/>
      <c r="K29" s="119"/>
      <c r="L29" s="119"/>
      <c r="M29" s="117"/>
      <c r="N29" s="117"/>
      <c r="O29" s="119"/>
      <c r="P29" s="117"/>
      <c r="Q29" s="140" t="str">
        <f aca="false">IF($B29="","",HYPERLINK("#Projects!A"&amp;MATCH($B29,Projects!$A:$A,0),"Open Project"))</f>
        <v/>
      </c>
    </row>
    <row r="30" customFormat="false" ht="30" hidden="false" customHeight="true" outlineLevel="0" collapsed="false">
      <c r="A30" s="137" t="str">
        <f aca="false">IF($B30="","","LH-"&amp;TEXT(ROW()-4,"000"))</f>
        <v/>
      </c>
      <c r="B30" s="118"/>
      <c r="C30" s="138" t="str">
        <f aca="false">IF($B30="","",IFERROR(VLOOKUP($B30,Lists!$A:$H,2,FALSE()),"unknown ID"))</f>
        <v/>
      </c>
      <c r="D30" s="138" t="str">
        <f aca="false">IF($B30="","",IFERROR(VLOOKUP($B30,Lists!$A:$H,3,FALSE()),""))</f>
        <v/>
      </c>
      <c r="E30" s="139" t="str">
        <f aca="false">IF($B30="","","Leah Hanlon")</f>
        <v/>
      </c>
      <c r="F30" s="117"/>
      <c r="G30" s="117"/>
      <c r="H30" s="118"/>
      <c r="I30" s="118"/>
      <c r="J30" s="33"/>
      <c r="K30" s="119"/>
      <c r="L30" s="119"/>
      <c r="M30" s="117"/>
      <c r="N30" s="117"/>
      <c r="O30" s="119"/>
      <c r="P30" s="117"/>
      <c r="Q30" s="140" t="str">
        <f aca="false">IF($B30="","",HYPERLINK("#Projects!A"&amp;MATCH($B30,Projects!$A:$A,0),"Open Project"))</f>
        <v/>
      </c>
    </row>
    <row r="31" customFormat="false" ht="30" hidden="false" customHeight="true" outlineLevel="0" collapsed="false">
      <c r="A31" s="137" t="str">
        <f aca="false">IF($B31="","","LH-"&amp;TEXT(ROW()-4,"000"))</f>
        <v/>
      </c>
      <c r="B31" s="118"/>
      <c r="C31" s="138" t="str">
        <f aca="false">IF($B31="","",IFERROR(VLOOKUP($B31,Lists!$A:$H,2,FALSE()),"unknown ID"))</f>
        <v/>
      </c>
      <c r="D31" s="138" t="str">
        <f aca="false">IF($B31="","",IFERROR(VLOOKUP($B31,Lists!$A:$H,3,FALSE()),""))</f>
        <v/>
      </c>
      <c r="E31" s="139" t="str">
        <f aca="false">IF($B31="","","Leah Hanlon")</f>
        <v/>
      </c>
      <c r="F31" s="117"/>
      <c r="G31" s="117"/>
      <c r="H31" s="118"/>
      <c r="I31" s="118"/>
      <c r="J31" s="33"/>
      <c r="K31" s="119"/>
      <c r="L31" s="119"/>
      <c r="M31" s="117"/>
      <c r="N31" s="117"/>
      <c r="O31" s="119"/>
      <c r="P31" s="117"/>
      <c r="Q31" s="140" t="str">
        <f aca="false">IF($B31="","",HYPERLINK("#Projects!A"&amp;MATCH($B31,Projects!$A:$A,0),"Open Project"))</f>
        <v/>
      </c>
    </row>
    <row r="32" customFormat="false" ht="30" hidden="false" customHeight="true" outlineLevel="0" collapsed="false">
      <c r="A32" s="137" t="str">
        <f aca="false">IF($B32="","","LH-"&amp;TEXT(ROW()-4,"000"))</f>
        <v/>
      </c>
      <c r="B32" s="118"/>
      <c r="C32" s="138" t="str">
        <f aca="false">IF($B32="","",IFERROR(VLOOKUP($B32,Lists!$A:$H,2,FALSE()),"unknown ID"))</f>
        <v/>
      </c>
      <c r="D32" s="138" t="str">
        <f aca="false">IF($B32="","",IFERROR(VLOOKUP($B32,Lists!$A:$H,3,FALSE()),""))</f>
        <v/>
      </c>
      <c r="E32" s="139" t="str">
        <f aca="false">IF($B32="","","Leah Hanlon")</f>
        <v/>
      </c>
      <c r="F32" s="117"/>
      <c r="G32" s="117"/>
      <c r="H32" s="118"/>
      <c r="I32" s="118"/>
      <c r="J32" s="33"/>
      <c r="K32" s="119"/>
      <c r="L32" s="119"/>
      <c r="M32" s="117"/>
      <c r="N32" s="117"/>
      <c r="O32" s="119"/>
      <c r="P32" s="117"/>
      <c r="Q32" s="140" t="str">
        <f aca="false">IF($B32="","",HYPERLINK("#Projects!A"&amp;MATCH($B32,Projects!$A:$A,0),"Open Project"))</f>
        <v/>
      </c>
    </row>
    <row r="33" customFormat="false" ht="30" hidden="false" customHeight="true" outlineLevel="0" collapsed="false">
      <c r="A33" s="137" t="str">
        <f aca="false">IF($B33="","","LH-"&amp;TEXT(ROW()-4,"000"))</f>
        <v/>
      </c>
      <c r="B33" s="118"/>
      <c r="C33" s="138" t="str">
        <f aca="false">IF($B33="","",IFERROR(VLOOKUP($B33,Lists!$A:$H,2,FALSE()),"unknown ID"))</f>
        <v/>
      </c>
      <c r="D33" s="138" t="str">
        <f aca="false">IF($B33="","",IFERROR(VLOOKUP($B33,Lists!$A:$H,3,FALSE()),""))</f>
        <v/>
      </c>
      <c r="E33" s="139" t="str">
        <f aca="false">IF($B33="","","Leah Hanlon")</f>
        <v/>
      </c>
      <c r="F33" s="117"/>
      <c r="G33" s="117"/>
      <c r="H33" s="118"/>
      <c r="I33" s="118"/>
      <c r="J33" s="33"/>
      <c r="K33" s="119"/>
      <c r="L33" s="119"/>
      <c r="M33" s="117"/>
      <c r="N33" s="117"/>
      <c r="O33" s="119"/>
      <c r="P33" s="117"/>
      <c r="Q33" s="140" t="str">
        <f aca="false">IF($B33="","",HYPERLINK("#Projects!A"&amp;MATCH($B33,Projects!$A:$A,0),"Open Project"))</f>
        <v/>
      </c>
    </row>
    <row r="34" customFormat="false" ht="30" hidden="false" customHeight="true" outlineLevel="0" collapsed="false">
      <c r="A34" s="137" t="str">
        <f aca="false">IF($B34="","","LH-"&amp;TEXT(ROW()-4,"000"))</f>
        <v/>
      </c>
      <c r="B34" s="118"/>
      <c r="C34" s="138" t="str">
        <f aca="false">IF($B34="","",IFERROR(VLOOKUP($B34,Lists!$A:$H,2,FALSE()),"unknown ID"))</f>
        <v/>
      </c>
      <c r="D34" s="138" t="str">
        <f aca="false">IF($B34="","",IFERROR(VLOOKUP($B34,Lists!$A:$H,3,FALSE()),""))</f>
        <v/>
      </c>
      <c r="E34" s="139" t="str">
        <f aca="false">IF($B34="","","Leah Hanlon")</f>
        <v/>
      </c>
      <c r="F34" s="117"/>
      <c r="G34" s="117"/>
      <c r="H34" s="118"/>
      <c r="I34" s="118"/>
      <c r="J34" s="33"/>
      <c r="K34" s="119"/>
      <c r="L34" s="119"/>
      <c r="M34" s="117"/>
      <c r="N34" s="117"/>
      <c r="O34" s="119"/>
      <c r="P34" s="117"/>
      <c r="Q34" s="140" t="str">
        <f aca="false">IF($B34="","",HYPERLINK("#Projects!A"&amp;MATCH($B34,Projects!$A:$A,0),"Open Project"))</f>
        <v/>
      </c>
    </row>
    <row r="35" customFormat="false" ht="30" hidden="false" customHeight="true" outlineLevel="0" collapsed="false">
      <c r="A35" s="137" t="str">
        <f aca="false">IF($B35="","","LH-"&amp;TEXT(ROW()-4,"000"))</f>
        <v/>
      </c>
      <c r="B35" s="118"/>
      <c r="C35" s="138" t="str">
        <f aca="false">IF($B35="","",IFERROR(VLOOKUP($B35,Lists!$A:$H,2,FALSE()),"unknown ID"))</f>
        <v/>
      </c>
      <c r="D35" s="138" t="str">
        <f aca="false">IF($B35="","",IFERROR(VLOOKUP($B35,Lists!$A:$H,3,FALSE()),""))</f>
        <v/>
      </c>
      <c r="E35" s="139" t="str">
        <f aca="false">IF($B35="","","Leah Hanlon")</f>
        <v/>
      </c>
      <c r="F35" s="117"/>
      <c r="G35" s="117"/>
      <c r="H35" s="118"/>
      <c r="I35" s="118"/>
      <c r="J35" s="33"/>
      <c r="K35" s="119"/>
      <c r="L35" s="119"/>
      <c r="M35" s="117"/>
      <c r="N35" s="117"/>
      <c r="O35" s="119"/>
      <c r="P35" s="117"/>
      <c r="Q35" s="140" t="str">
        <f aca="false">IF($B35="","",HYPERLINK("#Projects!A"&amp;MATCH($B35,Projects!$A:$A,0),"Open Project"))</f>
        <v/>
      </c>
    </row>
    <row r="36" customFormat="false" ht="30" hidden="false" customHeight="true" outlineLevel="0" collapsed="false">
      <c r="A36" s="137" t="str">
        <f aca="false">IF($B36="","","LH-"&amp;TEXT(ROW()-4,"000"))</f>
        <v/>
      </c>
      <c r="B36" s="118"/>
      <c r="C36" s="138" t="str">
        <f aca="false">IF($B36="","",IFERROR(VLOOKUP($B36,Lists!$A:$H,2,FALSE()),"unknown ID"))</f>
        <v/>
      </c>
      <c r="D36" s="138" t="str">
        <f aca="false">IF($B36="","",IFERROR(VLOOKUP($B36,Lists!$A:$H,3,FALSE()),""))</f>
        <v/>
      </c>
      <c r="E36" s="139" t="str">
        <f aca="false">IF($B36="","","Leah Hanlon")</f>
        <v/>
      </c>
      <c r="F36" s="117"/>
      <c r="G36" s="117"/>
      <c r="H36" s="118"/>
      <c r="I36" s="118"/>
      <c r="J36" s="33"/>
      <c r="K36" s="119"/>
      <c r="L36" s="119"/>
      <c r="M36" s="117"/>
      <c r="N36" s="117"/>
      <c r="O36" s="119"/>
      <c r="P36" s="117"/>
      <c r="Q36" s="140" t="str">
        <f aca="false">IF($B36="","",HYPERLINK("#Projects!A"&amp;MATCH($B36,Projects!$A:$A,0),"Open Project"))</f>
        <v/>
      </c>
    </row>
    <row r="37" customFormat="false" ht="30" hidden="false" customHeight="true" outlineLevel="0" collapsed="false">
      <c r="A37" s="137" t="str">
        <f aca="false">IF($B37="","","LH-"&amp;TEXT(ROW()-4,"000"))</f>
        <v/>
      </c>
      <c r="B37" s="118"/>
      <c r="C37" s="138" t="str">
        <f aca="false">IF($B37="","",IFERROR(VLOOKUP($B37,Lists!$A:$H,2,FALSE()),"unknown ID"))</f>
        <v/>
      </c>
      <c r="D37" s="138" t="str">
        <f aca="false">IF($B37="","",IFERROR(VLOOKUP($B37,Lists!$A:$H,3,FALSE()),""))</f>
        <v/>
      </c>
      <c r="E37" s="139" t="str">
        <f aca="false">IF($B37="","","Leah Hanlon")</f>
        <v/>
      </c>
      <c r="F37" s="117"/>
      <c r="G37" s="117"/>
      <c r="H37" s="118"/>
      <c r="I37" s="118"/>
      <c r="J37" s="33"/>
      <c r="K37" s="119"/>
      <c r="L37" s="119"/>
      <c r="M37" s="117"/>
      <c r="N37" s="117"/>
      <c r="O37" s="119"/>
      <c r="P37" s="117"/>
      <c r="Q37" s="140" t="str">
        <f aca="false">IF($B37="","",HYPERLINK("#Projects!A"&amp;MATCH($B37,Projects!$A:$A,0),"Open Project"))</f>
        <v/>
      </c>
    </row>
    <row r="38" customFormat="false" ht="30" hidden="false" customHeight="true" outlineLevel="0" collapsed="false">
      <c r="A38" s="137" t="str">
        <f aca="false">IF($B38="","","LH-"&amp;TEXT(ROW()-4,"000"))</f>
        <v/>
      </c>
      <c r="B38" s="118"/>
      <c r="C38" s="138" t="str">
        <f aca="false">IF($B38="","",IFERROR(VLOOKUP($B38,Lists!$A:$H,2,FALSE()),"unknown ID"))</f>
        <v/>
      </c>
      <c r="D38" s="138" t="str">
        <f aca="false">IF($B38="","",IFERROR(VLOOKUP($B38,Lists!$A:$H,3,FALSE()),""))</f>
        <v/>
      </c>
      <c r="E38" s="139" t="str">
        <f aca="false">IF($B38="","","Leah Hanlon")</f>
        <v/>
      </c>
      <c r="F38" s="117"/>
      <c r="G38" s="117"/>
      <c r="H38" s="118"/>
      <c r="I38" s="118"/>
      <c r="J38" s="33"/>
      <c r="K38" s="119"/>
      <c r="L38" s="119"/>
      <c r="M38" s="117"/>
      <c r="N38" s="117"/>
      <c r="O38" s="119"/>
      <c r="P38" s="117"/>
      <c r="Q38" s="140" t="str">
        <f aca="false">IF($B38="","",HYPERLINK("#Projects!A"&amp;MATCH($B38,Projects!$A:$A,0),"Open Project"))</f>
        <v/>
      </c>
    </row>
    <row r="39" customFormat="false" ht="30" hidden="false" customHeight="true" outlineLevel="0" collapsed="false">
      <c r="A39" s="137" t="str">
        <f aca="false">IF($B39="","","LH-"&amp;TEXT(ROW()-4,"000"))</f>
        <v/>
      </c>
      <c r="B39" s="118"/>
      <c r="C39" s="138" t="str">
        <f aca="false">IF($B39="","",IFERROR(VLOOKUP($B39,Lists!$A:$H,2,FALSE()),"unknown ID"))</f>
        <v/>
      </c>
      <c r="D39" s="138" t="str">
        <f aca="false">IF($B39="","",IFERROR(VLOOKUP($B39,Lists!$A:$H,3,FALSE()),""))</f>
        <v/>
      </c>
      <c r="E39" s="139" t="str">
        <f aca="false">IF($B39="","","Leah Hanlon")</f>
        <v/>
      </c>
      <c r="F39" s="117"/>
      <c r="G39" s="117"/>
      <c r="H39" s="118"/>
      <c r="I39" s="118"/>
      <c r="J39" s="33"/>
      <c r="K39" s="119"/>
      <c r="L39" s="119"/>
      <c r="M39" s="117"/>
      <c r="N39" s="117"/>
      <c r="O39" s="119"/>
      <c r="P39" s="117"/>
      <c r="Q39" s="140" t="str">
        <f aca="false">IF($B39="","",HYPERLINK("#Projects!A"&amp;MATCH($B39,Projects!$A:$A,0),"Open Project"))</f>
        <v/>
      </c>
    </row>
    <row r="40" customFormat="false" ht="30" hidden="false" customHeight="true" outlineLevel="0" collapsed="false">
      <c r="A40" s="137" t="str">
        <f aca="false">IF($B40="","","LH-"&amp;TEXT(ROW()-4,"000"))</f>
        <v/>
      </c>
      <c r="B40" s="118"/>
      <c r="C40" s="138" t="str">
        <f aca="false">IF($B40="","",IFERROR(VLOOKUP($B40,Lists!$A:$H,2,FALSE()),"unknown ID"))</f>
        <v/>
      </c>
      <c r="D40" s="138" t="str">
        <f aca="false">IF($B40="","",IFERROR(VLOOKUP($B40,Lists!$A:$H,3,FALSE()),""))</f>
        <v/>
      </c>
      <c r="E40" s="139" t="str">
        <f aca="false">IF($B40="","","Leah Hanlon")</f>
        <v/>
      </c>
      <c r="F40" s="117"/>
      <c r="G40" s="117"/>
      <c r="H40" s="118"/>
      <c r="I40" s="118"/>
      <c r="J40" s="33"/>
      <c r="K40" s="119"/>
      <c r="L40" s="119"/>
      <c r="M40" s="117"/>
      <c r="N40" s="117"/>
      <c r="O40" s="119"/>
      <c r="P40" s="117"/>
      <c r="Q40" s="140" t="str">
        <f aca="false">IF($B40="","",HYPERLINK("#Projects!A"&amp;MATCH($B40,Projects!$A:$A,0),"Open Project"))</f>
        <v/>
      </c>
    </row>
    <row r="41" customFormat="false" ht="30" hidden="false" customHeight="true" outlineLevel="0" collapsed="false">
      <c r="A41" s="137" t="str">
        <f aca="false">IF($B41="","","LH-"&amp;TEXT(ROW()-4,"000"))</f>
        <v/>
      </c>
      <c r="B41" s="118"/>
      <c r="C41" s="138" t="str">
        <f aca="false">IF($B41="","",IFERROR(VLOOKUP($B41,Lists!$A:$H,2,FALSE()),"unknown ID"))</f>
        <v/>
      </c>
      <c r="D41" s="138" t="str">
        <f aca="false">IF($B41="","",IFERROR(VLOOKUP($B41,Lists!$A:$H,3,FALSE()),""))</f>
        <v/>
      </c>
      <c r="E41" s="139" t="str">
        <f aca="false">IF($B41="","","Leah Hanlon")</f>
        <v/>
      </c>
      <c r="F41" s="117"/>
      <c r="G41" s="117"/>
      <c r="H41" s="118"/>
      <c r="I41" s="118"/>
      <c r="J41" s="33"/>
      <c r="K41" s="119"/>
      <c r="L41" s="119"/>
      <c r="M41" s="117"/>
      <c r="N41" s="117"/>
      <c r="O41" s="119"/>
      <c r="P41" s="117"/>
      <c r="Q41" s="140" t="str">
        <f aca="false">IF($B41="","",HYPERLINK("#Projects!A"&amp;MATCH($B41,Projects!$A:$A,0),"Open Project"))</f>
        <v/>
      </c>
    </row>
    <row r="42" customFormat="false" ht="30" hidden="false" customHeight="true" outlineLevel="0" collapsed="false">
      <c r="A42" s="137" t="str">
        <f aca="false">IF($B42="","","LH-"&amp;TEXT(ROW()-4,"000"))</f>
        <v/>
      </c>
      <c r="B42" s="118"/>
      <c r="C42" s="138" t="str">
        <f aca="false">IF($B42="","",IFERROR(VLOOKUP($B42,Lists!$A:$H,2,FALSE()),"unknown ID"))</f>
        <v/>
      </c>
      <c r="D42" s="138" t="str">
        <f aca="false">IF($B42="","",IFERROR(VLOOKUP($B42,Lists!$A:$H,3,FALSE()),""))</f>
        <v/>
      </c>
      <c r="E42" s="139" t="str">
        <f aca="false">IF($B42="","","Leah Hanlon")</f>
        <v/>
      </c>
      <c r="F42" s="117"/>
      <c r="G42" s="117"/>
      <c r="H42" s="118"/>
      <c r="I42" s="118"/>
      <c r="J42" s="33"/>
      <c r="K42" s="119"/>
      <c r="L42" s="119"/>
      <c r="M42" s="117"/>
      <c r="N42" s="117"/>
      <c r="O42" s="119"/>
      <c r="P42" s="117"/>
      <c r="Q42" s="140" t="str">
        <f aca="false">IF($B42="","",HYPERLINK("#Projects!A"&amp;MATCH($B42,Projects!$A:$A,0),"Open Project"))</f>
        <v/>
      </c>
    </row>
    <row r="43" customFormat="false" ht="30" hidden="false" customHeight="true" outlineLevel="0" collapsed="false">
      <c r="A43" s="137" t="str">
        <f aca="false">IF($B43="","","LH-"&amp;TEXT(ROW()-4,"000"))</f>
        <v/>
      </c>
      <c r="B43" s="118"/>
      <c r="C43" s="138" t="str">
        <f aca="false">IF($B43="","",IFERROR(VLOOKUP($B43,Lists!$A:$H,2,FALSE()),"unknown ID"))</f>
        <v/>
      </c>
      <c r="D43" s="138" t="str">
        <f aca="false">IF($B43="","",IFERROR(VLOOKUP($B43,Lists!$A:$H,3,FALSE()),""))</f>
        <v/>
      </c>
      <c r="E43" s="139" t="str">
        <f aca="false">IF($B43="","","Leah Hanlon")</f>
        <v/>
      </c>
      <c r="F43" s="117"/>
      <c r="G43" s="117"/>
      <c r="H43" s="118"/>
      <c r="I43" s="118"/>
      <c r="J43" s="33"/>
      <c r="K43" s="119"/>
      <c r="L43" s="119"/>
      <c r="M43" s="117"/>
      <c r="N43" s="117"/>
      <c r="O43" s="119"/>
      <c r="P43" s="117"/>
      <c r="Q43" s="140" t="str">
        <f aca="false">IF($B43="","",HYPERLINK("#Projects!A"&amp;MATCH($B43,Projects!$A:$A,0),"Open Project"))</f>
        <v/>
      </c>
    </row>
    <row r="44" customFormat="false" ht="30" hidden="false" customHeight="true" outlineLevel="0" collapsed="false">
      <c r="A44" s="137" t="str">
        <f aca="false">IF($B44="","","LH-"&amp;TEXT(ROW()-4,"000"))</f>
        <v/>
      </c>
      <c r="B44" s="118"/>
      <c r="C44" s="138" t="str">
        <f aca="false">IF($B44="","",IFERROR(VLOOKUP($B44,Lists!$A:$H,2,FALSE()),"unknown ID"))</f>
        <v/>
      </c>
      <c r="D44" s="138" t="str">
        <f aca="false">IF($B44="","",IFERROR(VLOOKUP($B44,Lists!$A:$H,3,FALSE()),""))</f>
        <v/>
      </c>
      <c r="E44" s="139" t="str">
        <f aca="false">IF($B44="","","Leah Hanlon")</f>
        <v/>
      </c>
      <c r="F44" s="117"/>
      <c r="G44" s="117"/>
      <c r="H44" s="118"/>
      <c r="I44" s="118"/>
      <c r="J44" s="33"/>
      <c r="K44" s="119"/>
      <c r="L44" s="119"/>
      <c r="M44" s="117"/>
      <c r="N44" s="117"/>
      <c r="O44" s="119"/>
      <c r="P44" s="117"/>
      <c r="Q44" s="140" t="str">
        <f aca="false">IF($B44="","",HYPERLINK("#Projects!A"&amp;MATCH($B44,Projects!$A:$A,0),"Open Project"))</f>
        <v/>
      </c>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sheetData>
  <mergeCells count="2">
    <mergeCell ref="A1:Q1"/>
    <mergeCell ref="A2:Q2"/>
  </mergeCells>
  <conditionalFormatting sqref="M6:M9">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J6:J101">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I5:I44">
    <cfRule type="cellIs" priority="16" operator="equal" aboveAverage="0" equalAverage="0" bottom="0" percent="0" rank="0" text="" dxfId="29">
      <formula>"Complete"</formula>
    </cfRule>
    <cfRule type="cellIs" priority="17" operator="equal" aboveAverage="0" equalAverage="0" bottom="0" percent="0" rank="0" text="" dxfId="4">
      <formula>"Blocked"</formula>
    </cfRule>
    <cfRule type="cellIs" priority="18" operator="equal" aboveAverage="0" equalAverage="0" bottom="0" percent="0" rank="0" text="" dxfId="45">
      <formula>"Waiting on Someone"</formula>
    </cfRule>
    <cfRule type="cellIs" priority="19" operator="equal" aboveAverage="0" equalAverage="0" bottom="0" percent="0" rank="0" text="" dxfId="30">
      <formula>"In Progress"</formula>
    </cfRule>
    <cfRule type="cellIs" priority="20" operator="equal" aboveAverage="0" equalAverage="0" bottom="0" percent="0" rank="0" text="" dxfId="32">
      <formula>"Not Started"</formula>
    </cfRule>
  </conditionalFormatting>
  <conditionalFormatting sqref="L5:L44">
    <cfRule type="expression" priority="21" aboveAverage="0" equalAverage="0" bottom="0" percent="0" rank="0" text="" dxfId="4">
      <formula>AND($L5&lt;&gt;"",$L5&lt;TODAY(),$I5&lt;&gt;"Complete")</formula>
    </cfRule>
    <cfRule type="expression" priority="22" aboveAverage="0" equalAverage="0" bottom="0" percent="0" rank="0" text="" dxfId="46">
      <formula>AND($L5&lt;&gt;"",$L5&gt;=TODAY(),$L5&lt;=TODAY()+7,$I5&lt;&gt;"Complete")</formula>
    </cfRule>
  </conditionalFormatting>
  <conditionalFormatting sqref="G5:G44">
    <cfRule type="expression" priority="23" aboveAverage="0" equalAverage="0" bottom="0" percent="0" rank="0" text="" dxfId="47">
      <formula>$I5="Complete"</formula>
    </cfRule>
  </conditionalFormatting>
  <conditionalFormatting sqref="J5:J44">
    <cfRule type="dataBar" priority="24">
      <dataBar showValue="1" minLength="10" maxLength="90">
        <cfvo type="num" val="0"/>
        <cfvo type="num" val="1"/>
        <color rgb="FF2E75B6"/>
      </dataBar>
      <extLst>
        <ext xmlns:x14="http://schemas.microsoft.com/office/spreadsheetml/2009/9/main" uri="{B025F937-C7B1-47D3-B67F-A62EFF666E3E}">
          <x14:id>{EFCDF846-E99D-468A-BC7B-8FC54E6A1BB0}</x14:id>
        </ext>
      </extLst>
    </cfRule>
  </conditionalFormatting>
  <dataValidations count="5">
    <dataValidation allowBlank="true" errorStyle="stop" operator="between" showDropDown="false" showErrorMessage="true" showInputMessage="true" sqref="J6:J10 M6:M9 J11:J101" type="list">
      <formula1>"C,G,Y,R,na"</formula1>
      <formula2>0</formula2>
    </dataValidation>
    <dataValidation allowBlank="true" error="Pick a value from the list" errorStyle="stop" errorTitle="Invalid entry" operator="between" showDropDown="false" showErrorMessage="false" showInputMessage="false" sqref="B5:B44" type="list">
      <formula1>ProjectIDList</formula1>
      <formula2>0</formula2>
    </dataValidation>
    <dataValidation allowBlank="true" error="Pick a value from the list" errorStyle="stop" errorTitle="Invalid entry" operator="between" showDropDown="false" showErrorMessage="false" showInputMessage="false" sqref="F5:F44" type="list">
      <formula1>RoleList</formula1>
      <formula2>0</formula2>
    </dataValidation>
    <dataValidation allowBlank="true" error="Pick a value from the list" errorStyle="stop" errorTitle="Invalid entry" operator="between" showDropDown="false" showErrorMessage="false" showInputMessage="false" sqref="H5:H44" type="list">
      <formula1>PriorityList</formula1>
      <formula2>0</formula2>
    </dataValidation>
    <dataValidation allowBlank="true" error="Pick a value from the list" errorStyle="stop" errorTitle="Invalid entry" operator="between" showDropDown="false" showErrorMessage="false" showInputMessage="false" sqref="I5:I44" type="list">
      <formula1>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EFCDF846-E99D-468A-BC7B-8FC54E6A1BB0}">
            <x14:dataBar minLength="10" maxLength="90" axisPosition="none" gradient="true">
              <x14:cfvo type="num">
                <xm:f>0</xm:f>
              </x14:cfvo>
              <x14:cfvo type="num">
                <xm:f>1</xm:f>
              </x14:cfvo>
              <x14:negativeFillColor rgb="FF2E75B6"/>
              <x14:axisColor rgb="FF000000"/>
            </x14:dataBar>
          </x14:cfRule>
          <xm:sqref>J5:J44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Q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E6" activeCellId="0" sqref="E6"/>
    </sheetView>
  </sheetViews>
  <sheetFormatPr defaultColWidth="8.5390625" defaultRowHeight="14.2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4"/>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36"/>
    <col collapsed="false" customWidth="true" hidden="false" outlineLevel="0" max="8" min="8" style="0" width="10"/>
    <col collapsed="false" customWidth="true" hidden="false" outlineLevel="0" max="9" min="9" style="0" width="16"/>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26"/>
    <col collapsed="false" customWidth="true" hidden="false" outlineLevel="0" max="15" min="15" style="0" width="12"/>
    <col collapsed="false" customWidth="true" hidden="false" outlineLevel="0" max="16" min="16" style="0" width="30"/>
    <col collapsed="false" customWidth="true" hidden="false" outlineLevel="0" max="17" min="17" style="0" width="15"/>
  </cols>
  <sheetData>
    <row r="1" customFormat="false" ht="30" hidden="false" customHeight="true" outlineLevel="0" collapsed="false">
      <c r="A1" s="114" t="s">
        <v>336</v>
      </c>
      <c r="B1" s="114"/>
      <c r="C1" s="114"/>
      <c r="D1" s="114"/>
      <c r="E1" s="114"/>
      <c r="F1" s="114"/>
      <c r="G1" s="114"/>
      <c r="H1" s="114"/>
      <c r="I1" s="114"/>
      <c r="J1" s="114"/>
      <c r="K1" s="114"/>
      <c r="L1" s="114"/>
      <c r="M1" s="114"/>
      <c r="N1" s="114"/>
      <c r="O1" s="114"/>
      <c r="P1" s="114"/>
      <c r="Q1" s="114"/>
    </row>
    <row r="2" customFormat="false" ht="24" hidden="false" customHeight="true" outlineLevel="0" collapsed="false">
      <c r="A2" s="115" t="s">
        <v>263</v>
      </c>
      <c r="B2" s="115"/>
      <c r="C2" s="115"/>
      <c r="D2" s="115"/>
      <c r="E2" s="115"/>
      <c r="F2" s="115"/>
      <c r="G2" s="115"/>
      <c r="H2" s="115"/>
      <c r="I2" s="115"/>
      <c r="J2" s="115"/>
      <c r="K2" s="115"/>
      <c r="L2" s="115"/>
      <c r="M2" s="115"/>
      <c r="N2" s="115"/>
      <c r="O2" s="115"/>
      <c r="P2" s="115"/>
      <c r="Q2" s="115"/>
    </row>
    <row r="3" customFormat="false" ht="24" hidden="false" customHeight="true" outlineLevel="0" collapsed="false"/>
    <row r="4" customFormat="false" ht="33.75" hidden="false" customHeight="true" outlineLevel="0" collapsed="false">
      <c r="A4" s="129" t="s">
        <v>237</v>
      </c>
      <c r="B4" s="136" t="s">
        <v>178</v>
      </c>
      <c r="C4" s="129" t="s">
        <v>16</v>
      </c>
      <c r="D4" s="129" t="s">
        <v>251</v>
      </c>
      <c r="E4" s="129" t="s">
        <v>238</v>
      </c>
      <c r="F4" s="136" t="s">
        <v>240</v>
      </c>
      <c r="G4" s="136" t="s">
        <v>239</v>
      </c>
      <c r="H4" s="136" t="s">
        <v>241</v>
      </c>
      <c r="I4" s="136" t="s">
        <v>50</v>
      </c>
      <c r="J4" s="136" t="s">
        <v>252</v>
      </c>
      <c r="K4" s="136" t="s">
        <v>253</v>
      </c>
      <c r="L4" s="136" t="s">
        <v>254</v>
      </c>
      <c r="M4" s="136" t="s">
        <v>255</v>
      </c>
      <c r="N4" s="136" t="s">
        <v>246</v>
      </c>
      <c r="O4" s="136" t="s">
        <v>247</v>
      </c>
      <c r="P4" s="136" t="s">
        <v>248</v>
      </c>
      <c r="Q4" s="129" t="s">
        <v>264</v>
      </c>
    </row>
    <row r="5" customFormat="false" ht="30" hidden="false" customHeight="true" outlineLevel="0" collapsed="false">
      <c r="A5" s="137" t="str">
        <f aca="false">IF($B5="","","JL-"&amp;TEXT(ROW()-4,"000"))</f>
        <v>JL-001</v>
      </c>
      <c r="B5" s="118" t="s">
        <v>187</v>
      </c>
      <c r="C5" s="138" t="str">
        <f aca="false">IF($B5="","",IFERROR(VLOOKUP($B5,Lists!$A:$H,2,FALSE()),"unknown ID"))</f>
        <v>1 – Unified Development System</v>
      </c>
      <c r="D5" s="138" t="str">
        <f aca="false">IF($B5="","",IFERROR(VLOOKUP($B5,Lists!$A:$H,3,FALSE()),""))</f>
        <v>Implement standardized Mutual Evaluation Process (MEP) across all brands</v>
      </c>
      <c r="E5" s="139" t="str">
        <f aca="false">IF($B5="","","Jamie Lavigne")</f>
        <v>Jamie Lavigne</v>
      </c>
      <c r="F5" s="117" t="s">
        <v>270</v>
      </c>
      <c r="G5" s="117" t="s">
        <v>271</v>
      </c>
      <c r="H5" s="118" t="s">
        <v>272</v>
      </c>
      <c r="I5" s="118" t="s">
        <v>18</v>
      </c>
      <c r="J5" s="33" t="n">
        <v>0.5</v>
      </c>
      <c r="K5" s="119" t="n">
        <v>46162</v>
      </c>
      <c r="L5" s="119" t="n">
        <v>46186</v>
      </c>
      <c r="M5" s="117"/>
      <c r="N5" s="117"/>
      <c r="O5" s="119" t="s">
        <v>273</v>
      </c>
      <c r="P5" s="117" t="s">
        <v>274</v>
      </c>
      <c r="Q5" s="140" t="str">
        <f aca="false">IF($B5="","",HYPERLINK("#Projects!A"&amp;MATCH($B5,Projects!$A:$A,0),"Open Project"))</f>
        <v>Open Project</v>
      </c>
    </row>
    <row r="6" customFormat="false" ht="30" hidden="false" customHeight="true" outlineLevel="0" collapsed="false">
      <c r="A6" s="137" t="str">
        <f aca="false">IF($B6="","","JL-"&amp;TEXT(ROW()-4,"000"))</f>
        <v>JL-002</v>
      </c>
      <c r="B6" s="118" t="s">
        <v>218</v>
      </c>
      <c r="C6" s="138" t="str">
        <f aca="false">IF($B6="","",IFERROR(VLOOKUP($B6,Lists!$A:$H,2,FALSE()),"unknown ID"))</f>
        <v>6 – Automation &amp; Content</v>
      </c>
      <c r="D6" s="138" t="str">
        <f aca="false">IF($B6="","",IFERROR(VLOOKUP($B6,Lists!$A:$H,3,FALSE()),""))</f>
        <v>Develop standardized brand overview videos</v>
      </c>
      <c r="E6" s="139" t="str">
        <f aca="false">IF($B6="","","Jamie Lavigne")</f>
        <v>Jamie Lavigne</v>
      </c>
      <c r="F6" s="117" t="s">
        <v>337</v>
      </c>
      <c r="G6" s="117" t="s">
        <v>338</v>
      </c>
      <c r="H6" s="118" t="s">
        <v>339</v>
      </c>
      <c r="I6" s="118" t="s">
        <v>18</v>
      </c>
      <c r="J6" s="33" t="n">
        <v>0.5</v>
      </c>
      <c r="K6" s="119" t="n">
        <v>46152</v>
      </c>
      <c r="L6" s="119" t="n">
        <v>46193</v>
      </c>
      <c r="M6" s="117"/>
      <c r="N6" s="117"/>
      <c r="O6" s="119" t="s">
        <v>340</v>
      </c>
      <c r="P6" s="117" t="s">
        <v>341</v>
      </c>
      <c r="Q6" s="140" t="str">
        <f aca="false">IF($B6="","",HYPERLINK("#Projects!A"&amp;MATCH($B6,Projects!$A:$A,0),"Open Project"))</f>
        <v>Open Project</v>
      </c>
    </row>
    <row r="7" customFormat="false" ht="30" hidden="false" customHeight="true" outlineLevel="0" collapsed="false">
      <c r="A7" s="137" t="str">
        <f aca="false">IF($B7="","","JL-"&amp;TEXT(ROW()-4,"000"))</f>
        <v/>
      </c>
      <c r="B7" s="118"/>
      <c r="C7" s="138" t="str">
        <f aca="false">IF($B7="","",IFERROR(VLOOKUP($B7,Lists!$A:$H,2,FALSE()),"unknown ID"))</f>
        <v/>
      </c>
      <c r="D7" s="138" t="str">
        <f aca="false">IF($B7="","",IFERROR(VLOOKUP($B7,Lists!$A:$H,3,FALSE()),""))</f>
        <v/>
      </c>
      <c r="E7" s="139" t="str">
        <f aca="false">IF($B7="","","Jamie Lavigne")</f>
        <v/>
      </c>
      <c r="F7" s="117"/>
      <c r="G7" s="117"/>
      <c r="H7" s="118"/>
      <c r="I7" s="118"/>
      <c r="J7" s="33"/>
      <c r="K7" s="119"/>
      <c r="L7" s="119"/>
      <c r="M7" s="117"/>
      <c r="N7" s="117"/>
      <c r="O7" s="119"/>
      <c r="P7" s="117"/>
      <c r="Q7" s="140" t="str">
        <f aca="false">IF($B7="","",HYPERLINK("#Projects!A"&amp;MATCH($B7,Projects!$A:$A,0),"Open Project"))</f>
        <v/>
      </c>
    </row>
    <row r="8" customFormat="false" ht="30" hidden="false" customHeight="true" outlineLevel="0" collapsed="false">
      <c r="A8" s="137" t="str">
        <f aca="false">IF($B8="","","JL-"&amp;TEXT(ROW()-4,"000"))</f>
        <v/>
      </c>
      <c r="B8" s="118"/>
      <c r="C8" s="138" t="str">
        <f aca="false">IF($B8="","",IFERROR(VLOOKUP($B8,Lists!$A:$H,2,FALSE()),"unknown ID"))</f>
        <v/>
      </c>
      <c r="D8" s="138" t="str">
        <f aca="false">IF($B8="","",IFERROR(VLOOKUP($B8,Lists!$A:$H,3,FALSE()),""))</f>
        <v/>
      </c>
      <c r="E8" s="139" t="str">
        <f aca="false">IF($B8="","","Jamie Lavigne")</f>
        <v/>
      </c>
      <c r="F8" s="117"/>
      <c r="G8" s="117"/>
      <c r="H8" s="118"/>
      <c r="I8" s="118"/>
      <c r="J8" s="33"/>
      <c r="K8" s="119"/>
      <c r="L8" s="119"/>
      <c r="M8" s="117"/>
      <c r="N8" s="117"/>
      <c r="O8" s="119"/>
      <c r="P8" s="117"/>
      <c r="Q8" s="140" t="str">
        <f aca="false">IF($B8="","",HYPERLINK("#Projects!A"&amp;MATCH($B8,Projects!$A:$A,0),"Open Project"))</f>
        <v/>
      </c>
    </row>
    <row r="9" customFormat="false" ht="30" hidden="false" customHeight="true" outlineLevel="0" collapsed="false">
      <c r="A9" s="137" t="str">
        <f aca="false">IF($B9="","","JL-"&amp;TEXT(ROW()-4,"000"))</f>
        <v/>
      </c>
      <c r="B9" s="118"/>
      <c r="C9" s="138" t="str">
        <f aca="false">IF($B9="","",IFERROR(VLOOKUP($B9,Lists!$A:$H,2,FALSE()),"unknown ID"))</f>
        <v/>
      </c>
      <c r="D9" s="138" t="str">
        <f aca="false">IF($B9="","",IFERROR(VLOOKUP($B9,Lists!$A:$H,3,FALSE()),""))</f>
        <v/>
      </c>
      <c r="E9" s="139" t="str">
        <f aca="false">IF($B9="","","Jamie Lavigne")</f>
        <v/>
      </c>
      <c r="F9" s="117"/>
      <c r="G9" s="117"/>
      <c r="H9" s="118"/>
      <c r="I9" s="118"/>
      <c r="J9" s="33"/>
      <c r="K9" s="119"/>
      <c r="L9" s="119"/>
      <c r="M9" s="117"/>
      <c r="N9" s="117"/>
      <c r="O9" s="119"/>
      <c r="P9" s="117"/>
      <c r="Q9" s="140" t="str">
        <f aca="false">IF($B9="","",HYPERLINK("#Projects!A"&amp;MATCH($B9,Projects!$A:$A,0),"Open Project"))</f>
        <v/>
      </c>
    </row>
    <row r="10" customFormat="false" ht="30" hidden="false" customHeight="true" outlineLevel="0" collapsed="false">
      <c r="A10" s="137" t="str">
        <f aca="false">IF($B10="","","JL-"&amp;TEXT(ROW()-4,"000"))</f>
        <v/>
      </c>
      <c r="B10" s="118"/>
      <c r="C10" s="138" t="str">
        <f aca="false">IF($B10="","",IFERROR(VLOOKUP($B10,Lists!$A:$H,2,FALSE()),"unknown ID"))</f>
        <v/>
      </c>
      <c r="D10" s="138" t="str">
        <f aca="false">IF($B10="","",IFERROR(VLOOKUP($B10,Lists!$A:$H,3,FALSE()),""))</f>
        <v/>
      </c>
      <c r="E10" s="139" t="str">
        <f aca="false">IF($B10="","","Jamie Lavigne")</f>
        <v/>
      </c>
      <c r="F10" s="117"/>
      <c r="G10" s="117"/>
      <c r="H10" s="118"/>
      <c r="I10" s="118"/>
      <c r="J10" s="33"/>
      <c r="K10" s="119"/>
      <c r="L10" s="119"/>
      <c r="M10" s="117"/>
      <c r="N10" s="117"/>
      <c r="O10" s="119"/>
      <c r="P10" s="117"/>
      <c r="Q10" s="140" t="str">
        <f aca="false">IF($B10="","",HYPERLINK("#Projects!A"&amp;MATCH($B10,Projects!$A:$A,0),"Open Project"))</f>
        <v/>
      </c>
    </row>
    <row r="11" customFormat="false" ht="30" hidden="false" customHeight="true" outlineLevel="0" collapsed="false">
      <c r="A11" s="137" t="str">
        <f aca="false">IF($B11="","","JL-"&amp;TEXT(ROW()-4,"000"))</f>
        <v/>
      </c>
      <c r="B11" s="118"/>
      <c r="C11" s="138" t="str">
        <f aca="false">IF($B11="","",IFERROR(VLOOKUP($B11,Lists!$A:$H,2,FALSE()),"unknown ID"))</f>
        <v/>
      </c>
      <c r="D11" s="138" t="str">
        <f aca="false">IF($B11="","",IFERROR(VLOOKUP($B11,Lists!$A:$H,3,FALSE()),""))</f>
        <v/>
      </c>
      <c r="E11" s="139" t="str">
        <f aca="false">IF($B11="","","Jamie Lavigne")</f>
        <v/>
      </c>
      <c r="F11" s="117"/>
      <c r="G11" s="117"/>
      <c r="H11" s="118"/>
      <c r="I11" s="118"/>
      <c r="J11" s="33"/>
      <c r="K11" s="119"/>
      <c r="L11" s="119"/>
      <c r="M11" s="117"/>
      <c r="N11" s="117"/>
      <c r="O11" s="119"/>
      <c r="P11" s="117"/>
      <c r="Q11" s="140" t="str">
        <f aca="false">IF($B11="","",HYPERLINK("#Projects!A"&amp;MATCH($B11,Projects!$A:$A,0),"Open Project"))</f>
        <v/>
      </c>
    </row>
    <row r="12" customFormat="false" ht="30" hidden="false" customHeight="true" outlineLevel="0" collapsed="false">
      <c r="A12" s="137" t="str">
        <f aca="false">IF($B12="","","JL-"&amp;TEXT(ROW()-4,"000"))</f>
        <v/>
      </c>
      <c r="B12" s="118"/>
      <c r="C12" s="138" t="str">
        <f aca="false">IF($B12="","",IFERROR(VLOOKUP($B12,Lists!$A:$H,2,FALSE()),"unknown ID"))</f>
        <v/>
      </c>
      <c r="D12" s="138" t="str">
        <f aca="false">IF($B12="","",IFERROR(VLOOKUP($B12,Lists!$A:$H,3,FALSE()),""))</f>
        <v/>
      </c>
      <c r="E12" s="139" t="str">
        <f aca="false">IF($B12="","","Jamie Lavigne")</f>
        <v/>
      </c>
      <c r="F12" s="117"/>
      <c r="G12" s="117"/>
      <c r="H12" s="118"/>
      <c r="I12" s="118"/>
      <c r="J12" s="33"/>
      <c r="K12" s="119"/>
      <c r="L12" s="119"/>
      <c r="M12" s="117"/>
      <c r="N12" s="117"/>
      <c r="O12" s="119"/>
      <c r="P12" s="117"/>
      <c r="Q12" s="140" t="str">
        <f aca="false">IF($B12="","",HYPERLINK("#Projects!A"&amp;MATCH($B12,Projects!$A:$A,0),"Open Project"))</f>
        <v/>
      </c>
    </row>
    <row r="13" customFormat="false" ht="30" hidden="false" customHeight="true" outlineLevel="0" collapsed="false">
      <c r="A13" s="137" t="str">
        <f aca="false">IF($B13="","","JL-"&amp;TEXT(ROW()-4,"000"))</f>
        <v/>
      </c>
      <c r="B13" s="118"/>
      <c r="C13" s="138" t="str">
        <f aca="false">IF($B13="","",IFERROR(VLOOKUP($B13,Lists!$A:$H,2,FALSE()),"unknown ID"))</f>
        <v/>
      </c>
      <c r="D13" s="138" t="str">
        <f aca="false">IF($B13="","",IFERROR(VLOOKUP($B13,Lists!$A:$H,3,FALSE()),""))</f>
        <v/>
      </c>
      <c r="E13" s="139" t="str">
        <f aca="false">IF($B13="","","Jamie Lavigne")</f>
        <v/>
      </c>
      <c r="F13" s="117"/>
      <c r="G13" s="117"/>
      <c r="H13" s="118"/>
      <c r="I13" s="118"/>
      <c r="J13" s="33"/>
      <c r="K13" s="119"/>
      <c r="L13" s="119"/>
      <c r="M13" s="117"/>
      <c r="N13" s="117"/>
      <c r="O13" s="119"/>
      <c r="P13" s="117"/>
      <c r="Q13" s="140" t="str">
        <f aca="false">IF($B13="","",HYPERLINK("#Projects!A"&amp;MATCH($B13,Projects!$A:$A,0),"Open Project"))</f>
        <v/>
      </c>
    </row>
    <row r="14" customFormat="false" ht="30" hidden="false" customHeight="true" outlineLevel="0" collapsed="false">
      <c r="A14" s="137" t="str">
        <f aca="false">IF($B14="","","JL-"&amp;TEXT(ROW()-4,"000"))</f>
        <v/>
      </c>
      <c r="B14" s="118"/>
      <c r="C14" s="138" t="str">
        <f aca="false">IF($B14="","",IFERROR(VLOOKUP($B14,Lists!$A:$H,2,FALSE()),"unknown ID"))</f>
        <v/>
      </c>
      <c r="D14" s="138" t="str">
        <f aca="false">IF($B14="","",IFERROR(VLOOKUP($B14,Lists!$A:$H,3,FALSE()),""))</f>
        <v/>
      </c>
      <c r="E14" s="139" t="str">
        <f aca="false">IF($B14="","","Jamie Lavigne")</f>
        <v/>
      </c>
      <c r="F14" s="117"/>
      <c r="G14" s="117"/>
      <c r="H14" s="118"/>
      <c r="I14" s="118"/>
      <c r="J14" s="33"/>
      <c r="K14" s="119"/>
      <c r="L14" s="119"/>
      <c r="M14" s="117"/>
      <c r="N14" s="117"/>
      <c r="O14" s="119"/>
      <c r="P14" s="117"/>
      <c r="Q14" s="140" t="str">
        <f aca="false">IF($B14="","",HYPERLINK("#Projects!A"&amp;MATCH($B14,Projects!$A:$A,0),"Open Project"))</f>
        <v/>
      </c>
    </row>
    <row r="15" customFormat="false" ht="30" hidden="false" customHeight="true" outlineLevel="0" collapsed="false">
      <c r="A15" s="137" t="str">
        <f aca="false">IF($B15="","","JL-"&amp;TEXT(ROW()-4,"000"))</f>
        <v/>
      </c>
      <c r="B15" s="118"/>
      <c r="C15" s="138" t="str">
        <f aca="false">IF($B15="","",IFERROR(VLOOKUP($B15,Lists!$A:$H,2,FALSE()),"unknown ID"))</f>
        <v/>
      </c>
      <c r="D15" s="138" t="str">
        <f aca="false">IF($B15="","",IFERROR(VLOOKUP($B15,Lists!$A:$H,3,FALSE()),""))</f>
        <v/>
      </c>
      <c r="E15" s="139" t="str">
        <f aca="false">IF($B15="","","Jamie Lavigne")</f>
        <v/>
      </c>
      <c r="F15" s="117"/>
      <c r="G15" s="117"/>
      <c r="H15" s="118"/>
      <c r="I15" s="118"/>
      <c r="J15" s="33"/>
      <c r="K15" s="119"/>
      <c r="L15" s="119"/>
      <c r="M15" s="117"/>
      <c r="N15" s="117"/>
      <c r="O15" s="119"/>
      <c r="P15" s="117"/>
      <c r="Q15" s="140" t="str">
        <f aca="false">IF($B15="","",HYPERLINK("#Projects!A"&amp;MATCH($B15,Projects!$A:$A,0),"Open Project"))</f>
        <v/>
      </c>
    </row>
    <row r="16" customFormat="false" ht="30" hidden="false" customHeight="true" outlineLevel="0" collapsed="false">
      <c r="A16" s="137" t="str">
        <f aca="false">IF($B16="","","JL-"&amp;TEXT(ROW()-4,"000"))</f>
        <v/>
      </c>
      <c r="B16" s="118"/>
      <c r="C16" s="138" t="str">
        <f aca="false">IF($B16="","",IFERROR(VLOOKUP($B16,Lists!$A:$H,2,FALSE()),"unknown ID"))</f>
        <v/>
      </c>
      <c r="D16" s="138" t="str">
        <f aca="false">IF($B16="","",IFERROR(VLOOKUP($B16,Lists!$A:$H,3,FALSE()),""))</f>
        <v/>
      </c>
      <c r="E16" s="139" t="str">
        <f aca="false">IF($B16="","","Jamie Lavigne")</f>
        <v/>
      </c>
      <c r="F16" s="117"/>
      <c r="G16" s="117"/>
      <c r="H16" s="118"/>
      <c r="I16" s="118"/>
      <c r="J16" s="33"/>
      <c r="K16" s="119"/>
      <c r="L16" s="119"/>
      <c r="M16" s="117"/>
      <c r="N16" s="117"/>
      <c r="O16" s="119"/>
      <c r="P16" s="117"/>
      <c r="Q16" s="140" t="str">
        <f aca="false">IF($B16="","",HYPERLINK("#Projects!A"&amp;MATCH($B16,Projects!$A:$A,0),"Open Project"))</f>
        <v/>
      </c>
    </row>
    <row r="17" customFormat="false" ht="30" hidden="false" customHeight="true" outlineLevel="0" collapsed="false">
      <c r="A17" s="137" t="str">
        <f aca="false">IF($B17="","","JL-"&amp;TEXT(ROW()-4,"000"))</f>
        <v/>
      </c>
      <c r="B17" s="118"/>
      <c r="C17" s="138" t="str">
        <f aca="false">IF($B17="","",IFERROR(VLOOKUP($B17,Lists!$A:$H,2,FALSE()),"unknown ID"))</f>
        <v/>
      </c>
      <c r="D17" s="138" t="str">
        <f aca="false">IF($B17="","",IFERROR(VLOOKUP($B17,Lists!$A:$H,3,FALSE()),""))</f>
        <v/>
      </c>
      <c r="E17" s="139" t="str">
        <f aca="false">IF($B17="","","Jamie Lavigne")</f>
        <v/>
      </c>
      <c r="F17" s="117"/>
      <c r="G17" s="117"/>
      <c r="H17" s="118"/>
      <c r="I17" s="118"/>
      <c r="J17" s="33"/>
      <c r="K17" s="119"/>
      <c r="L17" s="119"/>
      <c r="M17" s="117"/>
      <c r="N17" s="117"/>
      <c r="O17" s="119"/>
      <c r="P17" s="117"/>
      <c r="Q17" s="140" t="str">
        <f aca="false">IF($B17="","",HYPERLINK("#Projects!A"&amp;MATCH($B17,Projects!$A:$A,0),"Open Project"))</f>
        <v/>
      </c>
    </row>
    <row r="18" customFormat="false" ht="30" hidden="false" customHeight="true" outlineLevel="0" collapsed="false">
      <c r="A18" s="137" t="str">
        <f aca="false">IF($B18="","","JL-"&amp;TEXT(ROW()-4,"000"))</f>
        <v/>
      </c>
      <c r="B18" s="118"/>
      <c r="C18" s="138" t="str">
        <f aca="false">IF($B18="","",IFERROR(VLOOKUP($B18,Lists!$A:$H,2,FALSE()),"unknown ID"))</f>
        <v/>
      </c>
      <c r="D18" s="138" t="str">
        <f aca="false">IF($B18="","",IFERROR(VLOOKUP($B18,Lists!$A:$H,3,FALSE()),""))</f>
        <v/>
      </c>
      <c r="E18" s="139" t="str">
        <f aca="false">IF($B18="","","Jamie Lavigne")</f>
        <v/>
      </c>
      <c r="F18" s="117"/>
      <c r="G18" s="117"/>
      <c r="H18" s="118"/>
      <c r="I18" s="118"/>
      <c r="J18" s="33"/>
      <c r="K18" s="119"/>
      <c r="L18" s="119"/>
      <c r="M18" s="117"/>
      <c r="N18" s="117"/>
      <c r="O18" s="119"/>
      <c r="P18" s="117"/>
      <c r="Q18" s="140" t="str">
        <f aca="false">IF($B18="","",HYPERLINK("#Projects!A"&amp;MATCH($B18,Projects!$A:$A,0),"Open Project"))</f>
        <v/>
      </c>
    </row>
    <row r="19" customFormat="false" ht="30" hidden="false" customHeight="true" outlineLevel="0" collapsed="false">
      <c r="A19" s="137" t="str">
        <f aca="false">IF($B19="","","JL-"&amp;TEXT(ROW()-4,"000"))</f>
        <v/>
      </c>
      <c r="B19" s="118"/>
      <c r="C19" s="138" t="str">
        <f aca="false">IF($B19="","",IFERROR(VLOOKUP($B19,Lists!$A:$H,2,FALSE()),"unknown ID"))</f>
        <v/>
      </c>
      <c r="D19" s="138" t="str">
        <f aca="false">IF($B19="","",IFERROR(VLOOKUP($B19,Lists!$A:$H,3,FALSE()),""))</f>
        <v/>
      </c>
      <c r="E19" s="139" t="str">
        <f aca="false">IF($B19="","","Jamie Lavigne")</f>
        <v/>
      </c>
      <c r="F19" s="117"/>
      <c r="G19" s="117"/>
      <c r="H19" s="118"/>
      <c r="I19" s="118"/>
      <c r="J19" s="33"/>
      <c r="K19" s="119"/>
      <c r="L19" s="119"/>
      <c r="M19" s="117"/>
      <c r="N19" s="117"/>
      <c r="O19" s="119"/>
      <c r="P19" s="117"/>
      <c r="Q19" s="140" t="str">
        <f aca="false">IF($B19="","",HYPERLINK("#Projects!A"&amp;MATCH($B19,Projects!$A:$A,0),"Open Project"))</f>
        <v/>
      </c>
    </row>
    <row r="20" customFormat="false" ht="30" hidden="false" customHeight="true" outlineLevel="0" collapsed="false">
      <c r="A20" s="137" t="str">
        <f aca="false">IF($B20="","","JL-"&amp;TEXT(ROW()-4,"000"))</f>
        <v/>
      </c>
      <c r="B20" s="118"/>
      <c r="C20" s="138" t="str">
        <f aca="false">IF($B20="","",IFERROR(VLOOKUP($B20,Lists!$A:$H,2,FALSE()),"unknown ID"))</f>
        <v/>
      </c>
      <c r="D20" s="138" t="str">
        <f aca="false">IF($B20="","",IFERROR(VLOOKUP($B20,Lists!$A:$H,3,FALSE()),""))</f>
        <v/>
      </c>
      <c r="E20" s="139" t="str">
        <f aca="false">IF($B20="","","Jamie Lavigne")</f>
        <v/>
      </c>
      <c r="F20" s="117"/>
      <c r="G20" s="117"/>
      <c r="H20" s="118"/>
      <c r="I20" s="118"/>
      <c r="J20" s="33"/>
      <c r="K20" s="119"/>
      <c r="L20" s="119"/>
      <c r="M20" s="117"/>
      <c r="N20" s="117"/>
      <c r="O20" s="119"/>
      <c r="P20" s="117"/>
      <c r="Q20" s="140" t="str">
        <f aca="false">IF($B20="","",HYPERLINK("#Projects!A"&amp;MATCH($B20,Projects!$A:$A,0),"Open Project"))</f>
        <v/>
      </c>
    </row>
    <row r="21" customFormat="false" ht="30" hidden="false" customHeight="true" outlineLevel="0" collapsed="false">
      <c r="A21" s="137" t="str">
        <f aca="false">IF($B21="","","JL-"&amp;TEXT(ROW()-4,"000"))</f>
        <v/>
      </c>
      <c r="B21" s="118"/>
      <c r="C21" s="138" t="str">
        <f aca="false">IF($B21="","",IFERROR(VLOOKUP($B21,Lists!$A:$H,2,FALSE()),"unknown ID"))</f>
        <v/>
      </c>
      <c r="D21" s="138" t="str">
        <f aca="false">IF($B21="","",IFERROR(VLOOKUP($B21,Lists!$A:$H,3,FALSE()),""))</f>
        <v/>
      </c>
      <c r="E21" s="139" t="str">
        <f aca="false">IF($B21="","","Jamie Lavigne")</f>
        <v/>
      </c>
      <c r="F21" s="117"/>
      <c r="G21" s="117"/>
      <c r="H21" s="118"/>
      <c r="I21" s="118"/>
      <c r="J21" s="33"/>
      <c r="K21" s="119"/>
      <c r="L21" s="119"/>
      <c r="M21" s="117"/>
      <c r="N21" s="117"/>
      <c r="O21" s="119"/>
      <c r="P21" s="117"/>
      <c r="Q21" s="140" t="str">
        <f aca="false">IF($B21="","",HYPERLINK("#Projects!A"&amp;MATCH($B21,Projects!$A:$A,0),"Open Project"))</f>
        <v/>
      </c>
    </row>
    <row r="22" customFormat="false" ht="30" hidden="false" customHeight="true" outlineLevel="0" collapsed="false">
      <c r="A22" s="137" t="str">
        <f aca="false">IF($B22="","","JL-"&amp;TEXT(ROW()-4,"000"))</f>
        <v/>
      </c>
      <c r="B22" s="118"/>
      <c r="C22" s="138" t="str">
        <f aca="false">IF($B22="","",IFERROR(VLOOKUP($B22,Lists!$A:$H,2,FALSE()),"unknown ID"))</f>
        <v/>
      </c>
      <c r="D22" s="138" t="str">
        <f aca="false">IF($B22="","",IFERROR(VLOOKUP($B22,Lists!$A:$H,3,FALSE()),""))</f>
        <v/>
      </c>
      <c r="E22" s="139" t="str">
        <f aca="false">IF($B22="","","Jamie Lavigne")</f>
        <v/>
      </c>
      <c r="F22" s="117"/>
      <c r="G22" s="117"/>
      <c r="H22" s="118"/>
      <c r="I22" s="118"/>
      <c r="J22" s="33"/>
      <c r="K22" s="119"/>
      <c r="L22" s="119"/>
      <c r="M22" s="117"/>
      <c r="N22" s="117"/>
      <c r="O22" s="119"/>
      <c r="P22" s="117"/>
      <c r="Q22" s="140" t="str">
        <f aca="false">IF($B22="","",HYPERLINK("#Projects!A"&amp;MATCH($B22,Projects!$A:$A,0),"Open Project"))</f>
        <v/>
      </c>
    </row>
    <row r="23" customFormat="false" ht="30" hidden="false" customHeight="true" outlineLevel="0" collapsed="false">
      <c r="A23" s="137" t="str">
        <f aca="false">IF($B23="","","JL-"&amp;TEXT(ROW()-4,"000"))</f>
        <v/>
      </c>
      <c r="B23" s="118"/>
      <c r="C23" s="138" t="str">
        <f aca="false">IF($B23="","",IFERROR(VLOOKUP($B23,Lists!$A:$H,2,FALSE()),"unknown ID"))</f>
        <v/>
      </c>
      <c r="D23" s="138" t="str">
        <f aca="false">IF($B23="","",IFERROR(VLOOKUP($B23,Lists!$A:$H,3,FALSE()),""))</f>
        <v/>
      </c>
      <c r="E23" s="139" t="str">
        <f aca="false">IF($B23="","","Jamie Lavigne")</f>
        <v/>
      </c>
      <c r="F23" s="117"/>
      <c r="G23" s="117"/>
      <c r="H23" s="118"/>
      <c r="I23" s="118"/>
      <c r="J23" s="33"/>
      <c r="K23" s="119"/>
      <c r="L23" s="119"/>
      <c r="M23" s="117"/>
      <c r="N23" s="117"/>
      <c r="O23" s="119"/>
      <c r="P23" s="117"/>
      <c r="Q23" s="140" t="str">
        <f aca="false">IF($B23="","",HYPERLINK("#Projects!A"&amp;MATCH($B23,Projects!$A:$A,0),"Open Project"))</f>
        <v/>
      </c>
    </row>
    <row r="24" customFormat="false" ht="30" hidden="false" customHeight="true" outlineLevel="0" collapsed="false">
      <c r="A24" s="137" t="str">
        <f aca="false">IF($B24="","","JL-"&amp;TEXT(ROW()-4,"000"))</f>
        <v/>
      </c>
      <c r="B24" s="118"/>
      <c r="C24" s="138" t="str">
        <f aca="false">IF($B24="","",IFERROR(VLOOKUP($B24,Lists!$A:$H,2,FALSE()),"unknown ID"))</f>
        <v/>
      </c>
      <c r="D24" s="138" t="str">
        <f aca="false">IF($B24="","",IFERROR(VLOOKUP($B24,Lists!$A:$H,3,FALSE()),""))</f>
        <v/>
      </c>
      <c r="E24" s="139" t="str">
        <f aca="false">IF($B24="","","Jamie Lavigne")</f>
        <v/>
      </c>
      <c r="F24" s="117"/>
      <c r="G24" s="117"/>
      <c r="H24" s="118"/>
      <c r="I24" s="118"/>
      <c r="J24" s="33"/>
      <c r="K24" s="119"/>
      <c r="L24" s="119"/>
      <c r="M24" s="117"/>
      <c r="N24" s="117"/>
      <c r="O24" s="119"/>
      <c r="P24" s="117"/>
      <c r="Q24" s="140" t="str">
        <f aca="false">IF($B24="","",HYPERLINK("#Projects!A"&amp;MATCH($B24,Projects!$A:$A,0),"Open Project"))</f>
        <v/>
      </c>
    </row>
    <row r="25" customFormat="false" ht="30" hidden="false" customHeight="true" outlineLevel="0" collapsed="false">
      <c r="A25" s="137" t="str">
        <f aca="false">IF($B25="","","JL-"&amp;TEXT(ROW()-4,"000"))</f>
        <v/>
      </c>
      <c r="B25" s="118"/>
      <c r="C25" s="138" t="str">
        <f aca="false">IF($B25="","",IFERROR(VLOOKUP($B25,Lists!$A:$H,2,FALSE()),"unknown ID"))</f>
        <v/>
      </c>
      <c r="D25" s="138" t="str">
        <f aca="false">IF($B25="","",IFERROR(VLOOKUP($B25,Lists!$A:$H,3,FALSE()),""))</f>
        <v/>
      </c>
      <c r="E25" s="139" t="str">
        <f aca="false">IF($B25="","","Jamie Lavigne")</f>
        <v/>
      </c>
      <c r="F25" s="117"/>
      <c r="G25" s="117"/>
      <c r="H25" s="118"/>
      <c r="I25" s="118"/>
      <c r="J25" s="33"/>
      <c r="K25" s="119"/>
      <c r="L25" s="119"/>
      <c r="M25" s="117"/>
      <c r="N25" s="117"/>
      <c r="O25" s="119"/>
      <c r="P25" s="117"/>
      <c r="Q25" s="140" t="str">
        <f aca="false">IF($B25="","",HYPERLINK("#Projects!A"&amp;MATCH($B25,Projects!$A:$A,0),"Open Project"))</f>
        <v/>
      </c>
    </row>
    <row r="26" customFormat="false" ht="30" hidden="false" customHeight="true" outlineLevel="0" collapsed="false">
      <c r="A26" s="137" t="str">
        <f aca="false">IF($B26="","","JL-"&amp;TEXT(ROW()-4,"000"))</f>
        <v/>
      </c>
      <c r="B26" s="118"/>
      <c r="C26" s="138" t="str">
        <f aca="false">IF($B26="","",IFERROR(VLOOKUP($B26,Lists!$A:$H,2,FALSE()),"unknown ID"))</f>
        <v/>
      </c>
      <c r="D26" s="138" t="str">
        <f aca="false">IF($B26="","",IFERROR(VLOOKUP($B26,Lists!$A:$H,3,FALSE()),""))</f>
        <v/>
      </c>
      <c r="E26" s="139" t="str">
        <f aca="false">IF($B26="","","Jamie Lavigne")</f>
        <v/>
      </c>
      <c r="F26" s="117"/>
      <c r="G26" s="117"/>
      <c r="H26" s="118"/>
      <c r="I26" s="118"/>
      <c r="J26" s="33"/>
      <c r="K26" s="119"/>
      <c r="L26" s="119"/>
      <c r="M26" s="117"/>
      <c r="N26" s="117"/>
      <c r="O26" s="119"/>
      <c r="P26" s="117"/>
      <c r="Q26" s="140" t="str">
        <f aca="false">IF($B26="","",HYPERLINK("#Projects!A"&amp;MATCH($B26,Projects!$A:$A,0),"Open Project"))</f>
        <v/>
      </c>
    </row>
    <row r="27" customFormat="false" ht="30" hidden="false" customHeight="true" outlineLevel="0" collapsed="false">
      <c r="A27" s="137" t="str">
        <f aca="false">IF($B27="","","JL-"&amp;TEXT(ROW()-4,"000"))</f>
        <v/>
      </c>
      <c r="B27" s="118"/>
      <c r="C27" s="138" t="str">
        <f aca="false">IF($B27="","",IFERROR(VLOOKUP($B27,Lists!$A:$H,2,FALSE()),"unknown ID"))</f>
        <v/>
      </c>
      <c r="D27" s="138" t="str">
        <f aca="false">IF($B27="","",IFERROR(VLOOKUP($B27,Lists!$A:$H,3,FALSE()),""))</f>
        <v/>
      </c>
      <c r="E27" s="139" t="str">
        <f aca="false">IF($B27="","","Jamie Lavigne")</f>
        <v/>
      </c>
      <c r="F27" s="117"/>
      <c r="G27" s="117"/>
      <c r="H27" s="118"/>
      <c r="I27" s="118"/>
      <c r="J27" s="33"/>
      <c r="K27" s="119"/>
      <c r="L27" s="119"/>
      <c r="M27" s="117"/>
      <c r="N27" s="117"/>
      <c r="O27" s="119"/>
      <c r="P27" s="117"/>
      <c r="Q27" s="140" t="str">
        <f aca="false">IF($B27="","",HYPERLINK("#Projects!A"&amp;MATCH($B27,Projects!$A:$A,0),"Open Project"))</f>
        <v/>
      </c>
    </row>
    <row r="28" customFormat="false" ht="30" hidden="false" customHeight="true" outlineLevel="0" collapsed="false">
      <c r="A28" s="137" t="str">
        <f aca="false">IF($B28="","","JL-"&amp;TEXT(ROW()-4,"000"))</f>
        <v/>
      </c>
      <c r="B28" s="118"/>
      <c r="C28" s="138" t="str">
        <f aca="false">IF($B28="","",IFERROR(VLOOKUP($B28,Lists!$A:$H,2,FALSE()),"unknown ID"))</f>
        <v/>
      </c>
      <c r="D28" s="138" t="str">
        <f aca="false">IF($B28="","",IFERROR(VLOOKUP($B28,Lists!$A:$H,3,FALSE()),""))</f>
        <v/>
      </c>
      <c r="E28" s="139" t="str">
        <f aca="false">IF($B28="","","Jamie Lavigne")</f>
        <v/>
      </c>
      <c r="F28" s="117"/>
      <c r="G28" s="117"/>
      <c r="H28" s="118"/>
      <c r="I28" s="118"/>
      <c r="J28" s="33"/>
      <c r="K28" s="119"/>
      <c r="L28" s="119"/>
      <c r="M28" s="117"/>
      <c r="N28" s="117"/>
      <c r="O28" s="119"/>
      <c r="P28" s="117"/>
      <c r="Q28" s="140" t="str">
        <f aca="false">IF($B28="","",HYPERLINK("#Projects!A"&amp;MATCH($B28,Projects!$A:$A,0),"Open Project"))</f>
        <v/>
      </c>
    </row>
    <row r="29" customFormat="false" ht="30" hidden="false" customHeight="true" outlineLevel="0" collapsed="false">
      <c r="A29" s="137" t="str">
        <f aca="false">IF($B29="","","JL-"&amp;TEXT(ROW()-4,"000"))</f>
        <v/>
      </c>
      <c r="B29" s="118"/>
      <c r="C29" s="138" t="str">
        <f aca="false">IF($B29="","",IFERROR(VLOOKUP($B29,Lists!$A:$H,2,FALSE()),"unknown ID"))</f>
        <v/>
      </c>
      <c r="D29" s="138" t="str">
        <f aca="false">IF($B29="","",IFERROR(VLOOKUP($B29,Lists!$A:$H,3,FALSE()),""))</f>
        <v/>
      </c>
      <c r="E29" s="139" t="str">
        <f aca="false">IF($B29="","","Jamie Lavigne")</f>
        <v/>
      </c>
      <c r="F29" s="117"/>
      <c r="G29" s="117"/>
      <c r="H29" s="118"/>
      <c r="I29" s="118"/>
      <c r="J29" s="33"/>
      <c r="K29" s="119"/>
      <c r="L29" s="119"/>
      <c r="M29" s="117"/>
      <c r="N29" s="117"/>
      <c r="O29" s="119"/>
      <c r="P29" s="117"/>
      <c r="Q29" s="140" t="str">
        <f aca="false">IF($B29="","",HYPERLINK("#Projects!A"&amp;MATCH($B29,Projects!$A:$A,0),"Open Project"))</f>
        <v/>
      </c>
    </row>
    <row r="30" customFormat="false" ht="30" hidden="false" customHeight="true" outlineLevel="0" collapsed="false">
      <c r="A30" s="137" t="str">
        <f aca="false">IF($B30="","","JL-"&amp;TEXT(ROW()-4,"000"))</f>
        <v/>
      </c>
      <c r="B30" s="118"/>
      <c r="C30" s="138" t="str">
        <f aca="false">IF($B30="","",IFERROR(VLOOKUP($B30,Lists!$A:$H,2,FALSE()),"unknown ID"))</f>
        <v/>
      </c>
      <c r="D30" s="138" t="str">
        <f aca="false">IF($B30="","",IFERROR(VLOOKUP($B30,Lists!$A:$H,3,FALSE()),""))</f>
        <v/>
      </c>
      <c r="E30" s="139" t="str">
        <f aca="false">IF($B30="","","Jamie Lavigne")</f>
        <v/>
      </c>
      <c r="F30" s="117"/>
      <c r="G30" s="117"/>
      <c r="H30" s="118"/>
      <c r="I30" s="118"/>
      <c r="J30" s="33"/>
      <c r="K30" s="119"/>
      <c r="L30" s="119"/>
      <c r="M30" s="117"/>
      <c r="N30" s="117"/>
      <c r="O30" s="119"/>
      <c r="P30" s="117"/>
      <c r="Q30" s="140" t="str">
        <f aca="false">IF($B30="","",HYPERLINK("#Projects!A"&amp;MATCH($B30,Projects!$A:$A,0),"Open Project"))</f>
        <v/>
      </c>
    </row>
    <row r="31" customFormat="false" ht="30" hidden="false" customHeight="true" outlineLevel="0" collapsed="false">
      <c r="A31" s="137" t="str">
        <f aca="false">IF($B31="","","JL-"&amp;TEXT(ROW()-4,"000"))</f>
        <v/>
      </c>
      <c r="B31" s="118"/>
      <c r="C31" s="138" t="str">
        <f aca="false">IF($B31="","",IFERROR(VLOOKUP($B31,Lists!$A:$H,2,FALSE()),"unknown ID"))</f>
        <v/>
      </c>
      <c r="D31" s="138" t="str">
        <f aca="false">IF($B31="","",IFERROR(VLOOKUP($B31,Lists!$A:$H,3,FALSE()),""))</f>
        <v/>
      </c>
      <c r="E31" s="139" t="str">
        <f aca="false">IF($B31="","","Jamie Lavigne")</f>
        <v/>
      </c>
      <c r="F31" s="117"/>
      <c r="G31" s="117"/>
      <c r="H31" s="118"/>
      <c r="I31" s="118"/>
      <c r="J31" s="33"/>
      <c r="K31" s="119"/>
      <c r="L31" s="119"/>
      <c r="M31" s="117"/>
      <c r="N31" s="117"/>
      <c r="O31" s="119"/>
      <c r="P31" s="117"/>
      <c r="Q31" s="140" t="str">
        <f aca="false">IF($B31="","",HYPERLINK("#Projects!A"&amp;MATCH($B31,Projects!$A:$A,0),"Open Project"))</f>
        <v/>
      </c>
    </row>
    <row r="32" customFormat="false" ht="30" hidden="false" customHeight="true" outlineLevel="0" collapsed="false">
      <c r="A32" s="137" t="str">
        <f aca="false">IF($B32="","","JL-"&amp;TEXT(ROW()-4,"000"))</f>
        <v/>
      </c>
      <c r="B32" s="118"/>
      <c r="C32" s="138" t="str">
        <f aca="false">IF($B32="","",IFERROR(VLOOKUP($B32,Lists!$A:$H,2,FALSE()),"unknown ID"))</f>
        <v/>
      </c>
      <c r="D32" s="138" t="str">
        <f aca="false">IF($B32="","",IFERROR(VLOOKUP($B32,Lists!$A:$H,3,FALSE()),""))</f>
        <v/>
      </c>
      <c r="E32" s="139" t="str">
        <f aca="false">IF($B32="","","Jamie Lavigne")</f>
        <v/>
      </c>
      <c r="F32" s="117"/>
      <c r="G32" s="117"/>
      <c r="H32" s="118"/>
      <c r="I32" s="118"/>
      <c r="J32" s="33"/>
      <c r="K32" s="119"/>
      <c r="L32" s="119"/>
      <c r="M32" s="117"/>
      <c r="N32" s="117"/>
      <c r="O32" s="119"/>
      <c r="P32" s="117"/>
      <c r="Q32" s="140" t="str">
        <f aca="false">IF($B32="","",HYPERLINK("#Projects!A"&amp;MATCH($B32,Projects!$A:$A,0),"Open Project"))</f>
        <v/>
      </c>
    </row>
    <row r="33" customFormat="false" ht="30" hidden="false" customHeight="true" outlineLevel="0" collapsed="false">
      <c r="A33" s="137" t="str">
        <f aca="false">IF($B33="","","JL-"&amp;TEXT(ROW()-4,"000"))</f>
        <v/>
      </c>
      <c r="B33" s="118"/>
      <c r="C33" s="138" t="str">
        <f aca="false">IF($B33="","",IFERROR(VLOOKUP($B33,Lists!$A:$H,2,FALSE()),"unknown ID"))</f>
        <v/>
      </c>
      <c r="D33" s="138" t="str">
        <f aca="false">IF($B33="","",IFERROR(VLOOKUP($B33,Lists!$A:$H,3,FALSE()),""))</f>
        <v/>
      </c>
      <c r="E33" s="139" t="str">
        <f aca="false">IF($B33="","","Jamie Lavigne")</f>
        <v/>
      </c>
      <c r="F33" s="117"/>
      <c r="G33" s="117"/>
      <c r="H33" s="118"/>
      <c r="I33" s="118"/>
      <c r="J33" s="33"/>
      <c r="K33" s="119"/>
      <c r="L33" s="119"/>
      <c r="M33" s="117"/>
      <c r="N33" s="117"/>
      <c r="O33" s="119"/>
      <c r="P33" s="117"/>
      <c r="Q33" s="140" t="str">
        <f aca="false">IF($B33="","",HYPERLINK("#Projects!A"&amp;MATCH($B33,Projects!$A:$A,0),"Open Project"))</f>
        <v/>
      </c>
    </row>
    <row r="34" customFormat="false" ht="30" hidden="false" customHeight="true" outlineLevel="0" collapsed="false">
      <c r="A34" s="137" t="str">
        <f aca="false">IF($B34="","","JL-"&amp;TEXT(ROW()-4,"000"))</f>
        <v/>
      </c>
      <c r="B34" s="118"/>
      <c r="C34" s="138" t="str">
        <f aca="false">IF($B34="","",IFERROR(VLOOKUP($B34,Lists!$A:$H,2,FALSE()),"unknown ID"))</f>
        <v/>
      </c>
      <c r="D34" s="138" t="str">
        <f aca="false">IF($B34="","",IFERROR(VLOOKUP($B34,Lists!$A:$H,3,FALSE()),""))</f>
        <v/>
      </c>
      <c r="E34" s="139" t="str">
        <f aca="false">IF($B34="","","Jamie Lavigne")</f>
        <v/>
      </c>
      <c r="F34" s="117"/>
      <c r="G34" s="117"/>
      <c r="H34" s="118"/>
      <c r="I34" s="118"/>
      <c r="J34" s="33"/>
      <c r="K34" s="119"/>
      <c r="L34" s="119"/>
      <c r="M34" s="117"/>
      <c r="N34" s="117"/>
      <c r="O34" s="119"/>
      <c r="P34" s="117"/>
      <c r="Q34" s="140" t="str">
        <f aca="false">IF($B34="","",HYPERLINK("#Projects!A"&amp;MATCH($B34,Projects!$A:$A,0),"Open Project"))</f>
        <v/>
      </c>
    </row>
    <row r="35" customFormat="false" ht="30" hidden="false" customHeight="true" outlineLevel="0" collapsed="false">
      <c r="A35" s="137" t="str">
        <f aca="false">IF($B35="","","JL-"&amp;TEXT(ROW()-4,"000"))</f>
        <v/>
      </c>
      <c r="B35" s="118"/>
      <c r="C35" s="138" t="str">
        <f aca="false">IF($B35="","",IFERROR(VLOOKUP($B35,Lists!$A:$H,2,FALSE()),"unknown ID"))</f>
        <v/>
      </c>
      <c r="D35" s="138" t="str">
        <f aca="false">IF($B35="","",IFERROR(VLOOKUP($B35,Lists!$A:$H,3,FALSE()),""))</f>
        <v/>
      </c>
      <c r="E35" s="139" t="str">
        <f aca="false">IF($B35="","","Jamie Lavigne")</f>
        <v/>
      </c>
      <c r="F35" s="117"/>
      <c r="G35" s="117"/>
      <c r="H35" s="118"/>
      <c r="I35" s="118"/>
      <c r="J35" s="33"/>
      <c r="K35" s="119"/>
      <c r="L35" s="119"/>
      <c r="M35" s="117"/>
      <c r="N35" s="117"/>
      <c r="O35" s="119"/>
      <c r="P35" s="117"/>
      <c r="Q35" s="140" t="str">
        <f aca="false">IF($B35="","",HYPERLINK("#Projects!A"&amp;MATCH($B35,Projects!$A:$A,0),"Open Project"))</f>
        <v/>
      </c>
    </row>
    <row r="36" customFormat="false" ht="30" hidden="false" customHeight="true" outlineLevel="0" collapsed="false">
      <c r="A36" s="137" t="str">
        <f aca="false">IF($B36="","","JL-"&amp;TEXT(ROW()-4,"000"))</f>
        <v/>
      </c>
      <c r="B36" s="118"/>
      <c r="C36" s="138" t="str">
        <f aca="false">IF($B36="","",IFERROR(VLOOKUP($B36,Lists!$A:$H,2,FALSE()),"unknown ID"))</f>
        <v/>
      </c>
      <c r="D36" s="138" t="str">
        <f aca="false">IF($B36="","",IFERROR(VLOOKUP($B36,Lists!$A:$H,3,FALSE()),""))</f>
        <v/>
      </c>
      <c r="E36" s="139" t="str">
        <f aca="false">IF($B36="","","Jamie Lavigne")</f>
        <v/>
      </c>
      <c r="F36" s="117"/>
      <c r="G36" s="117"/>
      <c r="H36" s="118"/>
      <c r="I36" s="118"/>
      <c r="J36" s="33"/>
      <c r="K36" s="119"/>
      <c r="L36" s="119"/>
      <c r="M36" s="117"/>
      <c r="N36" s="117"/>
      <c r="O36" s="119"/>
      <c r="P36" s="117"/>
      <c r="Q36" s="140" t="str">
        <f aca="false">IF($B36="","",HYPERLINK("#Projects!A"&amp;MATCH($B36,Projects!$A:$A,0),"Open Project"))</f>
        <v/>
      </c>
    </row>
    <row r="37" customFormat="false" ht="30" hidden="false" customHeight="true" outlineLevel="0" collapsed="false">
      <c r="A37" s="137" t="str">
        <f aca="false">IF($B37="","","JL-"&amp;TEXT(ROW()-4,"000"))</f>
        <v/>
      </c>
      <c r="B37" s="118"/>
      <c r="C37" s="138" t="str">
        <f aca="false">IF($B37="","",IFERROR(VLOOKUP($B37,Lists!$A:$H,2,FALSE()),"unknown ID"))</f>
        <v/>
      </c>
      <c r="D37" s="138" t="str">
        <f aca="false">IF($B37="","",IFERROR(VLOOKUP($B37,Lists!$A:$H,3,FALSE()),""))</f>
        <v/>
      </c>
      <c r="E37" s="139" t="str">
        <f aca="false">IF($B37="","","Jamie Lavigne")</f>
        <v/>
      </c>
      <c r="F37" s="117"/>
      <c r="G37" s="117"/>
      <c r="H37" s="118"/>
      <c r="I37" s="118"/>
      <c r="J37" s="33"/>
      <c r="K37" s="119"/>
      <c r="L37" s="119"/>
      <c r="M37" s="117"/>
      <c r="N37" s="117"/>
      <c r="O37" s="119"/>
      <c r="P37" s="117"/>
      <c r="Q37" s="140" t="str">
        <f aca="false">IF($B37="","",HYPERLINK("#Projects!A"&amp;MATCH($B37,Projects!$A:$A,0),"Open Project"))</f>
        <v/>
      </c>
    </row>
    <row r="38" customFormat="false" ht="30" hidden="false" customHeight="true" outlineLevel="0" collapsed="false">
      <c r="A38" s="137" t="str">
        <f aca="false">IF($B38="","","JL-"&amp;TEXT(ROW()-4,"000"))</f>
        <v/>
      </c>
      <c r="B38" s="118"/>
      <c r="C38" s="138" t="str">
        <f aca="false">IF($B38="","",IFERROR(VLOOKUP($B38,Lists!$A:$H,2,FALSE()),"unknown ID"))</f>
        <v/>
      </c>
      <c r="D38" s="138" t="str">
        <f aca="false">IF($B38="","",IFERROR(VLOOKUP($B38,Lists!$A:$H,3,FALSE()),""))</f>
        <v/>
      </c>
      <c r="E38" s="139" t="str">
        <f aca="false">IF($B38="","","Jamie Lavigne")</f>
        <v/>
      </c>
      <c r="F38" s="117"/>
      <c r="G38" s="117"/>
      <c r="H38" s="118"/>
      <c r="I38" s="118"/>
      <c r="J38" s="33"/>
      <c r="K38" s="119"/>
      <c r="L38" s="119"/>
      <c r="M38" s="117"/>
      <c r="N38" s="117"/>
      <c r="O38" s="119"/>
      <c r="P38" s="117"/>
      <c r="Q38" s="140" t="str">
        <f aca="false">IF($B38="","",HYPERLINK("#Projects!A"&amp;MATCH($B38,Projects!$A:$A,0),"Open Project"))</f>
        <v/>
      </c>
    </row>
    <row r="39" customFormat="false" ht="30" hidden="false" customHeight="true" outlineLevel="0" collapsed="false">
      <c r="A39" s="137" t="str">
        <f aca="false">IF($B39="","","JL-"&amp;TEXT(ROW()-4,"000"))</f>
        <v/>
      </c>
      <c r="B39" s="118"/>
      <c r="C39" s="138" t="str">
        <f aca="false">IF($B39="","",IFERROR(VLOOKUP($B39,Lists!$A:$H,2,FALSE()),"unknown ID"))</f>
        <v/>
      </c>
      <c r="D39" s="138" t="str">
        <f aca="false">IF($B39="","",IFERROR(VLOOKUP($B39,Lists!$A:$H,3,FALSE()),""))</f>
        <v/>
      </c>
      <c r="E39" s="139" t="str">
        <f aca="false">IF($B39="","","Jamie Lavigne")</f>
        <v/>
      </c>
      <c r="F39" s="117"/>
      <c r="G39" s="117"/>
      <c r="H39" s="118"/>
      <c r="I39" s="118"/>
      <c r="J39" s="33"/>
      <c r="K39" s="119"/>
      <c r="L39" s="119"/>
      <c r="M39" s="117"/>
      <c r="N39" s="117"/>
      <c r="O39" s="119"/>
      <c r="P39" s="117"/>
      <c r="Q39" s="140" t="str">
        <f aca="false">IF($B39="","",HYPERLINK("#Projects!A"&amp;MATCH($B39,Projects!$A:$A,0),"Open Project"))</f>
        <v/>
      </c>
    </row>
    <row r="40" customFormat="false" ht="30" hidden="false" customHeight="true" outlineLevel="0" collapsed="false">
      <c r="A40" s="137" t="str">
        <f aca="false">IF($B40="","","JL-"&amp;TEXT(ROW()-4,"000"))</f>
        <v/>
      </c>
      <c r="B40" s="118"/>
      <c r="C40" s="138" t="str">
        <f aca="false">IF($B40="","",IFERROR(VLOOKUP($B40,Lists!$A:$H,2,FALSE()),"unknown ID"))</f>
        <v/>
      </c>
      <c r="D40" s="138" t="str">
        <f aca="false">IF($B40="","",IFERROR(VLOOKUP($B40,Lists!$A:$H,3,FALSE()),""))</f>
        <v/>
      </c>
      <c r="E40" s="139" t="str">
        <f aca="false">IF($B40="","","Jamie Lavigne")</f>
        <v/>
      </c>
      <c r="F40" s="117"/>
      <c r="G40" s="117"/>
      <c r="H40" s="118"/>
      <c r="I40" s="118"/>
      <c r="J40" s="33"/>
      <c r="K40" s="119"/>
      <c r="L40" s="119"/>
      <c r="M40" s="117"/>
      <c r="N40" s="117"/>
      <c r="O40" s="119"/>
      <c r="P40" s="117"/>
      <c r="Q40" s="140" t="str">
        <f aca="false">IF($B40="","",HYPERLINK("#Projects!A"&amp;MATCH($B40,Projects!$A:$A,0),"Open Project"))</f>
        <v/>
      </c>
    </row>
    <row r="41" customFormat="false" ht="30" hidden="false" customHeight="true" outlineLevel="0" collapsed="false">
      <c r="A41" s="137" t="str">
        <f aca="false">IF($B41="","","JL-"&amp;TEXT(ROW()-4,"000"))</f>
        <v/>
      </c>
      <c r="B41" s="118"/>
      <c r="C41" s="138" t="str">
        <f aca="false">IF($B41="","",IFERROR(VLOOKUP($B41,Lists!$A:$H,2,FALSE()),"unknown ID"))</f>
        <v/>
      </c>
      <c r="D41" s="138" t="str">
        <f aca="false">IF($B41="","",IFERROR(VLOOKUP($B41,Lists!$A:$H,3,FALSE()),""))</f>
        <v/>
      </c>
      <c r="E41" s="139" t="str">
        <f aca="false">IF($B41="","","Jamie Lavigne")</f>
        <v/>
      </c>
      <c r="F41" s="117"/>
      <c r="G41" s="117"/>
      <c r="H41" s="118"/>
      <c r="I41" s="118"/>
      <c r="J41" s="33"/>
      <c r="K41" s="119"/>
      <c r="L41" s="119"/>
      <c r="M41" s="117"/>
      <c r="N41" s="117"/>
      <c r="O41" s="119"/>
      <c r="P41" s="117"/>
      <c r="Q41" s="140" t="str">
        <f aca="false">IF($B41="","",HYPERLINK("#Projects!A"&amp;MATCH($B41,Projects!$A:$A,0),"Open Project"))</f>
        <v/>
      </c>
    </row>
    <row r="42" customFormat="false" ht="30" hidden="false" customHeight="true" outlineLevel="0" collapsed="false">
      <c r="A42" s="137" t="str">
        <f aca="false">IF($B42="","","JL-"&amp;TEXT(ROW()-4,"000"))</f>
        <v/>
      </c>
      <c r="B42" s="118"/>
      <c r="C42" s="138" t="str">
        <f aca="false">IF($B42="","",IFERROR(VLOOKUP($B42,Lists!$A:$H,2,FALSE()),"unknown ID"))</f>
        <v/>
      </c>
      <c r="D42" s="138" t="str">
        <f aca="false">IF($B42="","",IFERROR(VLOOKUP($B42,Lists!$A:$H,3,FALSE()),""))</f>
        <v/>
      </c>
      <c r="E42" s="139" t="str">
        <f aca="false">IF($B42="","","Jamie Lavigne")</f>
        <v/>
      </c>
      <c r="F42" s="117"/>
      <c r="G42" s="117"/>
      <c r="H42" s="118"/>
      <c r="I42" s="118"/>
      <c r="J42" s="33"/>
      <c r="K42" s="119"/>
      <c r="L42" s="119"/>
      <c r="M42" s="117"/>
      <c r="N42" s="117"/>
      <c r="O42" s="119"/>
      <c r="P42" s="117"/>
      <c r="Q42" s="140" t="str">
        <f aca="false">IF($B42="","",HYPERLINK("#Projects!A"&amp;MATCH($B42,Projects!$A:$A,0),"Open Project"))</f>
        <v/>
      </c>
    </row>
    <row r="43" customFormat="false" ht="30" hidden="false" customHeight="true" outlineLevel="0" collapsed="false">
      <c r="A43" s="137" t="str">
        <f aca="false">IF($B43="","","JL-"&amp;TEXT(ROW()-4,"000"))</f>
        <v/>
      </c>
      <c r="B43" s="118"/>
      <c r="C43" s="138" t="str">
        <f aca="false">IF($B43="","",IFERROR(VLOOKUP($B43,Lists!$A:$H,2,FALSE()),"unknown ID"))</f>
        <v/>
      </c>
      <c r="D43" s="138" t="str">
        <f aca="false">IF($B43="","",IFERROR(VLOOKUP($B43,Lists!$A:$H,3,FALSE()),""))</f>
        <v/>
      </c>
      <c r="E43" s="139" t="str">
        <f aca="false">IF($B43="","","Jamie Lavigne")</f>
        <v/>
      </c>
      <c r="F43" s="117"/>
      <c r="G43" s="117"/>
      <c r="H43" s="118"/>
      <c r="I43" s="118"/>
      <c r="J43" s="33"/>
      <c r="K43" s="119"/>
      <c r="L43" s="119"/>
      <c r="M43" s="117"/>
      <c r="N43" s="117"/>
      <c r="O43" s="119"/>
      <c r="P43" s="117"/>
      <c r="Q43" s="140" t="str">
        <f aca="false">IF($B43="","",HYPERLINK("#Projects!A"&amp;MATCH($B43,Projects!$A:$A,0),"Open Project"))</f>
        <v/>
      </c>
    </row>
    <row r="44" customFormat="false" ht="30" hidden="false" customHeight="true" outlineLevel="0" collapsed="false">
      <c r="A44" s="137" t="str">
        <f aca="false">IF($B44="","","JL-"&amp;TEXT(ROW()-4,"000"))</f>
        <v/>
      </c>
      <c r="B44" s="118"/>
      <c r="C44" s="138" t="str">
        <f aca="false">IF($B44="","",IFERROR(VLOOKUP($B44,Lists!$A:$H,2,FALSE()),"unknown ID"))</f>
        <v/>
      </c>
      <c r="D44" s="138" t="str">
        <f aca="false">IF($B44="","",IFERROR(VLOOKUP($B44,Lists!$A:$H,3,FALSE()),""))</f>
        <v/>
      </c>
      <c r="E44" s="139" t="str">
        <f aca="false">IF($B44="","","Jamie Lavigne")</f>
        <v/>
      </c>
      <c r="F44" s="117"/>
      <c r="G44" s="117"/>
      <c r="H44" s="118"/>
      <c r="I44" s="118"/>
      <c r="J44" s="33"/>
      <c r="K44" s="119"/>
      <c r="L44" s="119"/>
      <c r="M44" s="117"/>
      <c r="N44" s="117"/>
      <c r="O44" s="119"/>
      <c r="P44" s="117"/>
      <c r="Q44" s="140" t="str">
        <f aca="false">IF($B44="","",HYPERLINK("#Projects!A"&amp;MATCH($B44,Projects!$A:$A,0),"Open Project"))</f>
        <v/>
      </c>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sheetData>
  <mergeCells count="2">
    <mergeCell ref="A1:Q1"/>
    <mergeCell ref="A2:Q2"/>
  </mergeCells>
  <conditionalFormatting sqref="M6:M9">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J6:J101">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I5:I44">
    <cfRule type="cellIs" priority="16" operator="equal" aboveAverage="0" equalAverage="0" bottom="0" percent="0" rank="0" text="" dxfId="29">
      <formula>"Complete"</formula>
    </cfRule>
    <cfRule type="cellIs" priority="17" operator="equal" aboveAverage="0" equalAverage="0" bottom="0" percent="0" rank="0" text="" dxfId="4">
      <formula>"Blocked"</formula>
    </cfRule>
    <cfRule type="cellIs" priority="18" operator="equal" aboveAverage="0" equalAverage="0" bottom="0" percent="0" rank="0" text="" dxfId="45">
      <formula>"Waiting on Someone"</formula>
    </cfRule>
    <cfRule type="cellIs" priority="19" operator="equal" aboveAverage="0" equalAverage="0" bottom="0" percent="0" rank="0" text="" dxfId="30">
      <formula>"In Progress"</formula>
    </cfRule>
    <cfRule type="cellIs" priority="20" operator="equal" aboveAverage="0" equalAverage="0" bottom="0" percent="0" rank="0" text="" dxfId="32">
      <formula>"Not Started"</formula>
    </cfRule>
  </conditionalFormatting>
  <conditionalFormatting sqref="L5:L44">
    <cfRule type="expression" priority="21" aboveAverage="0" equalAverage="0" bottom="0" percent="0" rank="0" text="" dxfId="4">
      <formula>AND($L5&lt;&gt;"",$L5&lt;TODAY(),$I5&lt;&gt;"Complete")</formula>
    </cfRule>
    <cfRule type="expression" priority="22" aboveAverage="0" equalAverage="0" bottom="0" percent="0" rank="0" text="" dxfId="46">
      <formula>AND($L5&lt;&gt;"",$L5&gt;=TODAY(),$L5&lt;=TODAY()+7,$I5&lt;&gt;"Complete")</formula>
    </cfRule>
  </conditionalFormatting>
  <conditionalFormatting sqref="G5:G44">
    <cfRule type="expression" priority="23" aboveAverage="0" equalAverage="0" bottom="0" percent="0" rank="0" text="" dxfId="47">
      <formula>$I5="Complete"</formula>
    </cfRule>
  </conditionalFormatting>
  <conditionalFormatting sqref="J5:J44">
    <cfRule type="dataBar" priority="24">
      <dataBar showValue="1" minLength="10" maxLength="90">
        <cfvo type="num" val="0"/>
        <cfvo type="num" val="1"/>
        <color rgb="FF2E75B6"/>
      </dataBar>
      <extLst>
        <ext xmlns:x14="http://schemas.microsoft.com/office/spreadsheetml/2009/9/main" uri="{B025F937-C7B1-47D3-B67F-A62EFF666E3E}">
          <x14:id>{36C0189D-5E1D-44AC-B4C5-B921E84277A9}</x14:id>
        </ext>
      </extLst>
    </cfRule>
  </conditionalFormatting>
  <dataValidations count="5">
    <dataValidation allowBlank="true" errorStyle="stop" operator="between" showDropDown="false" showErrorMessage="true" showInputMessage="true" sqref="J6:J10 M6:M9 J11:J101" type="list">
      <formula1>"C,G,Y,R,na"</formula1>
      <formula2>0</formula2>
    </dataValidation>
    <dataValidation allowBlank="true" error="Pick a value from the list" errorStyle="stop" errorTitle="Invalid entry" operator="between" showDropDown="false" showErrorMessage="false" showInputMessage="false" sqref="B5:B44" type="list">
      <formula1>ProjectIDList</formula1>
      <formula2>0</formula2>
    </dataValidation>
    <dataValidation allowBlank="true" error="Pick a value from the list" errorStyle="stop" errorTitle="Invalid entry" operator="between" showDropDown="false" showErrorMessage="false" showInputMessage="false" sqref="F5:F44" type="list">
      <formula1>RoleList</formula1>
      <formula2>0</formula2>
    </dataValidation>
    <dataValidation allowBlank="true" error="Pick a value from the list" errorStyle="stop" errorTitle="Invalid entry" operator="between" showDropDown="false" showErrorMessage="false" showInputMessage="false" sqref="H5:H44" type="list">
      <formula1>PriorityList</formula1>
      <formula2>0</formula2>
    </dataValidation>
    <dataValidation allowBlank="true" error="Pick a value from the list" errorStyle="stop" errorTitle="Invalid entry" operator="between" showDropDown="false" showErrorMessage="false" showInputMessage="false" sqref="I5:I44" type="list">
      <formula1>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36C0189D-5E1D-44AC-B4C5-B921E84277A9}">
            <x14:dataBar minLength="10" maxLength="90" axisPosition="none" gradient="true">
              <x14:cfvo type="num">
                <xm:f>0</xm:f>
              </x14:cfvo>
              <x14:cfvo type="num">
                <xm:f>1</xm:f>
              </x14:cfvo>
              <x14:negativeFillColor rgb="FF2E75B6"/>
              <x14:axisColor rgb="FF000000"/>
            </x14:dataBar>
          </x14:cfRule>
          <xm:sqref>J5:J44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Q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K6" activeCellId="0" sqref="K6"/>
    </sheetView>
  </sheetViews>
  <sheetFormatPr defaultColWidth="8.5390625" defaultRowHeight="14.2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4"/>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36"/>
    <col collapsed="false" customWidth="true" hidden="false" outlineLevel="0" max="8" min="8" style="0" width="10"/>
    <col collapsed="false" customWidth="true" hidden="false" outlineLevel="0" max="9" min="9" style="0" width="16"/>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26"/>
    <col collapsed="false" customWidth="true" hidden="false" outlineLevel="0" max="15" min="15" style="0" width="12"/>
    <col collapsed="false" customWidth="true" hidden="false" outlineLevel="0" max="16" min="16" style="0" width="30"/>
    <col collapsed="false" customWidth="true" hidden="false" outlineLevel="0" max="17" min="17" style="0" width="15"/>
  </cols>
  <sheetData>
    <row r="1" customFormat="false" ht="30" hidden="false" customHeight="true" outlineLevel="0" collapsed="false">
      <c r="A1" s="114" t="s">
        <v>342</v>
      </c>
      <c r="B1" s="114"/>
      <c r="C1" s="114"/>
      <c r="D1" s="114"/>
      <c r="E1" s="114"/>
      <c r="F1" s="114"/>
      <c r="G1" s="114"/>
      <c r="H1" s="114"/>
      <c r="I1" s="114"/>
      <c r="J1" s="114"/>
      <c r="K1" s="114"/>
      <c r="L1" s="114"/>
      <c r="M1" s="114"/>
      <c r="N1" s="114"/>
      <c r="O1" s="114"/>
      <c r="P1" s="114"/>
      <c r="Q1" s="114"/>
    </row>
    <row r="2" customFormat="false" ht="24" hidden="false" customHeight="true" outlineLevel="0" collapsed="false">
      <c r="A2" s="115" t="s">
        <v>263</v>
      </c>
      <c r="B2" s="115"/>
      <c r="C2" s="115"/>
      <c r="D2" s="115"/>
      <c r="E2" s="115"/>
      <c r="F2" s="115"/>
      <c r="G2" s="115"/>
      <c r="H2" s="115"/>
      <c r="I2" s="115"/>
      <c r="J2" s="115"/>
      <c r="K2" s="115"/>
      <c r="L2" s="115"/>
      <c r="M2" s="115"/>
      <c r="N2" s="115"/>
      <c r="O2" s="115"/>
      <c r="P2" s="115"/>
      <c r="Q2" s="115"/>
    </row>
    <row r="3" customFormat="false" ht="24" hidden="false" customHeight="true" outlineLevel="0" collapsed="false"/>
    <row r="4" customFormat="false" ht="33.75" hidden="false" customHeight="true" outlineLevel="0" collapsed="false">
      <c r="A4" s="129" t="s">
        <v>237</v>
      </c>
      <c r="B4" s="136" t="s">
        <v>178</v>
      </c>
      <c r="C4" s="129" t="s">
        <v>16</v>
      </c>
      <c r="D4" s="129" t="s">
        <v>251</v>
      </c>
      <c r="E4" s="129" t="s">
        <v>238</v>
      </c>
      <c r="F4" s="136" t="s">
        <v>240</v>
      </c>
      <c r="G4" s="136" t="s">
        <v>239</v>
      </c>
      <c r="H4" s="136" t="s">
        <v>241</v>
      </c>
      <c r="I4" s="136" t="s">
        <v>50</v>
      </c>
      <c r="J4" s="136" t="s">
        <v>252</v>
      </c>
      <c r="K4" s="136" t="s">
        <v>253</v>
      </c>
      <c r="L4" s="136" t="s">
        <v>254</v>
      </c>
      <c r="M4" s="136" t="s">
        <v>255</v>
      </c>
      <c r="N4" s="136" t="s">
        <v>246</v>
      </c>
      <c r="O4" s="136" t="s">
        <v>247</v>
      </c>
      <c r="P4" s="136" t="s">
        <v>248</v>
      </c>
      <c r="Q4" s="129" t="s">
        <v>264</v>
      </c>
    </row>
    <row r="5" customFormat="false" ht="30" hidden="false" customHeight="true" outlineLevel="0" collapsed="false">
      <c r="A5" s="137" t="str">
        <f aca="false">IF($B5="","","SG-"&amp;TEXT(ROW()-4,"000"))</f>
        <v>SG-001</v>
      </c>
      <c r="B5" s="118" t="s">
        <v>187</v>
      </c>
      <c r="C5" s="138" t="str">
        <f aca="false">IF($B5="","",IFERROR(VLOOKUP($B5,Lists!$A:$H,2,FALSE()),"unknown ID"))</f>
        <v>1 – Unified Development System</v>
      </c>
      <c r="D5" s="138" t="str">
        <f aca="false">IF($B5="","",IFERROR(VLOOKUP($B5,Lists!$A:$H,3,FALSE()),""))</f>
        <v>Implement standardized Mutual Evaluation Process (MEP) across all brands</v>
      </c>
      <c r="E5" s="139" t="str">
        <f aca="false">IF($B5="","","Steve Griffith")</f>
        <v>Steve Griffith</v>
      </c>
      <c r="F5" s="117" t="s">
        <v>270</v>
      </c>
      <c r="G5" s="117" t="s">
        <v>271</v>
      </c>
      <c r="H5" s="118" t="s">
        <v>272</v>
      </c>
      <c r="I5" s="118" t="s">
        <v>18</v>
      </c>
      <c r="J5" s="33" t="n">
        <v>0.5</v>
      </c>
      <c r="K5" s="119" t="n">
        <v>46162</v>
      </c>
      <c r="L5" s="119" t="n">
        <v>46186</v>
      </c>
      <c r="M5" s="117"/>
      <c r="N5" s="117"/>
      <c r="O5" s="119" t="s">
        <v>273</v>
      </c>
      <c r="P5" s="117" t="s">
        <v>274</v>
      </c>
      <c r="Q5" s="140" t="str">
        <f aca="false">IF($B5="","",HYPERLINK("#Projects!A"&amp;MATCH($B5,Projects!$A:$A,0),"Open Project"))</f>
        <v>Open Project</v>
      </c>
    </row>
    <row r="6" customFormat="false" ht="30" hidden="false" customHeight="true" outlineLevel="0" collapsed="false">
      <c r="A6" s="137" t="str">
        <f aca="false">IF($B6="","","SG-"&amp;TEXT(ROW()-4,"000"))</f>
        <v>SG-002</v>
      </c>
      <c r="B6" s="118" t="s">
        <v>212</v>
      </c>
      <c r="C6" s="138" t="str">
        <f aca="false">IF($B6="","",IFERROR(VLOOKUP($B6,Lists!$A:$H,2,FALSE()),"unknown ID"))</f>
        <v>4 – Portfolio Brand Strategy</v>
      </c>
      <c r="D6" s="138" t="str">
        <f aca="false">IF($B6="","",IFERROR(VLOOKUP($B6,Lists!$A:$H,3,FALSE()),""))</f>
        <v>Rebuild validation and franchisee confidence within MilliCare</v>
      </c>
      <c r="E6" s="139" t="str">
        <f aca="false">IF($B6="","","Steve Griffith")</f>
        <v>Steve Griffith</v>
      </c>
      <c r="F6" s="117" t="s">
        <v>265</v>
      </c>
      <c r="G6" s="117" t="s">
        <v>343</v>
      </c>
      <c r="H6" s="118" t="s">
        <v>267</v>
      </c>
      <c r="I6" s="118" t="s">
        <v>18</v>
      </c>
      <c r="J6" s="33" t="n">
        <v>0.2</v>
      </c>
      <c r="K6" s="119" t="n">
        <v>46152</v>
      </c>
      <c r="L6" s="119" t="n">
        <v>46295</v>
      </c>
      <c r="M6" s="117"/>
      <c r="N6" s="117" t="s">
        <v>344</v>
      </c>
      <c r="O6" s="119" t="s">
        <v>345</v>
      </c>
      <c r="P6" s="117" t="s">
        <v>346</v>
      </c>
      <c r="Q6" s="140" t="str">
        <f aca="false">IF($B6="","",HYPERLINK("#Projects!A"&amp;MATCH($B6,Projects!$A:$A,0),"Open Project"))</f>
        <v>Open Project</v>
      </c>
    </row>
    <row r="7" customFormat="false" ht="30" hidden="false" customHeight="true" outlineLevel="0" collapsed="false">
      <c r="A7" s="137" t="str">
        <f aca="false">IF($B7="","","SG-"&amp;TEXT(ROW()-4,"000"))</f>
        <v/>
      </c>
      <c r="B7" s="118"/>
      <c r="C7" s="138" t="str">
        <f aca="false">IF($B7="","",IFERROR(VLOOKUP($B7,Lists!$A:$H,2,FALSE()),"unknown ID"))</f>
        <v/>
      </c>
      <c r="D7" s="138" t="str">
        <f aca="false">IF($B7="","",IFERROR(VLOOKUP($B7,Lists!$A:$H,3,FALSE()),""))</f>
        <v/>
      </c>
      <c r="E7" s="139" t="str">
        <f aca="false">IF($B7="","","Steve Griffith")</f>
        <v/>
      </c>
      <c r="F7" s="117"/>
      <c r="G7" s="117"/>
      <c r="H7" s="118"/>
      <c r="I7" s="118"/>
      <c r="J7" s="33"/>
      <c r="K7" s="119"/>
      <c r="L7" s="119"/>
      <c r="M7" s="117"/>
      <c r="N7" s="117"/>
      <c r="O7" s="119"/>
      <c r="P7" s="117"/>
      <c r="Q7" s="140" t="str">
        <f aca="false">IF($B7="","",HYPERLINK("#Projects!A"&amp;MATCH($B7,Projects!$A:$A,0),"Open Project"))</f>
        <v/>
      </c>
    </row>
    <row r="8" customFormat="false" ht="30" hidden="false" customHeight="true" outlineLevel="0" collapsed="false">
      <c r="A8" s="137" t="str">
        <f aca="false">IF($B8="","","SG-"&amp;TEXT(ROW()-4,"000"))</f>
        <v/>
      </c>
      <c r="B8" s="118"/>
      <c r="C8" s="138" t="str">
        <f aca="false">IF($B8="","",IFERROR(VLOOKUP($B8,Lists!$A:$H,2,FALSE()),"unknown ID"))</f>
        <v/>
      </c>
      <c r="D8" s="138" t="str">
        <f aca="false">IF($B8="","",IFERROR(VLOOKUP($B8,Lists!$A:$H,3,FALSE()),""))</f>
        <v/>
      </c>
      <c r="E8" s="139" t="str">
        <f aca="false">IF($B8="","","Steve Griffith")</f>
        <v/>
      </c>
      <c r="F8" s="117"/>
      <c r="G8" s="117"/>
      <c r="H8" s="118"/>
      <c r="I8" s="118"/>
      <c r="J8" s="33"/>
      <c r="K8" s="119"/>
      <c r="L8" s="119"/>
      <c r="M8" s="117"/>
      <c r="N8" s="117"/>
      <c r="O8" s="119"/>
      <c r="P8" s="117"/>
      <c r="Q8" s="140" t="str">
        <f aca="false">IF($B8="","",HYPERLINK("#Projects!A"&amp;MATCH($B8,Projects!$A:$A,0),"Open Project"))</f>
        <v/>
      </c>
    </row>
    <row r="9" customFormat="false" ht="30" hidden="false" customHeight="true" outlineLevel="0" collapsed="false">
      <c r="A9" s="137" t="str">
        <f aca="false">IF($B9="","","SG-"&amp;TEXT(ROW()-4,"000"))</f>
        <v/>
      </c>
      <c r="B9" s="118"/>
      <c r="C9" s="138" t="str">
        <f aca="false">IF($B9="","",IFERROR(VLOOKUP($B9,Lists!$A:$H,2,FALSE()),"unknown ID"))</f>
        <v/>
      </c>
      <c r="D9" s="138" t="str">
        <f aca="false">IF($B9="","",IFERROR(VLOOKUP($B9,Lists!$A:$H,3,FALSE()),""))</f>
        <v/>
      </c>
      <c r="E9" s="139" t="str">
        <f aca="false">IF($B9="","","Steve Griffith")</f>
        <v/>
      </c>
      <c r="F9" s="117"/>
      <c r="G9" s="117"/>
      <c r="H9" s="118"/>
      <c r="I9" s="118"/>
      <c r="J9" s="33"/>
      <c r="K9" s="119"/>
      <c r="L9" s="119"/>
      <c r="M9" s="117"/>
      <c r="N9" s="117"/>
      <c r="O9" s="119"/>
      <c r="P9" s="117"/>
      <c r="Q9" s="140" t="str">
        <f aca="false">IF($B9="","",HYPERLINK("#Projects!A"&amp;MATCH($B9,Projects!$A:$A,0),"Open Project"))</f>
        <v/>
      </c>
    </row>
    <row r="10" customFormat="false" ht="30" hidden="false" customHeight="true" outlineLevel="0" collapsed="false">
      <c r="A10" s="137" t="str">
        <f aca="false">IF($B10="","","SG-"&amp;TEXT(ROW()-4,"000"))</f>
        <v/>
      </c>
      <c r="B10" s="118"/>
      <c r="C10" s="138" t="str">
        <f aca="false">IF($B10="","",IFERROR(VLOOKUP($B10,Lists!$A:$H,2,FALSE()),"unknown ID"))</f>
        <v/>
      </c>
      <c r="D10" s="138" t="str">
        <f aca="false">IF($B10="","",IFERROR(VLOOKUP($B10,Lists!$A:$H,3,FALSE()),""))</f>
        <v/>
      </c>
      <c r="E10" s="139" t="str">
        <f aca="false">IF($B10="","","Steve Griffith")</f>
        <v/>
      </c>
      <c r="F10" s="117"/>
      <c r="G10" s="117"/>
      <c r="H10" s="118"/>
      <c r="I10" s="118"/>
      <c r="J10" s="33"/>
      <c r="K10" s="119"/>
      <c r="L10" s="119"/>
      <c r="M10" s="117"/>
      <c r="N10" s="117"/>
      <c r="O10" s="119"/>
      <c r="P10" s="117"/>
      <c r="Q10" s="140" t="str">
        <f aca="false">IF($B10="","",HYPERLINK("#Projects!A"&amp;MATCH($B10,Projects!$A:$A,0),"Open Project"))</f>
        <v/>
      </c>
    </row>
    <row r="11" customFormat="false" ht="30" hidden="false" customHeight="true" outlineLevel="0" collapsed="false">
      <c r="A11" s="137" t="str">
        <f aca="false">IF($B11="","","SG-"&amp;TEXT(ROW()-4,"000"))</f>
        <v/>
      </c>
      <c r="B11" s="118"/>
      <c r="C11" s="138" t="str">
        <f aca="false">IF($B11="","",IFERROR(VLOOKUP($B11,Lists!$A:$H,2,FALSE()),"unknown ID"))</f>
        <v/>
      </c>
      <c r="D11" s="138" t="str">
        <f aca="false">IF($B11="","",IFERROR(VLOOKUP($B11,Lists!$A:$H,3,FALSE()),""))</f>
        <v/>
      </c>
      <c r="E11" s="139" t="str">
        <f aca="false">IF($B11="","","Steve Griffith")</f>
        <v/>
      </c>
      <c r="F11" s="117"/>
      <c r="G11" s="117"/>
      <c r="H11" s="118"/>
      <c r="I11" s="118"/>
      <c r="J11" s="33"/>
      <c r="K11" s="119"/>
      <c r="L11" s="119"/>
      <c r="M11" s="117"/>
      <c r="N11" s="117"/>
      <c r="O11" s="119"/>
      <c r="P11" s="117"/>
      <c r="Q11" s="140" t="str">
        <f aca="false">IF($B11="","",HYPERLINK("#Projects!A"&amp;MATCH($B11,Projects!$A:$A,0),"Open Project"))</f>
        <v/>
      </c>
    </row>
    <row r="12" customFormat="false" ht="30" hidden="false" customHeight="true" outlineLevel="0" collapsed="false">
      <c r="A12" s="137" t="str">
        <f aca="false">IF($B12="","","SG-"&amp;TEXT(ROW()-4,"000"))</f>
        <v/>
      </c>
      <c r="B12" s="118"/>
      <c r="C12" s="138" t="str">
        <f aca="false">IF($B12="","",IFERROR(VLOOKUP($B12,Lists!$A:$H,2,FALSE()),"unknown ID"))</f>
        <v/>
      </c>
      <c r="D12" s="138" t="str">
        <f aca="false">IF($B12="","",IFERROR(VLOOKUP($B12,Lists!$A:$H,3,FALSE()),""))</f>
        <v/>
      </c>
      <c r="E12" s="139" t="str">
        <f aca="false">IF($B12="","","Steve Griffith")</f>
        <v/>
      </c>
      <c r="F12" s="117"/>
      <c r="G12" s="117"/>
      <c r="H12" s="118"/>
      <c r="I12" s="118"/>
      <c r="J12" s="33"/>
      <c r="K12" s="119"/>
      <c r="L12" s="119"/>
      <c r="M12" s="117"/>
      <c r="N12" s="117"/>
      <c r="O12" s="119"/>
      <c r="P12" s="117"/>
      <c r="Q12" s="140" t="str">
        <f aca="false">IF($B12="","",HYPERLINK("#Projects!A"&amp;MATCH($B12,Projects!$A:$A,0),"Open Project"))</f>
        <v/>
      </c>
    </row>
    <row r="13" customFormat="false" ht="30" hidden="false" customHeight="true" outlineLevel="0" collapsed="false">
      <c r="A13" s="137" t="str">
        <f aca="false">IF($B13="","","SG-"&amp;TEXT(ROW()-4,"000"))</f>
        <v/>
      </c>
      <c r="B13" s="118"/>
      <c r="C13" s="138" t="str">
        <f aca="false">IF($B13="","",IFERROR(VLOOKUP($B13,Lists!$A:$H,2,FALSE()),"unknown ID"))</f>
        <v/>
      </c>
      <c r="D13" s="138" t="str">
        <f aca="false">IF($B13="","",IFERROR(VLOOKUP($B13,Lists!$A:$H,3,FALSE()),""))</f>
        <v/>
      </c>
      <c r="E13" s="139" t="str">
        <f aca="false">IF($B13="","","Steve Griffith")</f>
        <v/>
      </c>
      <c r="F13" s="117"/>
      <c r="G13" s="117"/>
      <c r="H13" s="118"/>
      <c r="I13" s="118"/>
      <c r="J13" s="33"/>
      <c r="K13" s="119"/>
      <c r="L13" s="119"/>
      <c r="M13" s="117"/>
      <c r="N13" s="117"/>
      <c r="O13" s="119"/>
      <c r="P13" s="117"/>
      <c r="Q13" s="140" t="str">
        <f aca="false">IF($B13="","",HYPERLINK("#Projects!A"&amp;MATCH($B13,Projects!$A:$A,0),"Open Project"))</f>
        <v/>
      </c>
    </row>
    <row r="14" customFormat="false" ht="30" hidden="false" customHeight="true" outlineLevel="0" collapsed="false">
      <c r="A14" s="137" t="str">
        <f aca="false">IF($B14="","","SG-"&amp;TEXT(ROW()-4,"000"))</f>
        <v/>
      </c>
      <c r="B14" s="118"/>
      <c r="C14" s="138" t="str">
        <f aca="false">IF($B14="","",IFERROR(VLOOKUP($B14,Lists!$A:$H,2,FALSE()),"unknown ID"))</f>
        <v/>
      </c>
      <c r="D14" s="138" t="str">
        <f aca="false">IF($B14="","",IFERROR(VLOOKUP($B14,Lists!$A:$H,3,FALSE()),""))</f>
        <v/>
      </c>
      <c r="E14" s="139" t="str">
        <f aca="false">IF($B14="","","Steve Griffith")</f>
        <v/>
      </c>
      <c r="F14" s="117"/>
      <c r="G14" s="117"/>
      <c r="H14" s="118"/>
      <c r="I14" s="118"/>
      <c r="J14" s="33"/>
      <c r="K14" s="119"/>
      <c r="L14" s="119"/>
      <c r="M14" s="117"/>
      <c r="N14" s="117"/>
      <c r="O14" s="119"/>
      <c r="P14" s="117"/>
      <c r="Q14" s="140" t="str">
        <f aca="false">IF($B14="","",HYPERLINK("#Projects!A"&amp;MATCH($B14,Projects!$A:$A,0),"Open Project"))</f>
        <v/>
      </c>
    </row>
    <row r="15" customFormat="false" ht="30" hidden="false" customHeight="true" outlineLevel="0" collapsed="false">
      <c r="A15" s="137" t="str">
        <f aca="false">IF($B15="","","SG-"&amp;TEXT(ROW()-4,"000"))</f>
        <v/>
      </c>
      <c r="B15" s="118"/>
      <c r="C15" s="138" t="str">
        <f aca="false">IF($B15="","",IFERROR(VLOOKUP($B15,Lists!$A:$H,2,FALSE()),"unknown ID"))</f>
        <v/>
      </c>
      <c r="D15" s="138" t="str">
        <f aca="false">IF($B15="","",IFERROR(VLOOKUP($B15,Lists!$A:$H,3,FALSE()),""))</f>
        <v/>
      </c>
      <c r="E15" s="139" t="str">
        <f aca="false">IF($B15="","","Steve Griffith")</f>
        <v/>
      </c>
      <c r="F15" s="117"/>
      <c r="G15" s="117"/>
      <c r="H15" s="118"/>
      <c r="I15" s="118"/>
      <c r="J15" s="33"/>
      <c r="K15" s="119"/>
      <c r="L15" s="119"/>
      <c r="M15" s="117"/>
      <c r="N15" s="117"/>
      <c r="O15" s="119"/>
      <c r="P15" s="117"/>
      <c r="Q15" s="140" t="str">
        <f aca="false">IF($B15="","",HYPERLINK("#Projects!A"&amp;MATCH($B15,Projects!$A:$A,0),"Open Project"))</f>
        <v/>
      </c>
    </row>
    <row r="16" customFormat="false" ht="30" hidden="false" customHeight="true" outlineLevel="0" collapsed="false">
      <c r="A16" s="137" t="str">
        <f aca="false">IF($B16="","","SG-"&amp;TEXT(ROW()-4,"000"))</f>
        <v/>
      </c>
      <c r="B16" s="118"/>
      <c r="C16" s="138" t="str">
        <f aca="false">IF($B16="","",IFERROR(VLOOKUP($B16,Lists!$A:$H,2,FALSE()),"unknown ID"))</f>
        <v/>
      </c>
      <c r="D16" s="138" t="str">
        <f aca="false">IF($B16="","",IFERROR(VLOOKUP($B16,Lists!$A:$H,3,FALSE()),""))</f>
        <v/>
      </c>
      <c r="E16" s="139" t="str">
        <f aca="false">IF($B16="","","Steve Griffith")</f>
        <v/>
      </c>
      <c r="F16" s="117"/>
      <c r="G16" s="117"/>
      <c r="H16" s="118"/>
      <c r="I16" s="118"/>
      <c r="J16" s="33"/>
      <c r="K16" s="119"/>
      <c r="L16" s="119"/>
      <c r="M16" s="117"/>
      <c r="N16" s="117"/>
      <c r="O16" s="119"/>
      <c r="P16" s="117"/>
      <c r="Q16" s="140" t="str">
        <f aca="false">IF($B16="","",HYPERLINK("#Projects!A"&amp;MATCH($B16,Projects!$A:$A,0),"Open Project"))</f>
        <v/>
      </c>
    </row>
    <row r="17" customFormat="false" ht="30" hidden="false" customHeight="true" outlineLevel="0" collapsed="false">
      <c r="A17" s="137" t="str">
        <f aca="false">IF($B17="","","SG-"&amp;TEXT(ROW()-4,"000"))</f>
        <v/>
      </c>
      <c r="B17" s="118"/>
      <c r="C17" s="138" t="str">
        <f aca="false">IF($B17="","",IFERROR(VLOOKUP($B17,Lists!$A:$H,2,FALSE()),"unknown ID"))</f>
        <v/>
      </c>
      <c r="D17" s="138" t="str">
        <f aca="false">IF($B17="","",IFERROR(VLOOKUP($B17,Lists!$A:$H,3,FALSE()),""))</f>
        <v/>
      </c>
      <c r="E17" s="139" t="str">
        <f aca="false">IF($B17="","","Steve Griffith")</f>
        <v/>
      </c>
      <c r="F17" s="117"/>
      <c r="G17" s="117"/>
      <c r="H17" s="118"/>
      <c r="I17" s="118"/>
      <c r="J17" s="33"/>
      <c r="K17" s="119"/>
      <c r="L17" s="119"/>
      <c r="M17" s="117"/>
      <c r="N17" s="117"/>
      <c r="O17" s="119"/>
      <c r="P17" s="117"/>
      <c r="Q17" s="140" t="str">
        <f aca="false">IF($B17="","",HYPERLINK("#Projects!A"&amp;MATCH($B17,Projects!$A:$A,0),"Open Project"))</f>
        <v/>
      </c>
    </row>
    <row r="18" customFormat="false" ht="30" hidden="false" customHeight="true" outlineLevel="0" collapsed="false">
      <c r="A18" s="137" t="str">
        <f aca="false">IF($B18="","","SG-"&amp;TEXT(ROW()-4,"000"))</f>
        <v/>
      </c>
      <c r="B18" s="118"/>
      <c r="C18" s="138" t="str">
        <f aca="false">IF($B18="","",IFERROR(VLOOKUP($B18,Lists!$A:$H,2,FALSE()),"unknown ID"))</f>
        <v/>
      </c>
      <c r="D18" s="138" t="str">
        <f aca="false">IF($B18="","",IFERROR(VLOOKUP($B18,Lists!$A:$H,3,FALSE()),""))</f>
        <v/>
      </c>
      <c r="E18" s="139" t="str">
        <f aca="false">IF($B18="","","Steve Griffith")</f>
        <v/>
      </c>
      <c r="F18" s="117"/>
      <c r="G18" s="117"/>
      <c r="H18" s="118"/>
      <c r="I18" s="118"/>
      <c r="J18" s="33"/>
      <c r="K18" s="119"/>
      <c r="L18" s="119"/>
      <c r="M18" s="117"/>
      <c r="N18" s="117"/>
      <c r="O18" s="119"/>
      <c r="P18" s="117"/>
      <c r="Q18" s="140" t="str">
        <f aca="false">IF($B18="","",HYPERLINK("#Projects!A"&amp;MATCH($B18,Projects!$A:$A,0),"Open Project"))</f>
        <v/>
      </c>
    </row>
    <row r="19" customFormat="false" ht="30" hidden="false" customHeight="true" outlineLevel="0" collapsed="false">
      <c r="A19" s="137" t="str">
        <f aca="false">IF($B19="","","SG-"&amp;TEXT(ROW()-4,"000"))</f>
        <v/>
      </c>
      <c r="B19" s="118"/>
      <c r="C19" s="138" t="str">
        <f aca="false">IF($B19="","",IFERROR(VLOOKUP($B19,Lists!$A:$H,2,FALSE()),"unknown ID"))</f>
        <v/>
      </c>
      <c r="D19" s="138" t="str">
        <f aca="false">IF($B19="","",IFERROR(VLOOKUP($B19,Lists!$A:$H,3,FALSE()),""))</f>
        <v/>
      </c>
      <c r="E19" s="139" t="str">
        <f aca="false">IF($B19="","","Steve Griffith")</f>
        <v/>
      </c>
      <c r="F19" s="117"/>
      <c r="G19" s="117"/>
      <c r="H19" s="118"/>
      <c r="I19" s="118"/>
      <c r="J19" s="33"/>
      <c r="K19" s="119"/>
      <c r="L19" s="119"/>
      <c r="M19" s="117"/>
      <c r="N19" s="117"/>
      <c r="O19" s="119"/>
      <c r="P19" s="117"/>
      <c r="Q19" s="140" t="str">
        <f aca="false">IF($B19="","",HYPERLINK("#Projects!A"&amp;MATCH($B19,Projects!$A:$A,0),"Open Project"))</f>
        <v/>
      </c>
    </row>
    <row r="20" customFormat="false" ht="30" hidden="false" customHeight="true" outlineLevel="0" collapsed="false">
      <c r="A20" s="137" t="str">
        <f aca="false">IF($B20="","","SG-"&amp;TEXT(ROW()-4,"000"))</f>
        <v/>
      </c>
      <c r="B20" s="118"/>
      <c r="C20" s="138" t="str">
        <f aca="false">IF($B20="","",IFERROR(VLOOKUP($B20,Lists!$A:$H,2,FALSE()),"unknown ID"))</f>
        <v/>
      </c>
      <c r="D20" s="138" t="str">
        <f aca="false">IF($B20="","",IFERROR(VLOOKUP($B20,Lists!$A:$H,3,FALSE()),""))</f>
        <v/>
      </c>
      <c r="E20" s="139" t="str">
        <f aca="false">IF($B20="","","Steve Griffith")</f>
        <v/>
      </c>
      <c r="F20" s="117"/>
      <c r="G20" s="117"/>
      <c r="H20" s="118"/>
      <c r="I20" s="118"/>
      <c r="J20" s="33"/>
      <c r="K20" s="119"/>
      <c r="L20" s="119"/>
      <c r="M20" s="117"/>
      <c r="N20" s="117"/>
      <c r="O20" s="119"/>
      <c r="P20" s="117"/>
      <c r="Q20" s="140" t="str">
        <f aca="false">IF($B20="","",HYPERLINK("#Projects!A"&amp;MATCH($B20,Projects!$A:$A,0),"Open Project"))</f>
        <v/>
      </c>
    </row>
    <row r="21" customFormat="false" ht="30" hidden="false" customHeight="true" outlineLevel="0" collapsed="false">
      <c r="A21" s="137" t="str">
        <f aca="false">IF($B21="","","SG-"&amp;TEXT(ROW()-4,"000"))</f>
        <v/>
      </c>
      <c r="B21" s="118"/>
      <c r="C21" s="138" t="str">
        <f aca="false">IF($B21="","",IFERROR(VLOOKUP($B21,Lists!$A:$H,2,FALSE()),"unknown ID"))</f>
        <v/>
      </c>
      <c r="D21" s="138" t="str">
        <f aca="false">IF($B21="","",IFERROR(VLOOKUP($B21,Lists!$A:$H,3,FALSE()),""))</f>
        <v/>
      </c>
      <c r="E21" s="139" t="str">
        <f aca="false">IF($B21="","","Steve Griffith")</f>
        <v/>
      </c>
      <c r="F21" s="117"/>
      <c r="G21" s="117"/>
      <c r="H21" s="118"/>
      <c r="I21" s="118"/>
      <c r="J21" s="33"/>
      <c r="K21" s="119"/>
      <c r="L21" s="119"/>
      <c r="M21" s="117"/>
      <c r="N21" s="117"/>
      <c r="O21" s="119"/>
      <c r="P21" s="117"/>
      <c r="Q21" s="140" t="str">
        <f aca="false">IF($B21="","",HYPERLINK("#Projects!A"&amp;MATCH($B21,Projects!$A:$A,0),"Open Project"))</f>
        <v/>
      </c>
    </row>
    <row r="22" customFormat="false" ht="30" hidden="false" customHeight="true" outlineLevel="0" collapsed="false">
      <c r="A22" s="137" t="str">
        <f aca="false">IF($B22="","","SG-"&amp;TEXT(ROW()-4,"000"))</f>
        <v/>
      </c>
      <c r="B22" s="118"/>
      <c r="C22" s="138" t="str">
        <f aca="false">IF($B22="","",IFERROR(VLOOKUP($B22,Lists!$A:$H,2,FALSE()),"unknown ID"))</f>
        <v/>
      </c>
      <c r="D22" s="138" t="str">
        <f aca="false">IF($B22="","",IFERROR(VLOOKUP($B22,Lists!$A:$H,3,FALSE()),""))</f>
        <v/>
      </c>
      <c r="E22" s="139" t="str">
        <f aca="false">IF($B22="","","Steve Griffith")</f>
        <v/>
      </c>
      <c r="F22" s="117"/>
      <c r="G22" s="117"/>
      <c r="H22" s="118"/>
      <c r="I22" s="118"/>
      <c r="J22" s="33"/>
      <c r="K22" s="119"/>
      <c r="L22" s="119"/>
      <c r="M22" s="117"/>
      <c r="N22" s="117"/>
      <c r="O22" s="119"/>
      <c r="P22" s="117"/>
      <c r="Q22" s="140" t="str">
        <f aca="false">IF($B22="","",HYPERLINK("#Projects!A"&amp;MATCH($B22,Projects!$A:$A,0),"Open Project"))</f>
        <v/>
      </c>
    </row>
    <row r="23" customFormat="false" ht="30" hidden="false" customHeight="true" outlineLevel="0" collapsed="false">
      <c r="A23" s="137" t="str">
        <f aca="false">IF($B23="","","SG-"&amp;TEXT(ROW()-4,"000"))</f>
        <v/>
      </c>
      <c r="B23" s="118"/>
      <c r="C23" s="138" t="str">
        <f aca="false">IF($B23="","",IFERROR(VLOOKUP($B23,Lists!$A:$H,2,FALSE()),"unknown ID"))</f>
        <v/>
      </c>
      <c r="D23" s="138" t="str">
        <f aca="false">IF($B23="","",IFERROR(VLOOKUP($B23,Lists!$A:$H,3,FALSE()),""))</f>
        <v/>
      </c>
      <c r="E23" s="139" t="str">
        <f aca="false">IF($B23="","","Steve Griffith")</f>
        <v/>
      </c>
      <c r="F23" s="117"/>
      <c r="G23" s="117"/>
      <c r="H23" s="118"/>
      <c r="I23" s="118"/>
      <c r="J23" s="33"/>
      <c r="K23" s="119"/>
      <c r="L23" s="119"/>
      <c r="M23" s="117"/>
      <c r="N23" s="117"/>
      <c r="O23" s="119"/>
      <c r="P23" s="117"/>
      <c r="Q23" s="140" t="str">
        <f aca="false">IF($B23="","",HYPERLINK("#Projects!A"&amp;MATCH($B23,Projects!$A:$A,0),"Open Project"))</f>
        <v/>
      </c>
    </row>
    <row r="24" customFormat="false" ht="30" hidden="false" customHeight="true" outlineLevel="0" collapsed="false">
      <c r="A24" s="137" t="str">
        <f aca="false">IF($B24="","","SG-"&amp;TEXT(ROW()-4,"000"))</f>
        <v/>
      </c>
      <c r="B24" s="118"/>
      <c r="C24" s="138" t="str">
        <f aca="false">IF($B24="","",IFERROR(VLOOKUP($B24,Lists!$A:$H,2,FALSE()),"unknown ID"))</f>
        <v/>
      </c>
      <c r="D24" s="138" t="str">
        <f aca="false">IF($B24="","",IFERROR(VLOOKUP($B24,Lists!$A:$H,3,FALSE()),""))</f>
        <v/>
      </c>
      <c r="E24" s="139" t="str">
        <f aca="false">IF($B24="","","Steve Griffith")</f>
        <v/>
      </c>
      <c r="F24" s="117"/>
      <c r="G24" s="117"/>
      <c r="H24" s="118"/>
      <c r="I24" s="118"/>
      <c r="J24" s="33"/>
      <c r="K24" s="119"/>
      <c r="L24" s="119"/>
      <c r="M24" s="117"/>
      <c r="N24" s="117"/>
      <c r="O24" s="119"/>
      <c r="P24" s="117"/>
      <c r="Q24" s="140" t="str">
        <f aca="false">IF($B24="","",HYPERLINK("#Projects!A"&amp;MATCH($B24,Projects!$A:$A,0),"Open Project"))</f>
        <v/>
      </c>
    </row>
    <row r="25" customFormat="false" ht="30" hidden="false" customHeight="true" outlineLevel="0" collapsed="false">
      <c r="A25" s="137" t="str">
        <f aca="false">IF($B25="","","SG-"&amp;TEXT(ROW()-4,"000"))</f>
        <v/>
      </c>
      <c r="B25" s="118"/>
      <c r="C25" s="138" t="str">
        <f aca="false">IF($B25="","",IFERROR(VLOOKUP($B25,Lists!$A:$H,2,FALSE()),"unknown ID"))</f>
        <v/>
      </c>
      <c r="D25" s="138" t="str">
        <f aca="false">IF($B25="","",IFERROR(VLOOKUP($B25,Lists!$A:$H,3,FALSE()),""))</f>
        <v/>
      </c>
      <c r="E25" s="139" t="str">
        <f aca="false">IF($B25="","","Steve Griffith")</f>
        <v/>
      </c>
      <c r="F25" s="117"/>
      <c r="G25" s="117"/>
      <c r="H25" s="118"/>
      <c r="I25" s="118"/>
      <c r="J25" s="33"/>
      <c r="K25" s="119"/>
      <c r="L25" s="119"/>
      <c r="M25" s="117"/>
      <c r="N25" s="117"/>
      <c r="O25" s="119"/>
      <c r="P25" s="117"/>
      <c r="Q25" s="140" t="str">
        <f aca="false">IF($B25="","",HYPERLINK("#Projects!A"&amp;MATCH($B25,Projects!$A:$A,0),"Open Project"))</f>
        <v/>
      </c>
    </row>
    <row r="26" customFormat="false" ht="30" hidden="false" customHeight="true" outlineLevel="0" collapsed="false">
      <c r="A26" s="137" t="str">
        <f aca="false">IF($B26="","","SG-"&amp;TEXT(ROW()-4,"000"))</f>
        <v/>
      </c>
      <c r="B26" s="118"/>
      <c r="C26" s="138" t="str">
        <f aca="false">IF($B26="","",IFERROR(VLOOKUP($B26,Lists!$A:$H,2,FALSE()),"unknown ID"))</f>
        <v/>
      </c>
      <c r="D26" s="138" t="str">
        <f aca="false">IF($B26="","",IFERROR(VLOOKUP($B26,Lists!$A:$H,3,FALSE()),""))</f>
        <v/>
      </c>
      <c r="E26" s="139" t="str">
        <f aca="false">IF($B26="","","Steve Griffith")</f>
        <v/>
      </c>
      <c r="F26" s="117"/>
      <c r="G26" s="117"/>
      <c r="H26" s="118"/>
      <c r="I26" s="118"/>
      <c r="J26" s="33"/>
      <c r="K26" s="119"/>
      <c r="L26" s="119"/>
      <c r="M26" s="117"/>
      <c r="N26" s="117"/>
      <c r="O26" s="119"/>
      <c r="P26" s="117"/>
      <c r="Q26" s="140" t="str">
        <f aca="false">IF($B26="","",HYPERLINK("#Projects!A"&amp;MATCH($B26,Projects!$A:$A,0),"Open Project"))</f>
        <v/>
      </c>
    </row>
    <row r="27" customFormat="false" ht="30" hidden="false" customHeight="true" outlineLevel="0" collapsed="false">
      <c r="A27" s="137" t="str">
        <f aca="false">IF($B27="","","SG-"&amp;TEXT(ROW()-4,"000"))</f>
        <v/>
      </c>
      <c r="B27" s="118"/>
      <c r="C27" s="138" t="str">
        <f aca="false">IF($B27="","",IFERROR(VLOOKUP($B27,Lists!$A:$H,2,FALSE()),"unknown ID"))</f>
        <v/>
      </c>
      <c r="D27" s="138" t="str">
        <f aca="false">IF($B27="","",IFERROR(VLOOKUP($B27,Lists!$A:$H,3,FALSE()),""))</f>
        <v/>
      </c>
      <c r="E27" s="139" t="str">
        <f aca="false">IF($B27="","","Steve Griffith")</f>
        <v/>
      </c>
      <c r="F27" s="117"/>
      <c r="G27" s="117"/>
      <c r="H27" s="118"/>
      <c r="I27" s="118"/>
      <c r="J27" s="33"/>
      <c r="K27" s="119"/>
      <c r="L27" s="119"/>
      <c r="M27" s="117"/>
      <c r="N27" s="117"/>
      <c r="O27" s="119"/>
      <c r="P27" s="117"/>
      <c r="Q27" s="140" t="str">
        <f aca="false">IF($B27="","",HYPERLINK("#Projects!A"&amp;MATCH($B27,Projects!$A:$A,0),"Open Project"))</f>
        <v/>
      </c>
    </row>
    <row r="28" customFormat="false" ht="30" hidden="false" customHeight="true" outlineLevel="0" collapsed="false">
      <c r="A28" s="137" t="str">
        <f aca="false">IF($B28="","","SG-"&amp;TEXT(ROW()-4,"000"))</f>
        <v/>
      </c>
      <c r="B28" s="118"/>
      <c r="C28" s="138" t="str">
        <f aca="false">IF($B28="","",IFERROR(VLOOKUP($B28,Lists!$A:$H,2,FALSE()),"unknown ID"))</f>
        <v/>
      </c>
      <c r="D28" s="138" t="str">
        <f aca="false">IF($B28="","",IFERROR(VLOOKUP($B28,Lists!$A:$H,3,FALSE()),""))</f>
        <v/>
      </c>
      <c r="E28" s="139" t="str">
        <f aca="false">IF($B28="","","Steve Griffith")</f>
        <v/>
      </c>
      <c r="F28" s="117"/>
      <c r="G28" s="117"/>
      <c r="H28" s="118"/>
      <c r="I28" s="118"/>
      <c r="J28" s="33"/>
      <c r="K28" s="119"/>
      <c r="L28" s="119"/>
      <c r="M28" s="117"/>
      <c r="N28" s="117"/>
      <c r="O28" s="119"/>
      <c r="P28" s="117"/>
      <c r="Q28" s="140" t="str">
        <f aca="false">IF($B28="","",HYPERLINK("#Projects!A"&amp;MATCH($B28,Projects!$A:$A,0),"Open Project"))</f>
        <v/>
      </c>
    </row>
    <row r="29" customFormat="false" ht="30" hidden="false" customHeight="true" outlineLevel="0" collapsed="false">
      <c r="A29" s="137" t="str">
        <f aca="false">IF($B29="","","SG-"&amp;TEXT(ROW()-4,"000"))</f>
        <v/>
      </c>
      <c r="B29" s="118"/>
      <c r="C29" s="138" t="str">
        <f aca="false">IF($B29="","",IFERROR(VLOOKUP($B29,Lists!$A:$H,2,FALSE()),"unknown ID"))</f>
        <v/>
      </c>
      <c r="D29" s="138" t="str">
        <f aca="false">IF($B29="","",IFERROR(VLOOKUP($B29,Lists!$A:$H,3,FALSE()),""))</f>
        <v/>
      </c>
      <c r="E29" s="139" t="str">
        <f aca="false">IF($B29="","","Steve Griffith")</f>
        <v/>
      </c>
      <c r="F29" s="117"/>
      <c r="G29" s="117"/>
      <c r="H29" s="118"/>
      <c r="I29" s="118"/>
      <c r="J29" s="33"/>
      <c r="K29" s="119"/>
      <c r="L29" s="119"/>
      <c r="M29" s="117"/>
      <c r="N29" s="117"/>
      <c r="O29" s="119"/>
      <c r="P29" s="117"/>
      <c r="Q29" s="140" t="str">
        <f aca="false">IF($B29="","",HYPERLINK("#Projects!A"&amp;MATCH($B29,Projects!$A:$A,0),"Open Project"))</f>
        <v/>
      </c>
    </row>
    <row r="30" customFormat="false" ht="30" hidden="false" customHeight="true" outlineLevel="0" collapsed="false">
      <c r="A30" s="137" t="str">
        <f aca="false">IF($B30="","","SG-"&amp;TEXT(ROW()-4,"000"))</f>
        <v/>
      </c>
      <c r="B30" s="118"/>
      <c r="C30" s="138" t="str">
        <f aca="false">IF($B30="","",IFERROR(VLOOKUP($B30,Lists!$A:$H,2,FALSE()),"unknown ID"))</f>
        <v/>
      </c>
      <c r="D30" s="138" t="str">
        <f aca="false">IF($B30="","",IFERROR(VLOOKUP($B30,Lists!$A:$H,3,FALSE()),""))</f>
        <v/>
      </c>
      <c r="E30" s="139" t="str">
        <f aca="false">IF($B30="","","Steve Griffith")</f>
        <v/>
      </c>
      <c r="F30" s="117"/>
      <c r="G30" s="117"/>
      <c r="H30" s="118"/>
      <c r="I30" s="118"/>
      <c r="J30" s="33"/>
      <c r="K30" s="119"/>
      <c r="L30" s="119"/>
      <c r="M30" s="117"/>
      <c r="N30" s="117"/>
      <c r="O30" s="119"/>
      <c r="P30" s="117"/>
      <c r="Q30" s="140" t="str">
        <f aca="false">IF($B30="","",HYPERLINK("#Projects!A"&amp;MATCH($B30,Projects!$A:$A,0),"Open Project"))</f>
        <v/>
      </c>
    </row>
    <row r="31" customFormat="false" ht="30" hidden="false" customHeight="true" outlineLevel="0" collapsed="false">
      <c r="A31" s="137" t="str">
        <f aca="false">IF($B31="","","SG-"&amp;TEXT(ROW()-4,"000"))</f>
        <v/>
      </c>
      <c r="B31" s="118"/>
      <c r="C31" s="138" t="str">
        <f aca="false">IF($B31="","",IFERROR(VLOOKUP($B31,Lists!$A:$H,2,FALSE()),"unknown ID"))</f>
        <v/>
      </c>
      <c r="D31" s="138" t="str">
        <f aca="false">IF($B31="","",IFERROR(VLOOKUP($B31,Lists!$A:$H,3,FALSE()),""))</f>
        <v/>
      </c>
      <c r="E31" s="139" t="str">
        <f aca="false">IF($B31="","","Steve Griffith")</f>
        <v/>
      </c>
      <c r="F31" s="117"/>
      <c r="G31" s="117"/>
      <c r="H31" s="118"/>
      <c r="I31" s="118"/>
      <c r="J31" s="33"/>
      <c r="K31" s="119"/>
      <c r="L31" s="119"/>
      <c r="M31" s="117"/>
      <c r="N31" s="117"/>
      <c r="O31" s="119"/>
      <c r="P31" s="117"/>
      <c r="Q31" s="140" t="str">
        <f aca="false">IF($B31="","",HYPERLINK("#Projects!A"&amp;MATCH($B31,Projects!$A:$A,0),"Open Project"))</f>
        <v/>
      </c>
    </row>
    <row r="32" customFormat="false" ht="30" hidden="false" customHeight="true" outlineLevel="0" collapsed="false">
      <c r="A32" s="137" t="str">
        <f aca="false">IF($B32="","","SG-"&amp;TEXT(ROW()-4,"000"))</f>
        <v/>
      </c>
      <c r="B32" s="118"/>
      <c r="C32" s="138" t="str">
        <f aca="false">IF($B32="","",IFERROR(VLOOKUP($B32,Lists!$A:$H,2,FALSE()),"unknown ID"))</f>
        <v/>
      </c>
      <c r="D32" s="138" t="str">
        <f aca="false">IF($B32="","",IFERROR(VLOOKUP($B32,Lists!$A:$H,3,FALSE()),""))</f>
        <v/>
      </c>
      <c r="E32" s="139" t="str">
        <f aca="false">IF($B32="","","Steve Griffith")</f>
        <v/>
      </c>
      <c r="F32" s="117"/>
      <c r="G32" s="117"/>
      <c r="H32" s="118"/>
      <c r="I32" s="118"/>
      <c r="J32" s="33"/>
      <c r="K32" s="119"/>
      <c r="L32" s="119"/>
      <c r="M32" s="117"/>
      <c r="N32" s="117"/>
      <c r="O32" s="119"/>
      <c r="P32" s="117"/>
      <c r="Q32" s="140" t="str">
        <f aca="false">IF($B32="","",HYPERLINK("#Projects!A"&amp;MATCH($B32,Projects!$A:$A,0),"Open Project"))</f>
        <v/>
      </c>
    </row>
    <row r="33" customFormat="false" ht="30" hidden="false" customHeight="true" outlineLevel="0" collapsed="false">
      <c r="A33" s="137" t="str">
        <f aca="false">IF($B33="","","SG-"&amp;TEXT(ROW()-4,"000"))</f>
        <v/>
      </c>
      <c r="B33" s="118"/>
      <c r="C33" s="138" t="str">
        <f aca="false">IF($B33="","",IFERROR(VLOOKUP($B33,Lists!$A:$H,2,FALSE()),"unknown ID"))</f>
        <v/>
      </c>
      <c r="D33" s="138" t="str">
        <f aca="false">IF($B33="","",IFERROR(VLOOKUP($B33,Lists!$A:$H,3,FALSE()),""))</f>
        <v/>
      </c>
      <c r="E33" s="139" t="str">
        <f aca="false">IF($B33="","","Steve Griffith")</f>
        <v/>
      </c>
      <c r="F33" s="117"/>
      <c r="G33" s="117"/>
      <c r="H33" s="118"/>
      <c r="I33" s="118"/>
      <c r="J33" s="33"/>
      <c r="K33" s="119"/>
      <c r="L33" s="119"/>
      <c r="M33" s="117"/>
      <c r="N33" s="117"/>
      <c r="O33" s="119"/>
      <c r="P33" s="117"/>
      <c r="Q33" s="140" t="str">
        <f aca="false">IF($B33="","",HYPERLINK("#Projects!A"&amp;MATCH($B33,Projects!$A:$A,0),"Open Project"))</f>
        <v/>
      </c>
    </row>
    <row r="34" customFormat="false" ht="30" hidden="false" customHeight="true" outlineLevel="0" collapsed="false">
      <c r="A34" s="137" t="str">
        <f aca="false">IF($B34="","","SG-"&amp;TEXT(ROW()-4,"000"))</f>
        <v/>
      </c>
      <c r="B34" s="118"/>
      <c r="C34" s="138" t="str">
        <f aca="false">IF($B34="","",IFERROR(VLOOKUP($B34,Lists!$A:$H,2,FALSE()),"unknown ID"))</f>
        <v/>
      </c>
      <c r="D34" s="138" t="str">
        <f aca="false">IF($B34="","",IFERROR(VLOOKUP($B34,Lists!$A:$H,3,FALSE()),""))</f>
        <v/>
      </c>
      <c r="E34" s="139" t="str">
        <f aca="false">IF($B34="","","Steve Griffith")</f>
        <v/>
      </c>
      <c r="F34" s="117"/>
      <c r="G34" s="117"/>
      <c r="H34" s="118"/>
      <c r="I34" s="118"/>
      <c r="J34" s="33"/>
      <c r="K34" s="119"/>
      <c r="L34" s="119"/>
      <c r="M34" s="117"/>
      <c r="N34" s="117"/>
      <c r="O34" s="119"/>
      <c r="P34" s="117"/>
      <c r="Q34" s="140" t="str">
        <f aca="false">IF($B34="","",HYPERLINK("#Projects!A"&amp;MATCH($B34,Projects!$A:$A,0),"Open Project"))</f>
        <v/>
      </c>
    </row>
    <row r="35" customFormat="false" ht="30" hidden="false" customHeight="true" outlineLevel="0" collapsed="false">
      <c r="A35" s="137" t="str">
        <f aca="false">IF($B35="","","SG-"&amp;TEXT(ROW()-4,"000"))</f>
        <v/>
      </c>
      <c r="B35" s="118"/>
      <c r="C35" s="138" t="str">
        <f aca="false">IF($B35="","",IFERROR(VLOOKUP($B35,Lists!$A:$H,2,FALSE()),"unknown ID"))</f>
        <v/>
      </c>
      <c r="D35" s="138" t="str">
        <f aca="false">IF($B35="","",IFERROR(VLOOKUP($B35,Lists!$A:$H,3,FALSE()),""))</f>
        <v/>
      </c>
      <c r="E35" s="139" t="str">
        <f aca="false">IF($B35="","","Steve Griffith")</f>
        <v/>
      </c>
      <c r="F35" s="117"/>
      <c r="G35" s="117"/>
      <c r="H35" s="118"/>
      <c r="I35" s="118"/>
      <c r="J35" s="33"/>
      <c r="K35" s="119"/>
      <c r="L35" s="119"/>
      <c r="M35" s="117"/>
      <c r="N35" s="117"/>
      <c r="O35" s="119"/>
      <c r="P35" s="117"/>
      <c r="Q35" s="140" t="str">
        <f aca="false">IF($B35="","",HYPERLINK("#Projects!A"&amp;MATCH($B35,Projects!$A:$A,0),"Open Project"))</f>
        <v/>
      </c>
    </row>
    <row r="36" customFormat="false" ht="30" hidden="false" customHeight="true" outlineLevel="0" collapsed="false">
      <c r="A36" s="137" t="str">
        <f aca="false">IF($B36="","","SG-"&amp;TEXT(ROW()-4,"000"))</f>
        <v/>
      </c>
      <c r="B36" s="118"/>
      <c r="C36" s="138" t="str">
        <f aca="false">IF($B36="","",IFERROR(VLOOKUP($B36,Lists!$A:$H,2,FALSE()),"unknown ID"))</f>
        <v/>
      </c>
      <c r="D36" s="138" t="str">
        <f aca="false">IF($B36="","",IFERROR(VLOOKUP($B36,Lists!$A:$H,3,FALSE()),""))</f>
        <v/>
      </c>
      <c r="E36" s="139" t="str">
        <f aca="false">IF($B36="","","Steve Griffith")</f>
        <v/>
      </c>
      <c r="F36" s="117"/>
      <c r="G36" s="117"/>
      <c r="H36" s="118"/>
      <c r="I36" s="118"/>
      <c r="J36" s="33"/>
      <c r="K36" s="119"/>
      <c r="L36" s="119"/>
      <c r="M36" s="117"/>
      <c r="N36" s="117"/>
      <c r="O36" s="119"/>
      <c r="P36" s="117"/>
      <c r="Q36" s="140" t="str">
        <f aca="false">IF($B36="","",HYPERLINK("#Projects!A"&amp;MATCH($B36,Projects!$A:$A,0),"Open Project"))</f>
        <v/>
      </c>
    </row>
    <row r="37" customFormat="false" ht="30" hidden="false" customHeight="true" outlineLevel="0" collapsed="false">
      <c r="A37" s="137" t="str">
        <f aca="false">IF($B37="","","SG-"&amp;TEXT(ROW()-4,"000"))</f>
        <v/>
      </c>
      <c r="B37" s="118"/>
      <c r="C37" s="138" t="str">
        <f aca="false">IF($B37="","",IFERROR(VLOOKUP($B37,Lists!$A:$H,2,FALSE()),"unknown ID"))</f>
        <v/>
      </c>
      <c r="D37" s="138" t="str">
        <f aca="false">IF($B37="","",IFERROR(VLOOKUP($B37,Lists!$A:$H,3,FALSE()),""))</f>
        <v/>
      </c>
      <c r="E37" s="139" t="str">
        <f aca="false">IF($B37="","","Steve Griffith")</f>
        <v/>
      </c>
      <c r="F37" s="117"/>
      <c r="G37" s="117"/>
      <c r="H37" s="118"/>
      <c r="I37" s="118"/>
      <c r="J37" s="33"/>
      <c r="K37" s="119"/>
      <c r="L37" s="119"/>
      <c r="M37" s="117"/>
      <c r="N37" s="117"/>
      <c r="O37" s="119"/>
      <c r="P37" s="117"/>
      <c r="Q37" s="140" t="str">
        <f aca="false">IF($B37="","",HYPERLINK("#Projects!A"&amp;MATCH($B37,Projects!$A:$A,0),"Open Project"))</f>
        <v/>
      </c>
    </row>
    <row r="38" customFormat="false" ht="30" hidden="false" customHeight="true" outlineLevel="0" collapsed="false">
      <c r="A38" s="137" t="str">
        <f aca="false">IF($B38="","","SG-"&amp;TEXT(ROW()-4,"000"))</f>
        <v/>
      </c>
      <c r="B38" s="118"/>
      <c r="C38" s="138" t="str">
        <f aca="false">IF($B38="","",IFERROR(VLOOKUP($B38,Lists!$A:$H,2,FALSE()),"unknown ID"))</f>
        <v/>
      </c>
      <c r="D38" s="138" t="str">
        <f aca="false">IF($B38="","",IFERROR(VLOOKUP($B38,Lists!$A:$H,3,FALSE()),""))</f>
        <v/>
      </c>
      <c r="E38" s="139" t="str">
        <f aca="false">IF($B38="","","Steve Griffith")</f>
        <v/>
      </c>
      <c r="F38" s="117"/>
      <c r="G38" s="117"/>
      <c r="H38" s="118"/>
      <c r="I38" s="118"/>
      <c r="J38" s="33"/>
      <c r="K38" s="119"/>
      <c r="L38" s="119"/>
      <c r="M38" s="117"/>
      <c r="N38" s="117"/>
      <c r="O38" s="119"/>
      <c r="P38" s="117"/>
      <c r="Q38" s="140" t="str">
        <f aca="false">IF($B38="","",HYPERLINK("#Projects!A"&amp;MATCH($B38,Projects!$A:$A,0),"Open Project"))</f>
        <v/>
      </c>
    </row>
    <row r="39" customFormat="false" ht="30" hidden="false" customHeight="true" outlineLevel="0" collapsed="false">
      <c r="A39" s="137" t="str">
        <f aca="false">IF($B39="","","SG-"&amp;TEXT(ROW()-4,"000"))</f>
        <v/>
      </c>
      <c r="B39" s="118"/>
      <c r="C39" s="138" t="str">
        <f aca="false">IF($B39="","",IFERROR(VLOOKUP($B39,Lists!$A:$H,2,FALSE()),"unknown ID"))</f>
        <v/>
      </c>
      <c r="D39" s="138" t="str">
        <f aca="false">IF($B39="","",IFERROR(VLOOKUP($B39,Lists!$A:$H,3,FALSE()),""))</f>
        <v/>
      </c>
      <c r="E39" s="139" t="str">
        <f aca="false">IF($B39="","","Steve Griffith")</f>
        <v/>
      </c>
      <c r="F39" s="117"/>
      <c r="G39" s="117"/>
      <c r="H39" s="118"/>
      <c r="I39" s="118"/>
      <c r="J39" s="33"/>
      <c r="K39" s="119"/>
      <c r="L39" s="119"/>
      <c r="M39" s="117"/>
      <c r="N39" s="117"/>
      <c r="O39" s="119"/>
      <c r="P39" s="117"/>
      <c r="Q39" s="140" t="str">
        <f aca="false">IF($B39="","",HYPERLINK("#Projects!A"&amp;MATCH($B39,Projects!$A:$A,0),"Open Project"))</f>
        <v/>
      </c>
    </row>
    <row r="40" customFormat="false" ht="30" hidden="false" customHeight="true" outlineLevel="0" collapsed="false">
      <c r="A40" s="137" t="str">
        <f aca="false">IF($B40="","","SG-"&amp;TEXT(ROW()-4,"000"))</f>
        <v/>
      </c>
      <c r="B40" s="118"/>
      <c r="C40" s="138" t="str">
        <f aca="false">IF($B40="","",IFERROR(VLOOKUP($B40,Lists!$A:$H,2,FALSE()),"unknown ID"))</f>
        <v/>
      </c>
      <c r="D40" s="138" t="str">
        <f aca="false">IF($B40="","",IFERROR(VLOOKUP($B40,Lists!$A:$H,3,FALSE()),""))</f>
        <v/>
      </c>
      <c r="E40" s="139" t="str">
        <f aca="false">IF($B40="","","Steve Griffith")</f>
        <v/>
      </c>
      <c r="F40" s="117"/>
      <c r="G40" s="117"/>
      <c r="H40" s="118"/>
      <c r="I40" s="118"/>
      <c r="J40" s="33"/>
      <c r="K40" s="119"/>
      <c r="L40" s="119"/>
      <c r="M40" s="117"/>
      <c r="N40" s="117"/>
      <c r="O40" s="119"/>
      <c r="P40" s="117"/>
      <c r="Q40" s="140" t="str">
        <f aca="false">IF($B40="","",HYPERLINK("#Projects!A"&amp;MATCH($B40,Projects!$A:$A,0),"Open Project"))</f>
        <v/>
      </c>
    </row>
    <row r="41" customFormat="false" ht="30" hidden="false" customHeight="true" outlineLevel="0" collapsed="false">
      <c r="A41" s="137" t="str">
        <f aca="false">IF($B41="","","SG-"&amp;TEXT(ROW()-4,"000"))</f>
        <v/>
      </c>
      <c r="B41" s="118"/>
      <c r="C41" s="138" t="str">
        <f aca="false">IF($B41="","",IFERROR(VLOOKUP($B41,Lists!$A:$H,2,FALSE()),"unknown ID"))</f>
        <v/>
      </c>
      <c r="D41" s="138" t="str">
        <f aca="false">IF($B41="","",IFERROR(VLOOKUP($B41,Lists!$A:$H,3,FALSE()),""))</f>
        <v/>
      </c>
      <c r="E41" s="139" t="str">
        <f aca="false">IF($B41="","","Steve Griffith")</f>
        <v/>
      </c>
      <c r="F41" s="117"/>
      <c r="G41" s="117"/>
      <c r="H41" s="118"/>
      <c r="I41" s="118"/>
      <c r="J41" s="33"/>
      <c r="K41" s="119"/>
      <c r="L41" s="119"/>
      <c r="M41" s="117"/>
      <c r="N41" s="117"/>
      <c r="O41" s="119"/>
      <c r="P41" s="117"/>
      <c r="Q41" s="140" t="str">
        <f aca="false">IF($B41="","",HYPERLINK("#Projects!A"&amp;MATCH($B41,Projects!$A:$A,0),"Open Project"))</f>
        <v/>
      </c>
    </row>
    <row r="42" customFormat="false" ht="30" hidden="false" customHeight="true" outlineLevel="0" collapsed="false">
      <c r="A42" s="137" t="str">
        <f aca="false">IF($B42="","","SG-"&amp;TEXT(ROW()-4,"000"))</f>
        <v/>
      </c>
      <c r="B42" s="118"/>
      <c r="C42" s="138" t="str">
        <f aca="false">IF($B42="","",IFERROR(VLOOKUP($B42,Lists!$A:$H,2,FALSE()),"unknown ID"))</f>
        <v/>
      </c>
      <c r="D42" s="138" t="str">
        <f aca="false">IF($B42="","",IFERROR(VLOOKUP($B42,Lists!$A:$H,3,FALSE()),""))</f>
        <v/>
      </c>
      <c r="E42" s="139" t="str">
        <f aca="false">IF($B42="","","Steve Griffith")</f>
        <v/>
      </c>
      <c r="F42" s="117"/>
      <c r="G42" s="117"/>
      <c r="H42" s="118"/>
      <c r="I42" s="118"/>
      <c r="J42" s="33"/>
      <c r="K42" s="119"/>
      <c r="L42" s="119"/>
      <c r="M42" s="117"/>
      <c r="N42" s="117"/>
      <c r="O42" s="119"/>
      <c r="P42" s="117"/>
      <c r="Q42" s="140" t="str">
        <f aca="false">IF($B42="","",HYPERLINK("#Projects!A"&amp;MATCH($B42,Projects!$A:$A,0),"Open Project"))</f>
        <v/>
      </c>
    </row>
    <row r="43" customFormat="false" ht="30" hidden="false" customHeight="true" outlineLevel="0" collapsed="false">
      <c r="A43" s="137" t="str">
        <f aca="false">IF($B43="","","SG-"&amp;TEXT(ROW()-4,"000"))</f>
        <v/>
      </c>
      <c r="B43" s="118"/>
      <c r="C43" s="138" t="str">
        <f aca="false">IF($B43="","",IFERROR(VLOOKUP($B43,Lists!$A:$H,2,FALSE()),"unknown ID"))</f>
        <v/>
      </c>
      <c r="D43" s="138" t="str">
        <f aca="false">IF($B43="","",IFERROR(VLOOKUP($B43,Lists!$A:$H,3,FALSE()),""))</f>
        <v/>
      </c>
      <c r="E43" s="139" t="str">
        <f aca="false">IF($B43="","","Steve Griffith")</f>
        <v/>
      </c>
      <c r="F43" s="117"/>
      <c r="G43" s="117"/>
      <c r="H43" s="118"/>
      <c r="I43" s="118"/>
      <c r="J43" s="33"/>
      <c r="K43" s="119"/>
      <c r="L43" s="119"/>
      <c r="M43" s="117"/>
      <c r="N43" s="117"/>
      <c r="O43" s="119"/>
      <c r="P43" s="117"/>
      <c r="Q43" s="140" t="str">
        <f aca="false">IF($B43="","",HYPERLINK("#Projects!A"&amp;MATCH($B43,Projects!$A:$A,0),"Open Project"))</f>
        <v/>
      </c>
    </row>
    <row r="44" customFormat="false" ht="30" hidden="false" customHeight="true" outlineLevel="0" collapsed="false">
      <c r="A44" s="137" t="str">
        <f aca="false">IF($B44="","","SG-"&amp;TEXT(ROW()-4,"000"))</f>
        <v/>
      </c>
      <c r="B44" s="118"/>
      <c r="C44" s="138" t="str">
        <f aca="false">IF($B44="","",IFERROR(VLOOKUP($B44,Lists!$A:$H,2,FALSE()),"unknown ID"))</f>
        <v/>
      </c>
      <c r="D44" s="138" t="str">
        <f aca="false">IF($B44="","",IFERROR(VLOOKUP($B44,Lists!$A:$H,3,FALSE()),""))</f>
        <v/>
      </c>
      <c r="E44" s="139" t="str">
        <f aca="false">IF($B44="","","Steve Griffith")</f>
        <v/>
      </c>
      <c r="F44" s="117"/>
      <c r="G44" s="117"/>
      <c r="H44" s="118"/>
      <c r="I44" s="118"/>
      <c r="J44" s="33"/>
      <c r="K44" s="119"/>
      <c r="L44" s="119"/>
      <c r="M44" s="117"/>
      <c r="N44" s="117"/>
      <c r="O44" s="119"/>
      <c r="P44" s="117"/>
      <c r="Q44" s="140" t="str">
        <f aca="false">IF($B44="","",HYPERLINK("#Projects!A"&amp;MATCH($B44,Projects!$A:$A,0),"Open Project"))</f>
        <v/>
      </c>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sheetData>
  <mergeCells count="2">
    <mergeCell ref="A1:Q1"/>
    <mergeCell ref="A2:Q2"/>
  </mergeCells>
  <conditionalFormatting sqref="M6:M9">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J6:J101">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I5:I44">
    <cfRule type="cellIs" priority="16" operator="equal" aboveAverage="0" equalAverage="0" bottom="0" percent="0" rank="0" text="" dxfId="29">
      <formula>"Complete"</formula>
    </cfRule>
    <cfRule type="cellIs" priority="17" operator="equal" aboveAverage="0" equalAverage="0" bottom="0" percent="0" rank="0" text="" dxfId="4">
      <formula>"Blocked"</formula>
    </cfRule>
    <cfRule type="cellIs" priority="18" operator="equal" aboveAverage="0" equalAverage="0" bottom="0" percent="0" rank="0" text="" dxfId="45">
      <formula>"Waiting on Someone"</formula>
    </cfRule>
    <cfRule type="cellIs" priority="19" operator="equal" aboveAverage="0" equalAverage="0" bottom="0" percent="0" rank="0" text="" dxfId="30">
      <formula>"In Progress"</formula>
    </cfRule>
    <cfRule type="cellIs" priority="20" operator="equal" aboveAverage="0" equalAverage="0" bottom="0" percent="0" rank="0" text="" dxfId="32">
      <formula>"Not Started"</formula>
    </cfRule>
  </conditionalFormatting>
  <conditionalFormatting sqref="L5:L44">
    <cfRule type="expression" priority="21" aboveAverage="0" equalAverage="0" bottom="0" percent="0" rank="0" text="" dxfId="4">
      <formula>AND($L5&lt;&gt;"",$L5&lt;TODAY(),$I5&lt;&gt;"Complete")</formula>
    </cfRule>
    <cfRule type="expression" priority="22" aboveAverage="0" equalAverage="0" bottom="0" percent="0" rank="0" text="" dxfId="46">
      <formula>AND($L5&lt;&gt;"",$L5&gt;=TODAY(),$L5&lt;=TODAY()+7,$I5&lt;&gt;"Complete")</formula>
    </cfRule>
  </conditionalFormatting>
  <conditionalFormatting sqref="G5:G44">
    <cfRule type="expression" priority="23" aboveAverage="0" equalAverage="0" bottom="0" percent="0" rank="0" text="" dxfId="47">
      <formula>$I5="Complete"</formula>
    </cfRule>
  </conditionalFormatting>
  <conditionalFormatting sqref="J5:J44">
    <cfRule type="dataBar" priority="24">
      <dataBar showValue="1" minLength="10" maxLength="90">
        <cfvo type="num" val="0"/>
        <cfvo type="num" val="1"/>
        <color rgb="FF2E75B6"/>
      </dataBar>
      <extLst>
        <ext xmlns:x14="http://schemas.microsoft.com/office/spreadsheetml/2009/9/main" uri="{B025F937-C7B1-47D3-B67F-A62EFF666E3E}">
          <x14:id>{6FA5C16C-B1B0-4AD5-98CA-595D394B6082}</x14:id>
        </ext>
      </extLst>
    </cfRule>
  </conditionalFormatting>
  <dataValidations count="5">
    <dataValidation allowBlank="true" errorStyle="stop" operator="between" showDropDown="false" showErrorMessage="true" showInputMessage="true" sqref="J6:J10 M6:M9 J11:J101" type="list">
      <formula1>"C,G,Y,R,na"</formula1>
      <formula2>0</formula2>
    </dataValidation>
    <dataValidation allowBlank="true" error="Pick a value from the list" errorStyle="stop" errorTitle="Invalid entry" operator="between" showDropDown="false" showErrorMessage="false" showInputMessage="false" sqref="B5:B44" type="list">
      <formula1>ProjectIDList</formula1>
      <formula2>0</formula2>
    </dataValidation>
    <dataValidation allowBlank="true" error="Pick a value from the list" errorStyle="stop" errorTitle="Invalid entry" operator="between" showDropDown="false" showErrorMessage="false" showInputMessage="false" sqref="F5:F44" type="list">
      <formula1>RoleList</formula1>
      <formula2>0</formula2>
    </dataValidation>
    <dataValidation allowBlank="true" error="Pick a value from the list" errorStyle="stop" errorTitle="Invalid entry" operator="between" showDropDown="false" showErrorMessage="false" showInputMessage="false" sqref="H5:H44" type="list">
      <formula1>PriorityList</formula1>
      <formula2>0</formula2>
    </dataValidation>
    <dataValidation allowBlank="true" error="Pick a value from the list" errorStyle="stop" errorTitle="Invalid entry" operator="between" showDropDown="false" showErrorMessage="false" showInputMessage="false" sqref="I5:I44" type="list">
      <formula1>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6FA5C16C-B1B0-4AD5-98CA-595D394B6082}">
            <x14:dataBar minLength="10" maxLength="90" axisPosition="none" gradient="true">
              <x14:cfvo type="num">
                <xm:f>0</xm:f>
              </x14:cfvo>
              <x14:cfvo type="num">
                <xm:f>1</xm:f>
              </x14:cfvo>
              <x14:negativeFillColor rgb="FF2E75B6"/>
              <x14:axisColor rgb="FF000000"/>
            </x14:dataBar>
          </x14:cfRule>
          <xm:sqref>J5:J44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Q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J7" activeCellId="0" sqref="J7"/>
    </sheetView>
  </sheetViews>
  <sheetFormatPr defaultColWidth="8.5390625" defaultRowHeight="14.2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4"/>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36"/>
    <col collapsed="false" customWidth="true" hidden="false" outlineLevel="0" max="8" min="8" style="0" width="10"/>
    <col collapsed="false" customWidth="true" hidden="false" outlineLevel="0" max="9" min="9" style="0" width="16"/>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26"/>
    <col collapsed="false" customWidth="true" hidden="false" outlineLevel="0" max="15" min="15" style="0" width="12"/>
    <col collapsed="false" customWidth="true" hidden="false" outlineLevel="0" max="16" min="16" style="0" width="30"/>
    <col collapsed="false" customWidth="true" hidden="false" outlineLevel="0" max="17" min="17" style="0" width="15"/>
  </cols>
  <sheetData>
    <row r="1" customFormat="false" ht="30" hidden="false" customHeight="true" outlineLevel="0" collapsed="false">
      <c r="A1" s="114" t="s">
        <v>347</v>
      </c>
      <c r="B1" s="114"/>
      <c r="C1" s="114"/>
      <c r="D1" s="114"/>
      <c r="E1" s="114"/>
      <c r="F1" s="114"/>
      <c r="G1" s="114"/>
      <c r="H1" s="114"/>
      <c r="I1" s="114"/>
      <c r="J1" s="114"/>
      <c r="K1" s="114"/>
      <c r="L1" s="114"/>
      <c r="M1" s="114"/>
      <c r="N1" s="114"/>
      <c r="O1" s="114"/>
      <c r="P1" s="114"/>
      <c r="Q1" s="114"/>
    </row>
    <row r="2" customFormat="false" ht="24" hidden="false" customHeight="true" outlineLevel="0" collapsed="false">
      <c r="A2" s="115" t="s">
        <v>263</v>
      </c>
      <c r="B2" s="115"/>
      <c r="C2" s="115"/>
      <c r="D2" s="115"/>
      <c r="E2" s="115"/>
      <c r="F2" s="115"/>
      <c r="G2" s="115"/>
      <c r="H2" s="115"/>
      <c r="I2" s="115"/>
      <c r="J2" s="115"/>
      <c r="K2" s="115"/>
      <c r="L2" s="115"/>
      <c r="M2" s="115"/>
      <c r="N2" s="115"/>
      <c r="O2" s="115"/>
      <c r="P2" s="115"/>
      <c r="Q2" s="115"/>
    </row>
    <row r="3" customFormat="false" ht="24" hidden="false" customHeight="true" outlineLevel="0" collapsed="false"/>
    <row r="4" customFormat="false" ht="33.75" hidden="false" customHeight="true" outlineLevel="0" collapsed="false">
      <c r="A4" s="129" t="s">
        <v>237</v>
      </c>
      <c r="B4" s="136" t="s">
        <v>178</v>
      </c>
      <c r="C4" s="129" t="s">
        <v>16</v>
      </c>
      <c r="D4" s="129" t="s">
        <v>251</v>
      </c>
      <c r="E4" s="129" t="s">
        <v>238</v>
      </c>
      <c r="F4" s="136" t="s">
        <v>240</v>
      </c>
      <c r="G4" s="136" t="s">
        <v>239</v>
      </c>
      <c r="H4" s="136" t="s">
        <v>241</v>
      </c>
      <c r="I4" s="136" t="s">
        <v>50</v>
      </c>
      <c r="J4" s="136" t="s">
        <v>252</v>
      </c>
      <c r="K4" s="136" t="s">
        <v>253</v>
      </c>
      <c r="L4" s="136" t="s">
        <v>254</v>
      </c>
      <c r="M4" s="136" t="s">
        <v>255</v>
      </c>
      <c r="N4" s="136" t="s">
        <v>246</v>
      </c>
      <c r="O4" s="136" t="s">
        <v>247</v>
      </c>
      <c r="P4" s="136" t="s">
        <v>248</v>
      </c>
      <c r="Q4" s="129" t="s">
        <v>264</v>
      </c>
    </row>
    <row r="5" customFormat="false" ht="30" hidden="false" customHeight="true" outlineLevel="0" collapsed="false">
      <c r="A5" s="137" t="str">
        <f aca="false">IF($B5="","","MM-"&amp;TEXT(ROW()-4,"000"))</f>
        <v>MM-001</v>
      </c>
      <c r="B5" s="118" t="s">
        <v>187</v>
      </c>
      <c r="C5" s="138" t="str">
        <f aca="false">IF($B5="","",IFERROR(VLOOKUP($B5,Lists!$A:$H,2,FALSE()),"unknown ID"))</f>
        <v>1 – Unified Development System</v>
      </c>
      <c r="D5" s="138" t="str">
        <f aca="false">IF($B5="","",IFERROR(VLOOKUP($B5,Lists!$A:$H,3,FALSE()),""))</f>
        <v>Implement standardized Mutual Evaluation Process (MEP) across all brands</v>
      </c>
      <c r="E5" s="139" t="str">
        <f aca="false">IF($B5="","","Matt Motyka")</f>
        <v>Matt Motyka</v>
      </c>
      <c r="F5" s="117" t="s">
        <v>270</v>
      </c>
      <c r="G5" s="117" t="s">
        <v>271</v>
      </c>
      <c r="H5" s="118" t="s">
        <v>272</v>
      </c>
      <c r="I5" s="118" t="s">
        <v>18</v>
      </c>
      <c r="J5" s="33" t="n">
        <v>0.5</v>
      </c>
      <c r="K5" s="119" t="n">
        <v>46162</v>
      </c>
      <c r="L5" s="119" t="n">
        <v>46186</v>
      </c>
      <c r="M5" s="117"/>
      <c r="N5" s="117"/>
      <c r="O5" s="119" t="s">
        <v>273</v>
      </c>
      <c r="P5" s="117" t="s">
        <v>274</v>
      </c>
      <c r="Q5" s="140" t="str">
        <f aca="false">IF($B5="","",HYPERLINK("#Projects!A"&amp;MATCH($B5,Projects!$A:$A,0),"Open Project"))</f>
        <v>Open Project</v>
      </c>
    </row>
    <row r="6" customFormat="false" ht="30" hidden="false" customHeight="true" outlineLevel="0" collapsed="false">
      <c r="A6" s="137" t="str">
        <f aca="false">IF($B6="","","MM-"&amp;TEXT(ROW()-4,"000"))</f>
        <v>MM-002</v>
      </c>
      <c r="B6" s="118" t="s">
        <v>211</v>
      </c>
      <c r="C6" s="138" t="str">
        <f aca="false">IF($B6="","",IFERROR(VLOOKUP($B6,Lists!$A:$H,2,FALSE()),"unknown ID"))</f>
        <v>4 – Portfolio Brand Strategy</v>
      </c>
      <c r="D6" s="138" t="str">
        <f aca="false">IF($B6="","",IFERROR(VLOOKUP($B6,Lists!$A:$H,3,FALSE()),""))</f>
        <v>Utilize Clintar as a selective strategic growth vehicle</v>
      </c>
      <c r="E6" s="139" t="str">
        <f aca="false">IF($B6="","","Matt Motyka")</f>
        <v>Matt Motyka</v>
      </c>
      <c r="F6" s="117" t="s">
        <v>265</v>
      </c>
      <c r="G6" s="117" t="s">
        <v>348</v>
      </c>
      <c r="H6" s="118" t="s">
        <v>272</v>
      </c>
      <c r="I6" s="118" t="s">
        <v>18</v>
      </c>
      <c r="J6" s="33" t="n">
        <v>0.3</v>
      </c>
      <c r="K6" s="119" t="n">
        <v>46152</v>
      </c>
      <c r="L6" s="119" t="n">
        <v>46249</v>
      </c>
      <c r="M6" s="117"/>
      <c r="N6" s="117"/>
      <c r="O6" s="119" t="s">
        <v>349</v>
      </c>
      <c r="P6" s="117" t="s">
        <v>350</v>
      </c>
      <c r="Q6" s="140" t="str">
        <f aca="false">IF($B6="","",HYPERLINK("#Projects!A"&amp;MATCH($B6,Projects!$A:$A,0),"Open Project"))</f>
        <v>Open Project</v>
      </c>
    </row>
    <row r="7" customFormat="false" ht="30" hidden="false" customHeight="true" outlineLevel="0" collapsed="false">
      <c r="A7" s="137" t="str">
        <f aca="false">IF($B7="","","MM-"&amp;TEXT(ROW()-4,"000"))</f>
        <v/>
      </c>
      <c r="B7" s="118"/>
      <c r="C7" s="138" t="str">
        <f aca="false">IF($B7="","",IFERROR(VLOOKUP($B7,Lists!$A:$H,2,FALSE()),"unknown ID"))</f>
        <v/>
      </c>
      <c r="D7" s="138" t="str">
        <f aca="false">IF($B7="","",IFERROR(VLOOKUP($B7,Lists!$A:$H,3,FALSE()),""))</f>
        <v/>
      </c>
      <c r="E7" s="139" t="str">
        <f aca="false">IF($B7="","","Matt Motyka")</f>
        <v/>
      </c>
      <c r="F7" s="117"/>
      <c r="G7" s="117"/>
      <c r="H7" s="118"/>
      <c r="I7" s="118"/>
      <c r="J7" s="33"/>
      <c r="K7" s="119"/>
      <c r="L7" s="119"/>
      <c r="M7" s="117"/>
      <c r="N7" s="117"/>
      <c r="O7" s="119"/>
      <c r="P7" s="117"/>
      <c r="Q7" s="140" t="str">
        <f aca="false">IF($B7="","",HYPERLINK("#Projects!A"&amp;MATCH($B7,Projects!$A:$A,0),"Open Project"))</f>
        <v/>
      </c>
    </row>
    <row r="8" customFormat="false" ht="30" hidden="false" customHeight="true" outlineLevel="0" collapsed="false">
      <c r="A8" s="137" t="str">
        <f aca="false">IF($B8="","","MM-"&amp;TEXT(ROW()-4,"000"))</f>
        <v/>
      </c>
      <c r="B8" s="118"/>
      <c r="C8" s="138" t="str">
        <f aca="false">IF($B8="","",IFERROR(VLOOKUP($B8,Lists!$A:$H,2,FALSE()),"unknown ID"))</f>
        <v/>
      </c>
      <c r="D8" s="138" t="str">
        <f aca="false">IF($B8="","",IFERROR(VLOOKUP($B8,Lists!$A:$H,3,FALSE()),""))</f>
        <v/>
      </c>
      <c r="E8" s="139" t="str">
        <f aca="false">IF($B8="","","Matt Motyka")</f>
        <v/>
      </c>
      <c r="F8" s="117"/>
      <c r="G8" s="117"/>
      <c r="H8" s="118"/>
      <c r="I8" s="118"/>
      <c r="J8" s="33"/>
      <c r="K8" s="119"/>
      <c r="L8" s="119"/>
      <c r="M8" s="117"/>
      <c r="N8" s="117"/>
      <c r="O8" s="119"/>
      <c r="P8" s="117"/>
      <c r="Q8" s="140" t="str">
        <f aca="false">IF($B8="","",HYPERLINK("#Projects!A"&amp;MATCH($B8,Projects!$A:$A,0),"Open Project"))</f>
        <v/>
      </c>
    </row>
    <row r="9" customFormat="false" ht="30" hidden="false" customHeight="true" outlineLevel="0" collapsed="false">
      <c r="A9" s="137" t="str">
        <f aca="false">IF($B9="","","MM-"&amp;TEXT(ROW()-4,"000"))</f>
        <v/>
      </c>
      <c r="B9" s="118"/>
      <c r="C9" s="138" t="str">
        <f aca="false">IF($B9="","",IFERROR(VLOOKUP($B9,Lists!$A:$H,2,FALSE()),"unknown ID"))</f>
        <v/>
      </c>
      <c r="D9" s="138" t="str">
        <f aca="false">IF($B9="","",IFERROR(VLOOKUP($B9,Lists!$A:$H,3,FALSE()),""))</f>
        <v/>
      </c>
      <c r="E9" s="139" t="str">
        <f aca="false">IF($B9="","","Matt Motyka")</f>
        <v/>
      </c>
      <c r="F9" s="117"/>
      <c r="G9" s="117"/>
      <c r="H9" s="118"/>
      <c r="I9" s="118"/>
      <c r="J9" s="33"/>
      <c r="K9" s="119"/>
      <c r="L9" s="119"/>
      <c r="M9" s="117"/>
      <c r="N9" s="117"/>
      <c r="O9" s="119"/>
      <c r="P9" s="117"/>
      <c r="Q9" s="140" t="str">
        <f aca="false">IF($B9="","",HYPERLINK("#Projects!A"&amp;MATCH($B9,Projects!$A:$A,0),"Open Project"))</f>
        <v/>
      </c>
    </row>
    <row r="10" customFormat="false" ht="30" hidden="false" customHeight="true" outlineLevel="0" collapsed="false">
      <c r="A10" s="137" t="str">
        <f aca="false">IF($B10="","","MM-"&amp;TEXT(ROW()-4,"000"))</f>
        <v/>
      </c>
      <c r="B10" s="118"/>
      <c r="C10" s="138" t="str">
        <f aca="false">IF($B10="","",IFERROR(VLOOKUP($B10,Lists!$A:$H,2,FALSE()),"unknown ID"))</f>
        <v/>
      </c>
      <c r="D10" s="138" t="str">
        <f aca="false">IF($B10="","",IFERROR(VLOOKUP($B10,Lists!$A:$H,3,FALSE()),""))</f>
        <v/>
      </c>
      <c r="E10" s="139" t="str">
        <f aca="false">IF($B10="","","Matt Motyka")</f>
        <v/>
      </c>
      <c r="F10" s="117"/>
      <c r="G10" s="117"/>
      <c r="H10" s="118"/>
      <c r="I10" s="118"/>
      <c r="J10" s="33"/>
      <c r="K10" s="119"/>
      <c r="L10" s="119"/>
      <c r="M10" s="117"/>
      <c r="N10" s="117"/>
      <c r="O10" s="119"/>
      <c r="P10" s="117"/>
      <c r="Q10" s="140" t="str">
        <f aca="false">IF($B10="","",HYPERLINK("#Projects!A"&amp;MATCH($B10,Projects!$A:$A,0),"Open Project"))</f>
        <v/>
      </c>
    </row>
    <row r="11" customFormat="false" ht="30" hidden="false" customHeight="true" outlineLevel="0" collapsed="false">
      <c r="A11" s="137" t="str">
        <f aca="false">IF($B11="","","MM-"&amp;TEXT(ROW()-4,"000"))</f>
        <v/>
      </c>
      <c r="B11" s="118"/>
      <c r="C11" s="138" t="str">
        <f aca="false">IF($B11="","",IFERROR(VLOOKUP($B11,Lists!$A:$H,2,FALSE()),"unknown ID"))</f>
        <v/>
      </c>
      <c r="D11" s="138" t="str">
        <f aca="false">IF($B11="","",IFERROR(VLOOKUP($B11,Lists!$A:$H,3,FALSE()),""))</f>
        <v/>
      </c>
      <c r="E11" s="139" t="str">
        <f aca="false">IF($B11="","","Matt Motyka")</f>
        <v/>
      </c>
      <c r="F11" s="117"/>
      <c r="G11" s="117"/>
      <c r="H11" s="118"/>
      <c r="I11" s="118"/>
      <c r="J11" s="33"/>
      <c r="K11" s="119"/>
      <c r="L11" s="119"/>
      <c r="M11" s="117"/>
      <c r="N11" s="117"/>
      <c r="O11" s="119"/>
      <c r="P11" s="117"/>
      <c r="Q11" s="140" t="str">
        <f aca="false">IF($B11="","",HYPERLINK("#Projects!A"&amp;MATCH($B11,Projects!$A:$A,0),"Open Project"))</f>
        <v/>
      </c>
    </row>
    <row r="12" customFormat="false" ht="30" hidden="false" customHeight="true" outlineLevel="0" collapsed="false">
      <c r="A12" s="137" t="str">
        <f aca="false">IF($B12="","","MM-"&amp;TEXT(ROW()-4,"000"))</f>
        <v/>
      </c>
      <c r="B12" s="118"/>
      <c r="C12" s="138" t="str">
        <f aca="false">IF($B12="","",IFERROR(VLOOKUP($B12,Lists!$A:$H,2,FALSE()),"unknown ID"))</f>
        <v/>
      </c>
      <c r="D12" s="138" t="str">
        <f aca="false">IF($B12="","",IFERROR(VLOOKUP($B12,Lists!$A:$H,3,FALSE()),""))</f>
        <v/>
      </c>
      <c r="E12" s="139" t="str">
        <f aca="false">IF($B12="","","Matt Motyka")</f>
        <v/>
      </c>
      <c r="F12" s="117"/>
      <c r="G12" s="117"/>
      <c r="H12" s="118"/>
      <c r="I12" s="118"/>
      <c r="J12" s="33"/>
      <c r="K12" s="119"/>
      <c r="L12" s="119"/>
      <c r="M12" s="117"/>
      <c r="N12" s="117"/>
      <c r="O12" s="119"/>
      <c r="P12" s="117"/>
      <c r="Q12" s="140" t="str">
        <f aca="false">IF($B12="","",HYPERLINK("#Projects!A"&amp;MATCH($B12,Projects!$A:$A,0),"Open Project"))</f>
        <v/>
      </c>
    </row>
    <row r="13" customFormat="false" ht="30" hidden="false" customHeight="true" outlineLevel="0" collapsed="false">
      <c r="A13" s="137" t="str">
        <f aca="false">IF($B13="","","MM-"&amp;TEXT(ROW()-4,"000"))</f>
        <v/>
      </c>
      <c r="B13" s="118"/>
      <c r="C13" s="138" t="str">
        <f aca="false">IF($B13="","",IFERROR(VLOOKUP($B13,Lists!$A:$H,2,FALSE()),"unknown ID"))</f>
        <v/>
      </c>
      <c r="D13" s="138" t="str">
        <f aca="false">IF($B13="","",IFERROR(VLOOKUP($B13,Lists!$A:$H,3,FALSE()),""))</f>
        <v/>
      </c>
      <c r="E13" s="139" t="str">
        <f aca="false">IF($B13="","","Matt Motyka")</f>
        <v/>
      </c>
      <c r="F13" s="117"/>
      <c r="G13" s="117"/>
      <c r="H13" s="118"/>
      <c r="I13" s="118"/>
      <c r="J13" s="33"/>
      <c r="K13" s="119"/>
      <c r="L13" s="119"/>
      <c r="M13" s="117"/>
      <c r="N13" s="117"/>
      <c r="O13" s="119"/>
      <c r="P13" s="117"/>
      <c r="Q13" s="140" t="str">
        <f aca="false">IF($B13="","",HYPERLINK("#Projects!A"&amp;MATCH($B13,Projects!$A:$A,0),"Open Project"))</f>
        <v/>
      </c>
    </row>
    <row r="14" customFormat="false" ht="30" hidden="false" customHeight="true" outlineLevel="0" collapsed="false">
      <c r="A14" s="137" t="str">
        <f aca="false">IF($B14="","","MM-"&amp;TEXT(ROW()-4,"000"))</f>
        <v/>
      </c>
      <c r="B14" s="118"/>
      <c r="C14" s="138" t="str">
        <f aca="false">IF($B14="","",IFERROR(VLOOKUP($B14,Lists!$A:$H,2,FALSE()),"unknown ID"))</f>
        <v/>
      </c>
      <c r="D14" s="138" t="str">
        <f aca="false">IF($B14="","",IFERROR(VLOOKUP($B14,Lists!$A:$H,3,FALSE()),""))</f>
        <v/>
      </c>
      <c r="E14" s="139" t="str">
        <f aca="false">IF($B14="","","Matt Motyka")</f>
        <v/>
      </c>
      <c r="F14" s="117"/>
      <c r="G14" s="117"/>
      <c r="H14" s="118"/>
      <c r="I14" s="118"/>
      <c r="J14" s="33"/>
      <c r="K14" s="119"/>
      <c r="L14" s="119"/>
      <c r="M14" s="117"/>
      <c r="N14" s="117"/>
      <c r="O14" s="119"/>
      <c r="P14" s="117"/>
      <c r="Q14" s="140" t="str">
        <f aca="false">IF($B14="","",HYPERLINK("#Projects!A"&amp;MATCH($B14,Projects!$A:$A,0),"Open Project"))</f>
        <v/>
      </c>
    </row>
    <row r="15" customFormat="false" ht="30" hidden="false" customHeight="true" outlineLevel="0" collapsed="false">
      <c r="A15" s="137" t="str">
        <f aca="false">IF($B15="","","MM-"&amp;TEXT(ROW()-4,"000"))</f>
        <v/>
      </c>
      <c r="B15" s="118"/>
      <c r="C15" s="138" t="str">
        <f aca="false">IF($B15="","",IFERROR(VLOOKUP($B15,Lists!$A:$H,2,FALSE()),"unknown ID"))</f>
        <v/>
      </c>
      <c r="D15" s="138" t="str">
        <f aca="false">IF($B15="","",IFERROR(VLOOKUP($B15,Lists!$A:$H,3,FALSE()),""))</f>
        <v/>
      </c>
      <c r="E15" s="139" t="str">
        <f aca="false">IF($B15="","","Matt Motyka")</f>
        <v/>
      </c>
      <c r="F15" s="117"/>
      <c r="G15" s="117"/>
      <c r="H15" s="118"/>
      <c r="I15" s="118"/>
      <c r="J15" s="33"/>
      <c r="K15" s="119"/>
      <c r="L15" s="119"/>
      <c r="M15" s="117"/>
      <c r="N15" s="117"/>
      <c r="O15" s="119"/>
      <c r="P15" s="117"/>
      <c r="Q15" s="140" t="str">
        <f aca="false">IF($B15="","",HYPERLINK("#Projects!A"&amp;MATCH($B15,Projects!$A:$A,0),"Open Project"))</f>
        <v/>
      </c>
    </row>
    <row r="16" customFormat="false" ht="30" hidden="false" customHeight="true" outlineLevel="0" collapsed="false">
      <c r="A16" s="137" t="str">
        <f aca="false">IF($B16="","","MM-"&amp;TEXT(ROW()-4,"000"))</f>
        <v/>
      </c>
      <c r="B16" s="118"/>
      <c r="C16" s="138" t="str">
        <f aca="false">IF($B16="","",IFERROR(VLOOKUP($B16,Lists!$A:$H,2,FALSE()),"unknown ID"))</f>
        <v/>
      </c>
      <c r="D16" s="138" t="str">
        <f aca="false">IF($B16="","",IFERROR(VLOOKUP($B16,Lists!$A:$H,3,FALSE()),""))</f>
        <v/>
      </c>
      <c r="E16" s="139" t="str">
        <f aca="false">IF($B16="","","Matt Motyka")</f>
        <v/>
      </c>
      <c r="F16" s="117"/>
      <c r="G16" s="117"/>
      <c r="H16" s="118"/>
      <c r="I16" s="118"/>
      <c r="J16" s="33"/>
      <c r="K16" s="119"/>
      <c r="L16" s="119"/>
      <c r="M16" s="117"/>
      <c r="N16" s="117"/>
      <c r="O16" s="119"/>
      <c r="P16" s="117"/>
      <c r="Q16" s="140" t="str">
        <f aca="false">IF($B16="","",HYPERLINK("#Projects!A"&amp;MATCH($B16,Projects!$A:$A,0),"Open Project"))</f>
        <v/>
      </c>
    </row>
    <row r="17" customFormat="false" ht="30" hidden="false" customHeight="true" outlineLevel="0" collapsed="false">
      <c r="A17" s="137" t="str">
        <f aca="false">IF($B17="","","MM-"&amp;TEXT(ROW()-4,"000"))</f>
        <v/>
      </c>
      <c r="B17" s="118"/>
      <c r="C17" s="138" t="str">
        <f aca="false">IF($B17="","",IFERROR(VLOOKUP($B17,Lists!$A:$H,2,FALSE()),"unknown ID"))</f>
        <v/>
      </c>
      <c r="D17" s="138" t="str">
        <f aca="false">IF($B17="","",IFERROR(VLOOKUP($B17,Lists!$A:$H,3,FALSE()),""))</f>
        <v/>
      </c>
      <c r="E17" s="139" t="str">
        <f aca="false">IF($B17="","","Matt Motyka")</f>
        <v/>
      </c>
      <c r="F17" s="117"/>
      <c r="G17" s="117"/>
      <c r="H17" s="118"/>
      <c r="I17" s="118"/>
      <c r="J17" s="33"/>
      <c r="K17" s="119"/>
      <c r="L17" s="119"/>
      <c r="M17" s="117"/>
      <c r="N17" s="117"/>
      <c r="O17" s="119"/>
      <c r="P17" s="117"/>
      <c r="Q17" s="140" t="str">
        <f aca="false">IF($B17="","",HYPERLINK("#Projects!A"&amp;MATCH($B17,Projects!$A:$A,0),"Open Project"))</f>
        <v/>
      </c>
    </row>
    <row r="18" customFormat="false" ht="30" hidden="false" customHeight="true" outlineLevel="0" collapsed="false">
      <c r="A18" s="137" t="str">
        <f aca="false">IF($B18="","","MM-"&amp;TEXT(ROW()-4,"000"))</f>
        <v/>
      </c>
      <c r="B18" s="118"/>
      <c r="C18" s="138" t="str">
        <f aca="false">IF($B18="","",IFERROR(VLOOKUP($B18,Lists!$A:$H,2,FALSE()),"unknown ID"))</f>
        <v/>
      </c>
      <c r="D18" s="138" t="str">
        <f aca="false">IF($B18="","",IFERROR(VLOOKUP($B18,Lists!$A:$H,3,FALSE()),""))</f>
        <v/>
      </c>
      <c r="E18" s="139" t="str">
        <f aca="false">IF($B18="","","Matt Motyka")</f>
        <v/>
      </c>
      <c r="F18" s="117"/>
      <c r="G18" s="117"/>
      <c r="H18" s="118"/>
      <c r="I18" s="118"/>
      <c r="J18" s="33"/>
      <c r="K18" s="119"/>
      <c r="L18" s="119"/>
      <c r="M18" s="117"/>
      <c r="N18" s="117"/>
      <c r="O18" s="119"/>
      <c r="P18" s="117"/>
      <c r="Q18" s="140" t="str">
        <f aca="false">IF($B18="","",HYPERLINK("#Projects!A"&amp;MATCH($B18,Projects!$A:$A,0),"Open Project"))</f>
        <v/>
      </c>
    </row>
    <row r="19" customFormat="false" ht="30" hidden="false" customHeight="true" outlineLevel="0" collapsed="false">
      <c r="A19" s="137" t="str">
        <f aca="false">IF($B19="","","MM-"&amp;TEXT(ROW()-4,"000"))</f>
        <v/>
      </c>
      <c r="B19" s="118"/>
      <c r="C19" s="138" t="str">
        <f aca="false">IF($B19="","",IFERROR(VLOOKUP($B19,Lists!$A:$H,2,FALSE()),"unknown ID"))</f>
        <v/>
      </c>
      <c r="D19" s="138" t="str">
        <f aca="false">IF($B19="","",IFERROR(VLOOKUP($B19,Lists!$A:$H,3,FALSE()),""))</f>
        <v/>
      </c>
      <c r="E19" s="139" t="str">
        <f aca="false">IF($B19="","","Matt Motyka")</f>
        <v/>
      </c>
      <c r="F19" s="117"/>
      <c r="G19" s="117"/>
      <c r="H19" s="118"/>
      <c r="I19" s="118"/>
      <c r="J19" s="33"/>
      <c r="K19" s="119"/>
      <c r="L19" s="119"/>
      <c r="M19" s="117"/>
      <c r="N19" s="117"/>
      <c r="O19" s="119"/>
      <c r="P19" s="117"/>
      <c r="Q19" s="140" t="str">
        <f aca="false">IF($B19="","",HYPERLINK("#Projects!A"&amp;MATCH($B19,Projects!$A:$A,0),"Open Project"))</f>
        <v/>
      </c>
    </row>
    <row r="20" customFormat="false" ht="30" hidden="false" customHeight="true" outlineLevel="0" collapsed="false">
      <c r="A20" s="137" t="str">
        <f aca="false">IF($B20="","","MM-"&amp;TEXT(ROW()-4,"000"))</f>
        <v/>
      </c>
      <c r="B20" s="118"/>
      <c r="C20" s="138" t="str">
        <f aca="false">IF($B20="","",IFERROR(VLOOKUP($B20,Lists!$A:$H,2,FALSE()),"unknown ID"))</f>
        <v/>
      </c>
      <c r="D20" s="138" t="str">
        <f aca="false">IF($B20="","",IFERROR(VLOOKUP($B20,Lists!$A:$H,3,FALSE()),""))</f>
        <v/>
      </c>
      <c r="E20" s="139" t="str">
        <f aca="false">IF($B20="","","Matt Motyka")</f>
        <v/>
      </c>
      <c r="F20" s="117"/>
      <c r="G20" s="117"/>
      <c r="H20" s="118"/>
      <c r="I20" s="118"/>
      <c r="J20" s="33"/>
      <c r="K20" s="119"/>
      <c r="L20" s="119"/>
      <c r="M20" s="117"/>
      <c r="N20" s="117"/>
      <c r="O20" s="119"/>
      <c r="P20" s="117"/>
      <c r="Q20" s="140" t="str">
        <f aca="false">IF($B20="","",HYPERLINK("#Projects!A"&amp;MATCH($B20,Projects!$A:$A,0),"Open Project"))</f>
        <v/>
      </c>
    </row>
    <row r="21" customFormat="false" ht="30" hidden="false" customHeight="true" outlineLevel="0" collapsed="false">
      <c r="A21" s="137" t="str">
        <f aca="false">IF($B21="","","MM-"&amp;TEXT(ROW()-4,"000"))</f>
        <v/>
      </c>
      <c r="B21" s="118"/>
      <c r="C21" s="138" t="str">
        <f aca="false">IF($B21="","",IFERROR(VLOOKUP($B21,Lists!$A:$H,2,FALSE()),"unknown ID"))</f>
        <v/>
      </c>
      <c r="D21" s="138" t="str">
        <f aca="false">IF($B21="","",IFERROR(VLOOKUP($B21,Lists!$A:$H,3,FALSE()),""))</f>
        <v/>
      </c>
      <c r="E21" s="139" t="str">
        <f aca="false">IF($B21="","","Matt Motyka")</f>
        <v/>
      </c>
      <c r="F21" s="117"/>
      <c r="G21" s="117"/>
      <c r="H21" s="118"/>
      <c r="I21" s="118"/>
      <c r="J21" s="33"/>
      <c r="K21" s="119"/>
      <c r="L21" s="119"/>
      <c r="M21" s="117"/>
      <c r="N21" s="117"/>
      <c r="O21" s="119"/>
      <c r="P21" s="117"/>
      <c r="Q21" s="140" t="str">
        <f aca="false">IF($B21="","",HYPERLINK("#Projects!A"&amp;MATCH($B21,Projects!$A:$A,0),"Open Project"))</f>
        <v/>
      </c>
    </row>
    <row r="22" customFormat="false" ht="30" hidden="false" customHeight="true" outlineLevel="0" collapsed="false">
      <c r="A22" s="137" t="str">
        <f aca="false">IF($B22="","","MM-"&amp;TEXT(ROW()-4,"000"))</f>
        <v/>
      </c>
      <c r="B22" s="118"/>
      <c r="C22" s="138" t="str">
        <f aca="false">IF($B22="","",IFERROR(VLOOKUP($B22,Lists!$A:$H,2,FALSE()),"unknown ID"))</f>
        <v/>
      </c>
      <c r="D22" s="138" t="str">
        <f aca="false">IF($B22="","",IFERROR(VLOOKUP($B22,Lists!$A:$H,3,FALSE()),""))</f>
        <v/>
      </c>
      <c r="E22" s="139" t="str">
        <f aca="false">IF($B22="","","Matt Motyka")</f>
        <v/>
      </c>
      <c r="F22" s="117"/>
      <c r="G22" s="117"/>
      <c r="H22" s="118"/>
      <c r="I22" s="118"/>
      <c r="J22" s="33"/>
      <c r="K22" s="119"/>
      <c r="L22" s="119"/>
      <c r="M22" s="117"/>
      <c r="N22" s="117"/>
      <c r="O22" s="119"/>
      <c r="P22" s="117"/>
      <c r="Q22" s="140" t="str">
        <f aca="false">IF($B22="","",HYPERLINK("#Projects!A"&amp;MATCH($B22,Projects!$A:$A,0),"Open Project"))</f>
        <v/>
      </c>
    </row>
    <row r="23" customFormat="false" ht="30" hidden="false" customHeight="true" outlineLevel="0" collapsed="false">
      <c r="A23" s="137" t="str">
        <f aca="false">IF($B23="","","MM-"&amp;TEXT(ROW()-4,"000"))</f>
        <v/>
      </c>
      <c r="B23" s="118"/>
      <c r="C23" s="138" t="str">
        <f aca="false">IF($B23="","",IFERROR(VLOOKUP($B23,Lists!$A:$H,2,FALSE()),"unknown ID"))</f>
        <v/>
      </c>
      <c r="D23" s="138" t="str">
        <f aca="false">IF($B23="","",IFERROR(VLOOKUP($B23,Lists!$A:$H,3,FALSE()),""))</f>
        <v/>
      </c>
      <c r="E23" s="139" t="str">
        <f aca="false">IF($B23="","","Matt Motyka")</f>
        <v/>
      </c>
      <c r="F23" s="117"/>
      <c r="G23" s="117"/>
      <c r="H23" s="118"/>
      <c r="I23" s="118"/>
      <c r="J23" s="33"/>
      <c r="K23" s="119"/>
      <c r="L23" s="119"/>
      <c r="M23" s="117"/>
      <c r="N23" s="117"/>
      <c r="O23" s="119"/>
      <c r="P23" s="117"/>
      <c r="Q23" s="140" t="str">
        <f aca="false">IF($B23="","",HYPERLINK("#Projects!A"&amp;MATCH($B23,Projects!$A:$A,0),"Open Project"))</f>
        <v/>
      </c>
    </row>
    <row r="24" customFormat="false" ht="30" hidden="false" customHeight="true" outlineLevel="0" collapsed="false">
      <c r="A24" s="137" t="str">
        <f aca="false">IF($B24="","","MM-"&amp;TEXT(ROW()-4,"000"))</f>
        <v/>
      </c>
      <c r="B24" s="118"/>
      <c r="C24" s="138" t="str">
        <f aca="false">IF($B24="","",IFERROR(VLOOKUP($B24,Lists!$A:$H,2,FALSE()),"unknown ID"))</f>
        <v/>
      </c>
      <c r="D24" s="138" t="str">
        <f aca="false">IF($B24="","",IFERROR(VLOOKUP($B24,Lists!$A:$H,3,FALSE()),""))</f>
        <v/>
      </c>
      <c r="E24" s="139" t="str">
        <f aca="false">IF($B24="","","Matt Motyka")</f>
        <v/>
      </c>
      <c r="F24" s="117"/>
      <c r="G24" s="117"/>
      <c r="H24" s="118"/>
      <c r="I24" s="118"/>
      <c r="J24" s="33"/>
      <c r="K24" s="119"/>
      <c r="L24" s="119"/>
      <c r="M24" s="117"/>
      <c r="N24" s="117"/>
      <c r="O24" s="119"/>
      <c r="P24" s="117"/>
      <c r="Q24" s="140" t="str">
        <f aca="false">IF($B24="","",HYPERLINK("#Projects!A"&amp;MATCH($B24,Projects!$A:$A,0),"Open Project"))</f>
        <v/>
      </c>
    </row>
    <row r="25" customFormat="false" ht="30" hidden="false" customHeight="true" outlineLevel="0" collapsed="false">
      <c r="A25" s="137" t="str">
        <f aca="false">IF($B25="","","MM-"&amp;TEXT(ROW()-4,"000"))</f>
        <v/>
      </c>
      <c r="B25" s="118"/>
      <c r="C25" s="138" t="str">
        <f aca="false">IF($B25="","",IFERROR(VLOOKUP($B25,Lists!$A:$H,2,FALSE()),"unknown ID"))</f>
        <v/>
      </c>
      <c r="D25" s="138" t="str">
        <f aca="false">IF($B25="","",IFERROR(VLOOKUP($B25,Lists!$A:$H,3,FALSE()),""))</f>
        <v/>
      </c>
      <c r="E25" s="139" t="str">
        <f aca="false">IF($B25="","","Matt Motyka")</f>
        <v/>
      </c>
      <c r="F25" s="117"/>
      <c r="G25" s="117"/>
      <c r="H25" s="118"/>
      <c r="I25" s="118"/>
      <c r="J25" s="33"/>
      <c r="K25" s="119"/>
      <c r="L25" s="119"/>
      <c r="M25" s="117"/>
      <c r="N25" s="117"/>
      <c r="O25" s="119"/>
      <c r="P25" s="117"/>
      <c r="Q25" s="140" t="str">
        <f aca="false">IF($B25="","",HYPERLINK("#Projects!A"&amp;MATCH($B25,Projects!$A:$A,0),"Open Project"))</f>
        <v/>
      </c>
    </row>
    <row r="26" customFormat="false" ht="30" hidden="false" customHeight="true" outlineLevel="0" collapsed="false">
      <c r="A26" s="137" t="str">
        <f aca="false">IF($B26="","","MM-"&amp;TEXT(ROW()-4,"000"))</f>
        <v/>
      </c>
      <c r="B26" s="118"/>
      <c r="C26" s="138" t="str">
        <f aca="false">IF($B26="","",IFERROR(VLOOKUP($B26,Lists!$A:$H,2,FALSE()),"unknown ID"))</f>
        <v/>
      </c>
      <c r="D26" s="138" t="str">
        <f aca="false">IF($B26="","",IFERROR(VLOOKUP($B26,Lists!$A:$H,3,FALSE()),""))</f>
        <v/>
      </c>
      <c r="E26" s="139" t="str">
        <f aca="false">IF($B26="","","Matt Motyka")</f>
        <v/>
      </c>
      <c r="F26" s="117"/>
      <c r="G26" s="117"/>
      <c r="H26" s="118"/>
      <c r="I26" s="118"/>
      <c r="J26" s="33"/>
      <c r="K26" s="119"/>
      <c r="L26" s="119"/>
      <c r="M26" s="117"/>
      <c r="N26" s="117"/>
      <c r="O26" s="119"/>
      <c r="P26" s="117"/>
      <c r="Q26" s="140" t="str">
        <f aca="false">IF($B26="","",HYPERLINK("#Projects!A"&amp;MATCH($B26,Projects!$A:$A,0),"Open Project"))</f>
        <v/>
      </c>
    </row>
    <row r="27" customFormat="false" ht="30" hidden="false" customHeight="true" outlineLevel="0" collapsed="false">
      <c r="A27" s="137" t="str">
        <f aca="false">IF($B27="","","MM-"&amp;TEXT(ROW()-4,"000"))</f>
        <v/>
      </c>
      <c r="B27" s="118"/>
      <c r="C27" s="138" t="str">
        <f aca="false">IF($B27="","",IFERROR(VLOOKUP($B27,Lists!$A:$H,2,FALSE()),"unknown ID"))</f>
        <v/>
      </c>
      <c r="D27" s="138" t="str">
        <f aca="false">IF($B27="","",IFERROR(VLOOKUP($B27,Lists!$A:$H,3,FALSE()),""))</f>
        <v/>
      </c>
      <c r="E27" s="139" t="str">
        <f aca="false">IF($B27="","","Matt Motyka")</f>
        <v/>
      </c>
      <c r="F27" s="117"/>
      <c r="G27" s="117"/>
      <c r="H27" s="118"/>
      <c r="I27" s="118"/>
      <c r="J27" s="33"/>
      <c r="K27" s="119"/>
      <c r="L27" s="119"/>
      <c r="M27" s="117"/>
      <c r="N27" s="117"/>
      <c r="O27" s="119"/>
      <c r="P27" s="117"/>
      <c r="Q27" s="140" t="str">
        <f aca="false">IF($B27="","",HYPERLINK("#Projects!A"&amp;MATCH($B27,Projects!$A:$A,0),"Open Project"))</f>
        <v/>
      </c>
    </row>
    <row r="28" customFormat="false" ht="30" hidden="false" customHeight="true" outlineLevel="0" collapsed="false">
      <c r="A28" s="137" t="str">
        <f aca="false">IF($B28="","","MM-"&amp;TEXT(ROW()-4,"000"))</f>
        <v/>
      </c>
      <c r="B28" s="118"/>
      <c r="C28" s="138" t="str">
        <f aca="false">IF($B28="","",IFERROR(VLOOKUP($B28,Lists!$A:$H,2,FALSE()),"unknown ID"))</f>
        <v/>
      </c>
      <c r="D28" s="138" t="str">
        <f aca="false">IF($B28="","",IFERROR(VLOOKUP($B28,Lists!$A:$H,3,FALSE()),""))</f>
        <v/>
      </c>
      <c r="E28" s="139" t="str">
        <f aca="false">IF($B28="","","Matt Motyka")</f>
        <v/>
      </c>
      <c r="F28" s="117"/>
      <c r="G28" s="117"/>
      <c r="H28" s="118"/>
      <c r="I28" s="118"/>
      <c r="J28" s="33"/>
      <c r="K28" s="119"/>
      <c r="L28" s="119"/>
      <c r="M28" s="117"/>
      <c r="N28" s="117"/>
      <c r="O28" s="119"/>
      <c r="P28" s="117"/>
      <c r="Q28" s="140" t="str">
        <f aca="false">IF($B28="","",HYPERLINK("#Projects!A"&amp;MATCH($B28,Projects!$A:$A,0),"Open Project"))</f>
        <v/>
      </c>
    </row>
    <row r="29" customFormat="false" ht="30" hidden="false" customHeight="true" outlineLevel="0" collapsed="false">
      <c r="A29" s="137" t="str">
        <f aca="false">IF($B29="","","MM-"&amp;TEXT(ROW()-4,"000"))</f>
        <v/>
      </c>
      <c r="B29" s="118"/>
      <c r="C29" s="138" t="str">
        <f aca="false">IF($B29="","",IFERROR(VLOOKUP($B29,Lists!$A:$H,2,FALSE()),"unknown ID"))</f>
        <v/>
      </c>
      <c r="D29" s="138" t="str">
        <f aca="false">IF($B29="","",IFERROR(VLOOKUP($B29,Lists!$A:$H,3,FALSE()),""))</f>
        <v/>
      </c>
      <c r="E29" s="139" t="str">
        <f aca="false">IF($B29="","","Matt Motyka")</f>
        <v/>
      </c>
      <c r="F29" s="117"/>
      <c r="G29" s="117"/>
      <c r="H29" s="118"/>
      <c r="I29" s="118"/>
      <c r="J29" s="33"/>
      <c r="K29" s="119"/>
      <c r="L29" s="119"/>
      <c r="M29" s="117"/>
      <c r="N29" s="117"/>
      <c r="O29" s="119"/>
      <c r="P29" s="117"/>
      <c r="Q29" s="140" t="str">
        <f aca="false">IF($B29="","",HYPERLINK("#Projects!A"&amp;MATCH($B29,Projects!$A:$A,0),"Open Project"))</f>
        <v/>
      </c>
    </row>
    <row r="30" customFormat="false" ht="30" hidden="false" customHeight="true" outlineLevel="0" collapsed="false">
      <c r="A30" s="137" t="str">
        <f aca="false">IF($B30="","","MM-"&amp;TEXT(ROW()-4,"000"))</f>
        <v/>
      </c>
      <c r="B30" s="118"/>
      <c r="C30" s="138" t="str">
        <f aca="false">IF($B30="","",IFERROR(VLOOKUP($B30,Lists!$A:$H,2,FALSE()),"unknown ID"))</f>
        <v/>
      </c>
      <c r="D30" s="138" t="str">
        <f aca="false">IF($B30="","",IFERROR(VLOOKUP($B30,Lists!$A:$H,3,FALSE()),""))</f>
        <v/>
      </c>
      <c r="E30" s="139" t="str">
        <f aca="false">IF($B30="","","Matt Motyka")</f>
        <v/>
      </c>
      <c r="F30" s="117"/>
      <c r="G30" s="117"/>
      <c r="H30" s="118"/>
      <c r="I30" s="118"/>
      <c r="J30" s="33"/>
      <c r="K30" s="119"/>
      <c r="L30" s="119"/>
      <c r="M30" s="117"/>
      <c r="N30" s="117"/>
      <c r="O30" s="119"/>
      <c r="P30" s="117"/>
      <c r="Q30" s="140" t="str">
        <f aca="false">IF($B30="","",HYPERLINK("#Projects!A"&amp;MATCH($B30,Projects!$A:$A,0),"Open Project"))</f>
        <v/>
      </c>
    </row>
    <row r="31" customFormat="false" ht="30" hidden="false" customHeight="true" outlineLevel="0" collapsed="false">
      <c r="A31" s="137" t="str">
        <f aca="false">IF($B31="","","MM-"&amp;TEXT(ROW()-4,"000"))</f>
        <v/>
      </c>
      <c r="B31" s="118"/>
      <c r="C31" s="138" t="str">
        <f aca="false">IF($B31="","",IFERROR(VLOOKUP($B31,Lists!$A:$H,2,FALSE()),"unknown ID"))</f>
        <v/>
      </c>
      <c r="D31" s="138" t="str">
        <f aca="false">IF($B31="","",IFERROR(VLOOKUP($B31,Lists!$A:$H,3,FALSE()),""))</f>
        <v/>
      </c>
      <c r="E31" s="139" t="str">
        <f aca="false">IF($B31="","","Matt Motyka")</f>
        <v/>
      </c>
      <c r="F31" s="117"/>
      <c r="G31" s="117"/>
      <c r="H31" s="118"/>
      <c r="I31" s="118"/>
      <c r="J31" s="33"/>
      <c r="K31" s="119"/>
      <c r="L31" s="119"/>
      <c r="M31" s="117"/>
      <c r="N31" s="117"/>
      <c r="O31" s="119"/>
      <c r="P31" s="117"/>
      <c r="Q31" s="140" t="str">
        <f aca="false">IF($B31="","",HYPERLINK("#Projects!A"&amp;MATCH($B31,Projects!$A:$A,0),"Open Project"))</f>
        <v/>
      </c>
    </row>
    <row r="32" customFormat="false" ht="30" hidden="false" customHeight="true" outlineLevel="0" collapsed="false">
      <c r="A32" s="137" t="str">
        <f aca="false">IF($B32="","","MM-"&amp;TEXT(ROW()-4,"000"))</f>
        <v/>
      </c>
      <c r="B32" s="118"/>
      <c r="C32" s="138" t="str">
        <f aca="false">IF($B32="","",IFERROR(VLOOKUP($B32,Lists!$A:$H,2,FALSE()),"unknown ID"))</f>
        <v/>
      </c>
      <c r="D32" s="138" t="str">
        <f aca="false">IF($B32="","",IFERROR(VLOOKUP($B32,Lists!$A:$H,3,FALSE()),""))</f>
        <v/>
      </c>
      <c r="E32" s="139" t="str">
        <f aca="false">IF($B32="","","Matt Motyka")</f>
        <v/>
      </c>
      <c r="F32" s="117"/>
      <c r="G32" s="117"/>
      <c r="H32" s="118"/>
      <c r="I32" s="118"/>
      <c r="J32" s="33"/>
      <c r="K32" s="119"/>
      <c r="L32" s="119"/>
      <c r="M32" s="117"/>
      <c r="N32" s="117"/>
      <c r="O32" s="119"/>
      <c r="P32" s="117"/>
      <c r="Q32" s="140" t="str">
        <f aca="false">IF($B32="","",HYPERLINK("#Projects!A"&amp;MATCH($B32,Projects!$A:$A,0),"Open Project"))</f>
        <v/>
      </c>
    </row>
    <row r="33" customFormat="false" ht="30" hidden="false" customHeight="true" outlineLevel="0" collapsed="false">
      <c r="A33" s="137" t="str">
        <f aca="false">IF($B33="","","MM-"&amp;TEXT(ROW()-4,"000"))</f>
        <v/>
      </c>
      <c r="B33" s="118"/>
      <c r="C33" s="138" t="str">
        <f aca="false">IF($B33="","",IFERROR(VLOOKUP($B33,Lists!$A:$H,2,FALSE()),"unknown ID"))</f>
        <v/>
      </c>
      <c r="D33" s="138" t="str">
        <f aca="false">IF($B33="","",IFERROR(VLOOKUP($B33,Lists!$A:$H,3,FALSE()),""))</f>
        <v/>
      </c>
      <c r="E33" s="139" t="str">
        <f aca="false">IF($B33="","","Matt Motyka")</f>
        <v/>
      </c>
      <c r="F33" s="117"/>
      <c r="G33" s="117"/>
      <c r="H33" s="118"/>
      <c r="I33" s="118"/>
      <c r="J33" s="33"/>
      <c r="K33" s="119"/>
      <c r="L33" s="119"/>
      <c r="M33" s="117"/>
      <c r="N33" s="117"/>
      <c r="O33" s="119"/>
      <c r="P33" s="117"/>
      <c r="Q33" s="140" t="str">
        <f aca="false">IF($B33="","",HYPERLINK("#Projects!A"&amp;MATCH($B33,Projects!$A:$A,0),"Open Project"))</f>
        <v/>
      </c>
    </row>
    <row r="34" customFormat="false" ht="30" hidden="false" customHeight="true" outlineLevel="0" collapsed="false">
      <c r="A34" s="137" t="str">
        <f aca="false">IF($B34="","","MM-"&amp;TEXT(ROW()-4,"000"))</f>
        <v/>
      </c>
      <c r="B34" s="118"/>
      <c r="C34" s="138" t="str">
        <f aca="false">IF($B34="","",IFERROR(VLOOKUP($B34,Lists!$A:$H,2,FALSE()),"unknown ID"))</f>
        <v/>
      </c>
      <c r="D34" s="138" t="str">
        <f aca="false">IF($B34="","",IFERROR(VLOOKUP($B34,Lists!$A:$H,3,FALSE()),""))</f>
        <v/>
      </c>
      <c r="E34" s="139" t="str">
        <f aca="false">IF($B34="","","Matt Motyka")</f>
        <v/>
      </c>
      <c r="F34" s="117"/>
      <c r="G34" s="117"/>
      <c r="H34" s="118"/>
      <c r="I34" s="118"/>
      <c r="J34" s="33"/>
      <c r="K34" s="119"/>
      <c r="L34" s="119"/>
      <c r="M34" s="117"/>
      <c r="N34" s="117"/>
      <c r="O34" s="119"/>
      <c r="P34" s="117"/>
      <c r="Q34" s="140" t="str">
        <f aca="false">IF($B34="","",HYPERLINK("#Projects!A"&amp;MATCH($B34,Projects!$A:$A,0),"Open Project"))</f>
        <v/>
      </c>
    </row>
    <row r="35" customFormat="false" ht="30" hidden="false" customHeight="true" outlineLevel="0" collapsed="false">
      <c r="A35" s="137" t="str">
        <f aca="false">IF($B35="","","MM-"&amp;TEXT(ROW()-4,"000"))</f>
        <v/>
      </c>
      <c r="B35" s="118"/>
      <c r="C35" s="138" t="str">
        <f aca="false">IF($B35="","",IFERROR(VLOOKUP($B35,Lists!$A:$H,2,FALSE()),"unknown ID"))</f>
        <v/>
      </c>
      <c r="D35" s="138" t="str">
        <f aca="false">IF($B35="","",IFERROR(VLOOKUP($B35,Lists!$A:$H,3,FALSE()),""))</f>
        <v/>
      </c>
      <c r="E35" s="139" t="str">
        <f aca="false">IF($B35="","","Matt Motyka")</f>
        <v/>
      </c>
      <c r="F35" s="117"/>
      <c r="G35" s="117"/>
      <c r="H35" s="118"/>
      <c r="I35" s="118"/>
      <c r="J35" s="33"/>
      <c r="K35" s="119"/>
      <c r="L35" s="119"/>
      <c r="M35" s="117"/>
      <c r="N35" s="117"/>
      <c r="O35" s="119"/>
      <c r="P35" s="117"/>
      <c r="Q35" s="140" t="str">
        <f aca="false">IF($B35="","",HYPERLINK("#Projects!A"&amp;MATCH($B35,Projects!$A:$A,0),"Open Project"))</f>
        <v/>
      </c>
    </row>
    <row r="36" customFormat="false" ht="30" hidden="false" customHeight="true" outlineLevel="0" collapsed="false">
      <c r="A36" s="137" t="str">
        <f aca="false">IF($B36="","","MM-"&amp;TEXT(ROW()-4,"000"))</f>
        <v/>
      </c>
      <c r="B36" s="118"/>
      <c r="C36" s="138" t="str">
        <f aca="false">IF($B36="","",IFERROR(VLOOKUP($B36,Lists!$A:$H,2,FALSE()),"unknown ID"))</f>
        <v/>
      </c>
      <c r="D36" s="138" t="str">
        <f aca="false">IF($B36="","",IFERROR(VLOOKUP($B36,Lists!$A:$H,3,FALSE()),""))</f>
        <v/>
      </c>
      <c r="E36" s="139" t="str">
        <f aca="false">IF($B36="","","Matt Motyka")</f>
        <v/>
      </c>
      <c r="F36" s="117"/>
      <c r="G36" s="117"/>
      <c r="H36" s="118"/>
      <c r="I36" s="118"/>
      <c r="J36" s="33"/>
      <c r="K36" s="119"/>
      <c r="L36" s="119"/>
      <c r="M36" s="117"/>
      <c r="N36" s="117"/>
      <c r="O36" s="119"/>
      <c r="P36" s="117"/>
      <c r="Q36" s="140" t="str">
        <f aca="false">IF($B36="","",HYPERLINK("#Projects!A"&amp;MATCH($B36,Projects!$A:$A,0),"Open Project"))</f>
        <v/>
      </c>
    </row>
    <row r="37" customFormat="false" ht="30" hidden="false" customHeight="true" outlineLevel="0" collapsed="false">
      <c r="A37" s="137" t="str">
        <f aca="false">IF($B37="","","MM-"&amp;TEXT(ROW()-4,"000"))</f>
        <v/>
      </c>
      <c r="B37" s="118"/>
      <c r="C37" s="138" t="str">
        <f aca="false">IF($B37="","",IFERROR(VLOOKUP($B37,Lists!$A:$H,2,FALSE()),"unknown ID"))</f>
        <v/>
      </c>
      <c r="D37" s="138" t="str">
        <f aca="false">IF($B37="","",IFERROR(VLOOKUP($B37,Lists!$A:$H,3,FALSE()),""))</f>
        <v/>
      </c>
      <c r="E37" s="139" t="str">
        <f aca="false">IF($B37="","","Matt Motyka")</f>
        <v/>
      </c>
      <c r="F37" s="117"/>
      <c r="G37" s="117"/>
      <c r="H37" s="118"/>
      <c r="I37" s="118"/>
      <c r="J37" s="33"/>
      <c r="K37" s="119"/>
      <c r="L37" s="119"/>
      <c r="M37" s="117"/>
      <c r="N37" s="117"/>
      <c r="O37" s="119"/>
      <c r="P37" s="117"/>
      <c r="Q37" s="140" t="str">
        <f aca="false">IF($B37="","",HYPERLINK("#Projects!A"&amp;MATCH($B37,Projects!$A:$A,0),"Open Project"))</f>
        <v/>
      </c>
    </row>
    <row r="38" customFormat="false" ht="30" hidden="false" customHeight="true" outlineLevel="0" collapsed="false">
      <c r="A38" s="137" t="str">
        <f aca="false">IF($B38="","","MM-"&amp;TEXT(ROW()-4,"000"))</f>
        <v/>
      </c>
      <c r="B38" s="118"/>
      <c r="C38" s="138" t="str">
        <f aca="false">IF($B38="","",IFERROR(VLOOKUP($B38,Lists!$A:$H,2,FALSE()),"unknown ID"))</f>
        <v/>
      </c>
      <c r="D38" s="138" t="str">
        <f aca="false">IF($B38="","",IFERROR(VLOOKUP($B38,Lists!$A:$H,3,FALSE()),""))</f>
        <v/>
      </c>
      <c r="E38" s="139" t="str">
        <f aca="false">IF($B38="","","Matt Motyka")</f>
        <v/>
      </c>
      <c r="F38" s="117"/>
      <c r="G38" s="117"/>
      <c r="H38" s="118"/>
      <c r="I38" s="118"/>
      <c r="J38" s="33"/>
      <c r="K38" s="119"/>
      <c r="L38" s="119"/>
      <c r="M38" s="117"/>
      <c r="N38" s="117"/>
      <c r="O38" s="119"/>
      <c r="P38" s="117"/>
      <c r="Q38" s="140" t="str">
        <f aca="false">IF($B38="","",HYPERLINK("#Projects!A"&amp;MATCH($B38,Projects!$A:$A,0),"Open Project"))</f>
        <v/>
      </c>
    </row>
    <row r="39" customFormat="false" ht="30" hidden="false" customHeight="true" outlineLevel="0" collapsed="false">
      <c r="A39" s="137" t="str">
        <f aca="false">IF($B39="","","MM-"&amp;TEXT(ROW()-4,"000"))</f>
        <v/>
      </c>
      <c r="B39" s="118"/>
      <c r="C39" s="138" t="str">
        <f aca="false">IF($B39="","",IFERROR(VLOOKUP($B39,Lists!$A:$H,2,FALSE()),"unknown ID"))</f>
        <v/>
      </c>
      <c r="D39" s="138" t="str">
        <f aca="false">IF($B39="","",IFERROR(VLOOKUP($B39,Lists!$A:$H,3,FALSE()),""))</f>
        <v/>
      </c>
      <c r="E39" s="139" t="str">
        <f aca="false">IF($B39="","","Matt Motyka")</f>
        <v/>
      </c>
      <c r="F39" s="117"/>
      <c r="G39" s="117"/>
      <c r="H39" s="118"/>
      <c r="I39" s="118"/>
      <c r="J39" s="33"/>
      <c r="K39" s="119"/>
      <c r="L39" s="119"/>
      <c r="M39" s="117"/>
      <c r="N39" s="117"/>
      <c r="O39" s="119"/>
      <c r="P39" s="117"/>
      <c r="Q39" s="140" t="str">
        <f aca="false">IF($B39="","",HYPERLINK("#Projects!A"&amp;MATCH($B39,Projects!$A:$A,0),"Open Project"))</f>
        <v/>
      </c>
    </row>
    <row r="40" customFormat="false" ht="30" hidden="false" customHeight="true" outlineLevel="0" collapsed="false">
      <c r="A40" s="137" t="str">
        <f aca="false">IF($B40="","","MM-"&amp;TEXT(ROW()-4,"000"))</f>
        <v/>
      </c>
      <c r="B40" s="118"/>
      <c r="C40" s="138" t="str">
        <f aca="false">IF($B40="","",IFERROR(VLOOKUP($B40,Lists!$A:$H,2,FALSE()),"unknown ID"))</f>
        <v/>
      </c>
      <c r="D40" s="138" t="str">
        <f aca="false">IF($B40="","",IFERROR(VLOOKUP($B40,Lists!$A:$H,3,FALSE()),""))</f>
        <v/>
      </c>
      <c r="E40" s="139" t="str">
        <f aca="false">IF($B40="","","Matt Motyka")</f>
        <v/>
      </c>
      <c r="F40" s="117"/>
      <c r="G40" s="117"/>
      <c r="H40" s="118"/>
      <c r="I40" s="118"/>
      <c r="J40" s="33"/>
      <c r="K40" s="119"/>
      <c r="L40" s="119"/>
      <c r="M40" s="117"/>
      <c r="N40" s="117"/>
      <c r="O40" s="119"/>
      <c r="P40" s="117"/>
      <c r="Q40" s="140" t="str">
        <f aca="false">IF($B40="","",HYPERLINK("#Projects!A"&amp;MATCH($B40,Projects!$A:$A,0),"Open Project"))</f>
        <v/>
      </c>
    </row>
    <row r="41" customFormat="false" ht="30" hidden="false" customHeight="true" outlineLevel="0" collapsed="false">
      <c r="A41" s="137" t="str">
        <f aca="false">IF($B41="","","MM-"&amp;TEXT(ROW()-4,"000"))</f>
        <v/>
      </c>
      <c r="B41" s="118"/>
      <c r="C41" s="138" t="str">
        <f aca="false">IF($B41="","",IFERROR(VLOOKUP($B41,Lists!$A:$H,2,FALSE()),"unknown ID"))</f>
        <v/>
      </c>
      <c r="D41" s="138" t="str">
        <f aca="false">IF($B41="","",IFERROR(VLOOKUP($B41,Lists!$A:$H,3,FALSE()),""))</f>
        <v/>
      </c>
      <c r="E41" s="139" t="str">
        <f aca="false">IF($B41="","","Matt Motyka")</f>
        <v/>
      </c>
      <c r="F41" s="117"/>
      <c r="G41" s="117"/>
      <c r="H41" s="118"/>
      <c r="I41" s="118"/>
      <c r="J41" s="33"/>
      <c r="K41" s="119"/>
      <c r="L41" s="119"/>
      <c r="M41" s="117"/>
      <c r="N41" s="117"/>
      <c r="O41" s="119"/>
      <c r="P41" s="117"/>
      <c r="Q41" s="140" t="str">
        <f aca="false">IF($B41="","",HYPERLINK("#Projects!A"&amp;MATCH($B41,Projects!$A:$A,0),"Open Project"))</f>
        <v/>
      </c>
    </row>
    <row r="42" customFormat="false" ht="30" hidden="false" customHeight="true" outlineLevel="0" collapsed="false">
      <c r="A42" s="137" t="str">
        <f aca="false">IF($B42="","","MM-"&amp;TEXT(ROW()-4,"000"))</f>
        <v/>
      </c>
      <c r="B42" s="118"/>
      <c r="C42" s="138" t="str">
        <f aca="false">IF($B42="","",IFERROR(VLOOKUP($B42,Lists!$A:$H,2,FALSE()),"unknown ID"))</f>
        <v/>
      </c>
      <c r="D42" s="138" t="str">
        <f aca="false">IF($B42="","",IFERROR(VLOOKUP($B42,Lists!$A:$H,3,FALSE()),""))</f>
        <v/>
      </c>
      <c r="E42" s="139" t="str">
        <f aca="false">IF($B42="","","Matt Motyka")</f>
        <v/>
      </c>
      <c r="F42" s="117"/>
      <c r="G42" s="117"/>
      <c r="H42" s="118"/>
      <c r="I42" s="118"/>
      <c r="J42" s="33"/>
      <c r="K42" s="119"/>
      <c r="L42" s="119"/>
      <c r="M42" s="117"/>
      <c r="N42" s="117"/>
      <c r="O42" s="119"/>
      <c r="P42" s="117"/>
      <c r="Q42" s="140" t="str">
        <f aca="false">IF($B42="","",HYPERLINK("#Projects!A"&amp;MATCH($B42,Projects!$A:$A,0),"Open Project"))</f>
        <v/>
      </c>
    </row>
    <row r="43" customFormat="false" ht="30" hidden="false" customHeight="true" outlineLevel="0" collapsed="false">
      <c r="A43" s="137" t="str">
        <f aca="false">IF($B43="","","MM-"&amp;TEXT(ROW()-4,"000"))</f>
        <v/>
      </c>
      <c r="B43" s="118"/>
      <c r="C43" s="138" t="str">
        <f aca="false">IF($B43="","",IFERROR(VLOOKUP($B43,Lists!$A:$H,2,FALSE()),"unknown ID"))</f>
        <v/>
      </c>
      <c r="D43" s="138" t="str">
        <f aca="false">IF($B43="","",IFERROR(VLOOKUP($B43,Lists!$A:$H,3,FALSE()),""))</f>
        <v/>
      </c>
      <c r="E43" s="139" t="str">
        <f aca="false">IF($B43="","","Matt Motyka")</f>
        <v/>
      </c>
      <c r="F43" s="117"/>
      <c r="G43" s="117"/>
      <c r="H43" s="118"/>
      <c r="I43" s="118"/>
      <c r="J43" s="33"/>
      <c r="K43" s="119"/>
      <c r="L43" s="119"/>
      <c r="M43" s="117"/>
      <c r="N43" s="117"/>
      <c r="O43" s="119"/>
      <c r="P43" s="117"/>
      <c r="Q43" s="140" t="str">
        <f aca="false">IF($B43="","",HYPERLINK("#Projects!A"&amp;MATCH($B43,Projects!$A:$A,0),"Open Project"))</f>
        <v/>
      </c>
    </row>
    <row r="44" customFormat="false" ht="30" hidden="false" customHeight="true" outlineLevel="0" collapsed="false">
      <c r="A44" s="137" t="str">
        <f aca="false">IF($B44="","","MM-"&amp;TEXT(ROW()-4,"000"))</f>
        <v/>
      </c>
      <c r="B44" s="118"/>
      <c r="C44" s="138" t="str">
        <f aca="false">IF($B44="","",IFERROR(VLOOKUP($B44,Lists!$A:$H,2,FALSE()),"unknown ID"))</f>
        <v/>
      </c>
      <c r="D44" s="138" t="str">
        <f aca="false">IF($B44="","",IFERROR(VLOOKUP($B44,Lists!$A:$H,3,FALSE()),""))</f>
        <v/>
      </c>
      <c r="E44" s="139" t="str">
        <f aca="false">IF($B44="","","Matt Motyka")</f>
        <v/>
      </c>
      <c r="F44" s="117"/>
      <c r="G44" s="117"/>
      <c r="H44" s="118"/>
      <c r="I44" s="118"/>
      <c r="J44" s="33"/>
      <c r="K44" s="119"/>
      <c r="L44" s="119"/>
      <c r="M44" s="117"/>
      <c r="N44" s="117"/>
      <c r="O44" s="119"/>
      <c r="P44" s="117"/>
      <c r="Q44" s="140" t="str">
        <f aca="false">IF($B44="","",HYPERLINK("#Projects!A"&amp;MATCH($B44,Projects!$A:$A,0),"Open Project"))</f>
        <v/>
      </c>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sheetData>
  <mergeCells count="2">
    <mergeCell ref="A1:Q1"/>
    <mergeCell ref="A2:Q2"/>
  </mergeCells>
  <conditionalFormatting sqref="M6:M9">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J6:J101">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I5:I44">
    <cfRule type="cellIs" priority="16" operator="equal" aboveAverage="0" equalAverage="0" bottom="0" percent="0" rank="0" text="" dxfId="29">
      <formula>"Complete"</formula>
    </cfRule>
    <cfRule type="cellIs" priority="17" operator="equal" aboveAverage="0" equalAverage="0" bottom="0" percent="0" rank="0" text="" dxfId="4">
      <formula>"Blocked"</formula>
    </cfRule>
    <cfRule type="cellIs" priority="18" operator="equal" aboveAverage="0" equalAverage="0" bottom="0" percent="0" rank="0" text="" dxfId="45">
      <formula>"Waiting on Someone"</formula>
    </cfRule>
    <cfRule type="cellIs" priority="19" operator="equal" aboveAverage="0" equalAverage="0" bottom="0" percent="0" rank="0" text="" dxfId="30">
      <formula>"In Progress"</formula>
    </cfRule>
    <cfRule type="cellIs" priority="20" operator="equal" aboveAverage="0" equalAverage="0" bottom="0" percent="0" rank="0" text="" dxfId="32">
      <formula>"Not Started"</formula>
    </cfRule>
  </conditionalFormatting>
  <conditionalFormatting sqref="L5:L44">
    <cfRule type="expression" priority="21" aboveAverage="0" equalAverage="0" bottom="0" percent="0" rank="0" text="" dxfId="4">
      <formula>AND($L5&lt;&gt;"",$L5&lt;TODAY(),$I5&lt;&gt;"Complete")</formula>
    </cfRule>
    <cfRule type="expression" priority="22" aboveAverage="0" equalAverage="0" bottom="0" percent="0" rank="0" text="" dxfId="46">
      <formula>AND($L5&lt;&gt;"",$L5&gt;=TODAY(),$L5&lt;=TODAY()+7,$I5&lt;&gt;"Complete")</formula>
    </cfRule>
  </conditionalFormatting>
  <conditionalFormatting sqref="G5:G44">
    <cfRule type="expression" priority="23" aboveAverage="0" equalAverage="0" bottom="0" percent="0" rank="0" text="" dxfId="47">
      <formula>$I5="Complete"</formula>
    </cfRule>
  </conditionalFormatting>
  <conditionalFormatting sqref="J5:J44">
    <cfRule type="dataBar" priority="24">
      <dataBar showValue="1" minLength="10" maxLength="90">
        <cfvo type="num" val="0"/>
        <cfvo type="num" val="1"/>
        <color rgb="FF2E75B6"/>
      </dataBar>
      <extLst>
        <ext xmlns:x14="http://schemas.microsoft.com/office/spreadsheetml/2009/9/main" uri="{B025F937-C7B1-47D3-B67F-A62EFF666E3E}">
          <x14:id>{1ED36C32-D5CC-4140-B620-EFD3CC19C48F}</x14:id>
        </ext>
      </extLst>
    </cfRule>
  </conditionalFormatting>
  <dataValidations count="5">
    <dataValidation allowBlank="true" errorStyle="stop" operator="between" showDropDown="false" showErrorMessage="true" showInputMessage="true" sqref="J6:J10 M6:M9 J11:J101" type="list">
      <formula1>"C,G,Y,R,na"</formula1>
      <formula2>0</formula2>
    </dataValidation>
    <dataValidation allowBlank="true" error="Pick a value from the list" errorStyle="stop" errorTitle="Invalid entry" operator="between" showDropDown="false" showErrorMessage="false" showInputMessage="false" sqref="B5:B44" type="list">
      <formula1>ProjectIDList</formula1>
      <formula2>0</formula2>
    </dataValidation>
    <dataValidation allowBlank="true" error="Pick a value from the list" errorStyle="stop" errorTitle="Invalid entry" operator="between" showDropDown="false" showErrorMessage="false" showInputMessage="false" sqref="F5:F44" type="list">
      <formula1>RoleList</formula1>
      <formula2>0</formula2>
    </dataValidation>
    <dataValidation allowBlank="true" error="Pick a value from the list" errorStyle="stop" errorTitle="Invalid entry" operator="between" showDropDown="false" showErrorMessage="false" showInputMessage="false" sqref="H5:H44" type="list">
      <formula1>PriorityList</formula1>
      <formula2>0</formula2>
    </dataValidation>
    <dataValidation allowBlank="true" error="Pick a value from the list" errorStyle="stop" errorTitle="Invalid entry" operator="between" showDropDown="false" showErrorMessage="false" showInputMessage="false" sqref="I5:I44" type="list">
      <formula1>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1ED36C32-D5CC-4140-B620-EFD3CC19C48F}">
            <x14:dataBar minLength="10" maxLength="90" axisPosition="none" gradient="true">
              <x14:cfvo type="num">
                <xm:f>0</xm:f>
              </x14:cfvo>
              <x14:cfvo type="num">
                <xm:f>1</xm:f>
              </x14:cfvo>
              <x14:negativeFillColor rgb="FF2E75B6"/>
              <x14:axisColor rgb="FF000000"/>
            </x14:dataBar>
          </x14:cfRule>
          <xm:sqref>J5:J44</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Q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K9" activeCellId="0" sqref="K9"/>
    </sheetView>
  </sheetViews>
  <sheetFormatPr defaultColWidth="8.5390625" defaultRowHeight="14.2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4"/>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36"/>
    <col collapsed="false" customWidth="true" hidden="false" outlineLevel="0" max="8" min="8" style="0" width="10"/>
    <col collapsed="false" customWidth="true" hidden="false" outlineLevel="0" max="9" min="9" style="0" width="16"/>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26"/>
    <col collapsed="false" customWidth="true" hidden="false" outlineLevel="0" max="15" min="15" style="0" width="12"/>
    <col collapsed="false" customWidth="true" hidden="false" outlineLevel="0" max="16" min="16" style="0" width="30"/>
    <col collapsed="false" customWidth="true" hidden="false" outlineLevel="0" max="17" min="17" style="0" width="15"/>
  </cols>
  <sheetData>
    <row r="1" customFormat="false" ht="30" hidden="false" customHeight="true" outlineLevel="0" collapsed="false">
      <c r="A1" s="114" t="s">
        <v>351</v>
      </c>
      <c r="B1" s="114"/>
      <c r="C1" s="114"/>
      <c r="D1" s="114"/>
      <c r="E1" s="114"/>
      <c r="F1" s="114"/>
      <c r="G1" s="114"/>
      <c r="H1" s="114"/>
      <c r="I1" s="114"/>
      <c r="J1" s="114"/>
      <c r="K1" s="114"/>
      <c r="L1" s="114"/>
      <c r="M1" s="114"/>
      <c r="N1" s="114"/>
      <c r="O1" s="114"/>
      <c r="P1" s="114"/>
      <c r="Q1" s="114"/>
    </row>
    <row r="2" customFormat="false" ht="24" hidden="false" customHeight="true" outlineLevel="0" collapsed="false">
      <c r="A2" s="115" t="s">
        <v>263</v>
      </c>
      <c r="B2" s="115"/>
      <c r="C2" s="115"/>
      <c r="D2" s="115"/>
      <c r="E2" s="115"/>
      <c r="F2" s="115"/>
      <c r="G2" s="115"/>
      <c r="H2" s="115"/>
      <c r="I2" s="115"/>
      <c r="J2" s="115"/>
      <c r="K2" s="115"/>
      <c r="L2" s="115"/>
      <c r="M2" s="115"/>
      <c r="N2" s="115"/>
      <c r="O2" s="115"/>
      <c r="P2" s="115"/>
      <c r="Q2" s="115"/>
    </row>
    <row r="3" customFormat="false" ht="24" hidden="false" customHeight="true" outlineLevel="0" collapsed="false"/>
    <row r="4" customFormat="false" ht="33.75" hidden="false" customHeight="true" outlineLevel="0" collapsed="false">
      <c r="A4" s="129" t="s">
        <v>237</v>
      </c>
      <c r="B4" s="136" t="s">
        <v>178</v>
      </c>
      <c r="C4" s="129" t="s">
        <v>16</v>
      </c>
      <c r="D4" s="129" t="s">
        <v>251</v>
      </c>
      <c r="E4" s="129" t="s">
        <v>238</v>
      </c>
      <c r="F4" s="136" t="s">
        <v>240</v>
      </c>
      <c r="G4" s="136" t="s">
        <v>239</v>
      </c>
      <c r="H4" s="136" t="s">
        <v>241</v>
      </c>
      <c r="I4" s="136" t="s">
        <v>50</v>
      </c>
      <c r="J4" s="136" t="s">
        <v>252</v>
      </c>
      <c r="K4" s="136" t="s">
        <v>253</v>
      </c>
      <c r="L4" s="136" t="s">
        <v>254</v>
      </c>
      <c r="M4" s="136" t="s">
        <v>255</v>
      </c>
      <c r="N4" s="136" t="s">
        <v>246</v>
      </c>
      <c r="O4" s="136" t="s">
        <v>247</v>
      </c>
      <c r="P4" s="136" t="s">
        <v>248</v>
      </c>
      <c r="Q4" s="129" t="s">
        <v>264</v>
      </c>
    </row>
    <row r="5" customFormat="false" ht="30" hidden="false" customHeight="true" outlineLevel="0" collapsed="false">
      <c r="A5" s="137" t="str">
        <f aca="false">IF($B5="","","AL-"&amp;TEXT(ROW()-4,"000"))</f>
        <v>AL-001</v>
      </c>
      <c r="B5" s="118" t="s">
        <v>196</v>
      </c>
      <c r="C5" s="138" t="str">
        <f aca="false">IF($B5="","",IFERROR(VLOOKUP($B5,Lists!$A:$H,2,FALSE()),"unknown ID"))</f>
        <v>2 – Top-of-Funnel Lead Gen</v>
      </c>
      <c r="D5" s="138" t="str">
        <f aca="false">IF($B5="","",IFERROR(VLOOKUP($B5,Lists!$A:$H,3,FALSE()),""))</f>
        <v>Build video-first funnel</v>
      </c>
      <c r="E5" s="139" t="str">
        <f aca="false">IF($B5="","","Alvaro Leal")</f>
        <v>Alvaro Leal</v>
      </c>
      <c r="F5" s="117" t="s">
        <v>270</v>
      </c>
      <c r="G5" s="117" t="s">
        <v>275</v>
      </c>
      <c r="H5" s="118" t="s">
        <v>267</v>
      </c>
      <c r="I5" s="118" t="s">
        <v>18</v>
      </c>
      <c r="J5" s="33" t="n">
        <v>0.3</v>
      </c>
      <c r="K5" s="119" t="n">
        <v>46157</v>
      </c>
      <c r="L5" s="119" t="n">
        <v>46193</v>
      </c>
      <c r="M5" s="117"/>
      <c r="N5" s="117"/>
      <c r="O5" s="119" t="s">
        <v>303</v>
      </c>
      <c r="P5" s="117" t="s">
        <v>352</v>
      </c>
      <c r="Q5" s="140" t="str">
        <f aca="false">IF($B5="","",HYPERLINK("#Projects!A"&amp;MATCH($B5,Projects!$A:$A,0),"Open Project"))</f>
        <v>Open Project</v>
      </c>
    </row>
    <row r="6" customFormat="false" ht="30" hidden="false" customHeight="true" outlineLevel="0" collapsed="false">
      <c r="A6" s="137" t="str">
        <f aca="false">IF($B6="","","AL-"&amp;TEXT(ROW()-4,"000"))</f>
        <v>AL-002</v>
      </c>
      <c r="B6" s="118" t="s">
        <v>187</v>
      </c>
      <c r="C6" s="138" t="str">
        <f aca="false">IF($B6="","",IFERROR(VLOOKUP($B6,Lists!$A:$H,2,FALSE()),"unknown ID"))</f>
        <v>1 – Unified Development System</v>
      </c>
      <c r="D6" s="138" t="str">
        <f aca="false">IF($B6="","",IFERROR(VLOOKUP($B6,Lists!$A:$H,3,FALSE()),""))</f>
        <v>Implement standardized Mutual Evaluation Process (MEP) across all brands</v>
      </c>
      <c r="E6" s="139" t="str">
        <f aca="false">IF($B6="","","Alvaro Leal")</f>
        <v>Alvaro Leal</v>
      </c>
      <c r="F6" s="117" t="s">
        <v>270</v>
      </c>
      <c r="G6" s="117" t="s">
        <v>271</v>
      </c>
      <c r="H6" s="118" t="s">
        <v>272</v>
      </c>
      <c r="I6" s="118" t="s">
        <v>18</v>
      </c>
      <c r="J6" s="33" t="n">
        <v>0.5</v>
      </c>
      <c r="K6" s="119" t="n">
        <v>46162</v>
      </c>
      <c r="L6" s="119" t="n">
        <v>46186</v>
      </c>
      <c r="M6" s="117"/>
      <c r="N6" s="117"/>
      <c r="O6" s="119" t="s">
        <v>273</v>
      </c>
      <c r="P6" s="117" t="s">
        <v>274</v>
      </c>
      <c r="Q6" s="140" t="str">
        <f aca="false">IF($B6="","",HYPERLINK("#Projects!A"&amp;MATCH($B6,Projects!$A:$A,0),"Open Project"))</f>
        <v>Open Project</v>
      </c>
    </row>
    <row r="7" customFormat="false" ht="30" hidden="false" customHeight="true" outlineLevel="0" collapsed="false">
      <c r="A7" s="137" t="str">
        <f aca="false">IF($B7="","","AL-"&amp;TEXT(ROW()-4,"000"))</f>
        <v>AL-003</v>
      </c>
      <c r="B7" s="118" t="s">
        <v>218</v>
      </c>
      <c r="C7" s="138" t="str">
        <f aca="false">IF($B7="","",IFERROR(VLOOKUP($B7,Lists!$A:$H,2,FALSE()),"unknown ID"))</f>
        <v>6 – Automation &amp; Content</v>
      </c>
      <c r="D7" s="138" t="str">
        <f aca="false">IF($B7="","",IFERROR(VLOOKUP($B7,Lists!$A:$H,3,FALSE()),""))</f>
        <v>Develop standardized brand overview videos</v>
      </c>
      <c r="E7" s="139" t="str">
        <f aca="false">IF($B7="","","Alvaro Leal")</f>
        <v>Alvaro Leal</v>
      </c>
      <c r="F7" s="117" t="s">
        <v>265</v>
      </c>
      <c r="G7" s="117" t="s">
        <v>278</v>
      </c>
      <c r="H7" s="118" t="s">
        <v>267</v>
      </c>
      <c r="I7" s="118" t="s">
        <v>6</v>
      </c>
      <c r="J7" s="33" t="n">
        <v>1</v>
      </c>
      <c r="K7" s="119" t="n">
        <v>46143</v>
      </c>
      <c r="L7" s="119" t="n">
        <v>46162</v>
      </c>
      <c r="M7" s="117"/>
      <c r="N7" s="117"/>
      <c r="O7" s="119" t="s">
        <v>6</v>
      </c>
      <c r="P7" s="117" t="s">
        <v>353</v>
      </c>
      <c r="Q7" s="140" t="str">
        <f aca="false">IF($B7="","",HYPERLINK("#Projects!A"&amp;MATCH($B7,Projects!$A:$A,0),"Open Project"))</f>
        <v>Open Project</v>
      </c>
    </row>
    <row r="8" customFormat="false" ht="30" hidden="false" customHeight="true" outlineLevel="0" collapsed="false">
      <c r="A8" s="137" t="str">
        <f aca="false">IF($B8="","","AL-"&amp;TEXT(ROW()-4,"000"))</f>
        <v/>
      </c>
      <c r="B8" s="118"/>
      <c r="C8" s="138" t="str">
        <f aca="false">IF($B8="","",IFERROR(VLOOKUP($B8,Lists!$A:$H,2,FALSE()),"unknown ID"))</f>
        <v/>
      </c>
      <c r="D8" s="138" t="str">
        <f aca="false">IF($B8="","",IFERROR(VLOOKUP($B8,Lists!$A:$H,3,FALSE()),""))</f>
        <v/>
      </c>
      <c r="E8" s="139" t="str">
        <f aca="false">IF($B8="","","Alvaro Leal")</f>
        <v/>
      </c>
      <c r="F8" s="117"/>
      <c r="G8" s="117"/>
      <c r="H8" s="118"/>
      <c r="I8" s="118"/>
      <c r="J8" s="33"/>
      <c r="K8" s="119"/>
      <c r="L8" s="119"/>
      <c r="M8" s="117"/>
      <c r="N8" s="117"/>
      <c r="O8" s="119"/>
      <c r="P8" s="117"/>
      <c r="Q8" s="140" t="str">
        <f aca="false">IF($B8="","",HYPERLINK("#Projects!A"&amp;MATCH($B8,Projects!$A:$A,0),"Open Project"))</f>
        <v/>
      </c>
    </row>
    <row r="9" customFormat="false" ht="30" hidden="false" customHeight="true" outlineLevel="0" collapsed="false">
      <c r="A9" s="137" t="str">
        <f aca="false">IF($B9="","","AL-"&amp;TEXT(ROW()-4,"000"))</f>
        <v/>
      </c>
      <c r="B9" s="118"/>
      <c r="C9" s="138" t="str">
        <f aca="false">IF($B9="","",IFERROR(VLOOKUP($B9,Lists!$A:$H,2,FALSE()),"unknown ID"))</f>
        <v/>
      </c>
      <c r="D9" s="138" t="str">
        <f aca="false">IF($B9="","",IFERROR(VLOOKUP($B9,Lists!$A:$H,3,FALSE()),""))</f>
        <v/>
      </c>
      <c r="E9" s="139" t="str">
        <f aca="false">IF($B9="","","Alvaro Leal")</f>
        <v/>
      </c>
      <c r="F9" s="117"/>
      <c r="G9" s="117"/>
      <c r="H9" s="118"/>
      <c r="I9" s="118"/>
      <c r="J9" s="33"/>
      <c r="K9" s="119"/>
      <c r="L9" s="119"/>
      <c r="M9" s="117"/>
      <c r="N9" s="117"/>
      <c r="O9" s="119"/>
      <c r="P9" s="117"/>
      <c r="Q9" s="140" t="str">
        <f aca="false">IF($B9="","",HYPERLINK("#Projects!A"&amp;MATCH($B9,Projects!$A:$A,0),"Open Project"))</f>
        <v/>
      </c>
    </row>
    <row r="10" customFormat="false" ht="30" hidden="false" customHeight="true" outlineLevel="0" collapsed="false">
      <c r="A10" s="137" t="str">
        <f aca="false">IF($B10="","","AL-"&amp;TEXT(ROW()-4,"000"))</f>
        <v/>
      </c>
      <c r="B10" s="118"/>
      <c r="C10" s="138" t="str">
        <f aca="false">IF($B10="","",IFERROR(VLOOKUP($B10,Lists!$A:$H,2,FALSE()),"unknown ID"))</f>
        <v/>
      </c>
      <c r="D10" s="138" t="str">
        <f aca="false">IF($B10="","",IFERROR(VLOOKUP($B10,Lists!$A:$H,3,FALSE()),""))</f>
        <v/>
      </c>
      <c r="E10" s="139" t="str">
        <f aca="false">IF($B10="","","Alvaro Leal")</f>
        <v/>
      </c>
      <c r="F10" s="117"/>
      <c r="G10" s="117"/>
      <c r="H10" s="118"/>
      <c r="I10" s="118"/>
      <c r="J10" s="33"/>
      <c r="K10" s="119"/>
      <c r="L10" s="119"/>
      <c r="M10" s="117"/>
      <c r="N10" s="117"/>
      <c r="O10" s="119"/>
      <c r="P10" s="117"/>
      <c r="Q10" s="140" t="str">
        <f aca="false">IF($B10="","",HYPERLINK("#Projects!A"&amp;MATCH($B10,Projects!$A:$A,0),"Open Project"))</f>
        <v/>
      </c>
    </row>
    <row r="11" customFormat="false" ht="30" hidden="false" customHeight="true" outlineLevel="0" collapsed="false">
      <c r="A11" s="137" t="str">
        <f aca="false">IF($B11="","","AL-"&amp;TEXT(ROW()-4,"000"))</f>
        <v/>
      </c>
      <c r="B11" s="118"/>
      <c r="C11" s="138" t="str">
        <f aca="false">IF($B11="","",IFERROR(VLOOKUP($B11,Lists!$A:$H,2,FALSE()),"unknown ID"))</f>
        <v/>
      </c>
      <c r="D11" s="138" t="str">
        <f aca="false">IF($B11="","",IFERROR(VLOOKUP($B11,Lists!$A:$H,3,FALSE()),""))</f>
        <v/>
      </c>
      <c r="E11" s="139" t="str">
        <f aca="false">IF($B11="","","Alvaro Leal")</f>
        <v/>
      </c>
      <c r="F11" s="117"/>
      <c r="G11" s="117"/>
      <c r="H11" s="118"/>
      <c r="I11" s="118"/>
      <c r="J11" s="33"/>
      <c r="K11" s="119"/>
      <c r="L11" s="119"/>
      <c r="M11" s="117"/>
      <c r="N11" s="117"/>
      <c r="O11" s="119"/>
      <c r="P11" s="117"/>
      <c r="Q11" s="140" t="str">
        <f aca="false">IF($B11="","",HYPERLINK("#Projects!A"&amp;MATCH($B11,Projects!$A:$A,0),"Open Project"))</f>
        <v/>
      </c>
    </row>
    <row r="12" customFormat="false" ht="30" hidden="false" customHeight="true" outlineLevel="0" collapsed="false">
      <c r="A12" s="137" t="str">
        <f aca="false">IF($B12="","","AL-"&amp;TEXT(ROW()-4,"000"))</f>
        <v/>
      </c>
      <c r="B12" s="118"/>
      <c r="C12" s="138" t="str">
        <f aca="false">IF($B12="","",IFERROR(VLOOKUP($B12,Lists!$A:$H,2,FALSE()),"unknown ID"))</f>
        <v/>
      </c>
      <c r="D12" s="138" t="str">
        <f aca="false">IF($B12="","",IFERROR(VLOOKUP($B12,Lists!$A:$H,3,FALSE()),""))</f>
        <v/>
      </c>
      <c r="E12" s="139" t="str">
        <f aca="false">IF($B12="","","Alvaro Leal")</f>
        <v/>
      </c>
      <c r="F12" s="117"/>
      <c r="G12" s="117"/>
      <c r="H12" s="118"/>
      <c r="I12" s="118"/>
      <c r="J12" s="33"/>
      <c r="K12" s="119"/>
      <c r="L12" s="119"/>
      <c r="M12" s="117"/>
      <c r="N12" s="117"/>
      <c r="O12" s="119"/>
      <c r="P12" s="117"/>
      <c r="Q12" s="140" t="str">
        <f aca="false">IF($B12="","",HYPERLINK("#Projects!A"&amp;MATCH($B12,Projects!$A:$A,0),"Open Project"))</f>
        <v/>
      </c>
    </row>
    <row r="13" customFormat="false" ht="30" hidden="false" customHeight="true" outlineLevel="0" collapsed="false">
      <c r="A13" s="137" t="str">
        <f aca="false">IF($B13="","","AL-"&amp;TEXT(ROW()-4,"000"))</f>
        <v/>
      </c>
      <c r="B13" s="118"/>
      <c r="C13" s="138" t="str">
        <f aca="false">IF($B13="","",IFERROR(VLOOKUP($B13,Lists!$A:$H,2,FALSE()),"unknown ID"))</f>
        <v/>
      </c>
      <c r="D13" s="138" t="str">
        <f aca="false">IF($B13="","",IFERROR(VLOOKUP($B13,Lists!$A:$H,3,FALSE()),""))</f>
        <v/>
      </c>
      <c r="E13" s="139" t="str">
        <f aca="false">IF($B13="","","Alvaro Leal")</f>
        <v/>
      </c>
      <c r="F13" s="117"/>
      <c r="G13" s="117"/>
      <c r="H13" s="118"/>
      <c r="I13" s="118"/>
      <c r="J13" s="33"/>
      <c r="K13" s="119"/>
      <c r="L13" s="119"/>
      <c r="M13" s="117"/>
      <c r="N13" s="117"/>
      <c r="O13" s="119"/>
      <c r="P13" s="117"/>
      <c r="Q13" s="140" t="str">
        <f aca="false">IF($B13="","",HYPERLINK("#Projects!A"&amp;MATCH($B13,Projects!$A:$A,0),"Open Project"))</f>
        <v/>
      </c>
    </row>
    <row r="14" customFormat="false" ht="30" hidden="false" customHeight="true" outlineLevel="0" collapsed="false">
      <c r="A14" s="137" t="str">
        <f aca="false">IF($B14="","","AL-"&amp;TEXT(ROW()-4,"000"))</f>
        <v/>
      </c>
      <c r="B14" s="118"/>
      <c r="C14" s="138" t="str">
        <f aca="false">IF($B14="","",IFERROR(VLOOKUP($B14,Lists!$A:$H,2,FALSE()),"unknown ID"))</f>
        <v/>
      </c>
      <c r="D14" s="138" t="str">
        <f aca="false">IF($B14="","",IFERROR(VLOOKUP($B14,Lists!$A:$H,3,FALSE()),""))</f>
        <v/>
      </c>
      <c r="E14" s="139" t="str">
        <f aca="false">IF($B14="","","Alvaro Leal")</f>
        <v/>
      </c>
      <c r="F14" s="117"/>
      <c r="G14" s="117"/>
      <c r="H14" s="118"/>
      <c r="I14" s="118"/>
      <c r="J14" s="33"/>
      <c r="K14" s="119"/>
      <c r="L14" s="119"/>
      <c r="M14" s="117"/>
      <c r="N14" s="117"/>
      <c r="O14" s="119"/>
      <c r="P14" s="117"/>
      <c r="Q14" s="140" t="str">
        <f aca="false">IF($B14="","",HYPERLINK("#Projects!A"&amp;MATCH($B14,Projects!$A:$A,0),"Open Project"))</f>
        <v/>
      </c>
    </row>
    <row r="15" customFormat="false" ht="30" hidden="false" customHeight="true" outlineLevel="0" collapsed="false">
      <c r="A15" s="137" t="str">
        <f aca="false">IF($B15="","","AL-"&amp;TEXT(ROW()-4,"000"))</f>
        <v/>
      </c>
      <c r="B15" s="118"/>
      <c r="C15" s="138" t="str">
        <f aca="false">IF($B15="","",IFERROR(VLOOKUP($B15,Lists!$A:$H,2,FALSE()),"unknown ID"))</f>
        <v/>
      </c>
      <c r="D15" s="138" t="str">
        <f aca="false">IF($B15="","",IFERROR(VLOOKUP($B15,Lists!$A:$H,3,FALSE()),""))</f>
        <v/>
      </c>
      <c r="E15" s="139" t="str">
        <f aca="false">IF($B15="","","Alvaro Leal")</f>
        <v/>
      </c>
      <c r="F15" s="117"/>
      <c r="G15" s="117"/>
      <c r="H15" s="118"/>
      <c r="I15" s="118"/>
      <c r="J15" s="33"/>
      <c r="K15" s="119"/>
      <c r="L15" s="119"/>
      <c r="M15" s="117"/>
      <c r="N15" s="117"/>
      <c r="O15" s="119"/>
      <c r="P15" s="117"/>
      <c r="Q15" s="140" t="str">
        <f aca="false">IF($B15="","",HYPERLINK("#Projects!A"&amp;MATCH($B15,Projects!$A:$A,0),"Open Project"))</f>
        <v/>
      </c>
    </row>
    <row r="16" customFormat="false" ht="30" hidden="false" customHeight="true" outlineLevel="0" collapsed="false">
      <c r="A16" s="137" t="str">
        <f aca="false">IF($B16="","","AL-"&amp;TEXT(ROW()-4,"000"))</f>
        <v/>
      </c>
      <c r="B16" s="118"/>
      <c r="C16" s="138" t="str">
        <f aca="false">IF($B16="","",IFERROR(VLOOKUP($B16,Lists!$A:$H,2,FALSE()),"unknown ID"))</f>
        <v/>
      </c>
      <c r="D16" s="138" t="str">
        <f aca="false">IF($B16="","",IFERROR(VLOOKUP($B16,Lists!$A:$H,3,FALSE()),""))</f>
        <v/>
      </c>
      <c r="E16" s="139" t="str">
        <f aca="false">IF($B16="","","Alvaro Leal")</f>
        <v/>
      </c>
      <c r="F16" s="117"/>
      <c r="G16" s="117"/>
      <c r="H16" s="118"/>
      <c r="I16" s="118"/>
      <c r="J16" s="33"/>
      <c r="K16" s="119"/>
      <c r="L16" s="119"/>
      <c r="M16" s="117"/>
      <c r="N16" s="117"/>
      <c r="O16" s="119"/>
      <c r="P16" s="117"/>
      <c r="Q16" s="140" t="str">
        <f aca="false">IF($B16="","",HYPERLINK("#Projects!A"&amp;MATCH($B16,Projects!$A:$A,0),"Open Project"))</f>
        <v/>
      </c>
    </row>
    <row r="17" customFormat="false" ht="30" hidden="false" customHeight="true" outlineLevel="0" collapsed="false">
      <c r="A17" s="137" t="str">
        <f aca="false">IF($B17="","","AL-"&amp;TEXT(ROW()-4,"000"))</f>
        <v/>
      </c>
      <c r="B17" s="118"/>
      <c r="C17" s="138" t="str">
        <f aca="false">IF($B17="","",IFERROR(VLOOKUP($B17,Lists!$A:$H,2,FALSE()),"unknown ID"))</f>
        <v/>
      </c>
      <c r="D17" s="138" t="str">
        <f aca="false">IF($B17="","",IFERROR(VLOOKUP($B17,Lists!$A:$H,3,FALSE()),""))</f>
        <v/>
      </c>
      <c r="E17" s="139" t="str">
        <f aca="false">IF($B17="","","Alvaro Leal")</f>
        <v/>
      </c>
      <c r="F17" s="117"/>
      <c r="G17" s="117"/>
      <c r="H17" s="118"/>
      <c r="I17" s="118"/>
      <c r="J17" s="33"/>
      <c r="K17" s="119"/>
      <c r="L17" s="119"/>
      <c r="M17" s="117"/>
      <c r="N17" s="117"/>
      <c r="O17" s="119"/>
      <c r="P17" s="117"/>
      <c r="Q17" s="140" t="str">
        <f aca="false">IF($B17="","",HYPERLINK("#Projects!A"&amp;MATCH($B17,Projects!$A:$A,0),"Open Project"))</f>
        <v/>
      </c>
    </row>
    <row r="18" customFormat="false" ht="30" hidden="false" customHeight="true" outlineLevel="0" collapsed="false">
      <c r="A18" s="137" t="str">
        <f aca="false">IF($B18="","","AL-"&amp;TEXT(ROW()-4,"000"))</f>
        <v/>
      </c>
      <c r="B18" s="118"/>
      <c r="C18" s="138" t="str">
        <f aca="false">IF($B18="","",IFERROR(VLOOKUP($B18,Lists!$A:$H,2,FALSE()),"unknown ID"))</f>
        <v/>
      </c>
      <c r="D18" s="138" t="str">
        <f aca="false">IF($B18="","",IFERROR(VLOOKUP($B18,Lists!$A:$H,3,FALSE()),""))</f>
        <v/>
      </c>
      <c r="E18" s="139" t="str">
        <f aca="false">IF($B18="","","Alvaro Leal")</f>
        <v/>
      </c>
      <c r="F18" s="117"/>
      <c r="G18" s="117"/>
      <c r="H18" s="118"/>
      <c r="I18" s="118"/>
      <c r="J18" s="33"/>
      <c r="K18" s="119"/>
      <c r="L18" s="119"/>
      <c r="M18" s="117"/>
      <c r="N18" s="117"/>
      <c r="O18" s="119"/>
      <c r="P18" s="117"/>
      <c r="Q18" s="140" t="str">
        <f aca="false">IF($B18="","",HYPERLINK("#Projects!A"&amp;MATCH($B18,Projects!$A:$A,0),"Open Project"))</f>
        <v/>
      </c>
    </row>
    <row r="19" customFormat="false" ht="30" hidden="false" customHeight="true" outlineLevel="0" collapsed="false">
      <c r="A19" s="137" t="str">
        <f aca="false">IF($B19="","","AL-"&amp;TEXT(ROW()-4,"000"))</f>
        <v/>
      </c>
      <c r="B19" s="118"/>
      <c r="C19" s="138" t="str">
        <f aca="false">IF($B19="","",IFERROR(VLOOKUP($B19,Lists!$A:$H,2,FALSE()),"unknown ID"))</f>
        <v/>
      </c>
      <c r="D19" s="138" t="str">
        <f aca="false">IF($B19="","",IFERROR(VLOOKUP($B19,Lists!$A:$H,3,FALSE()),""))</f>
        <v/>
      </c>
      <c r="E19" s="139" t="str">
        <f aca="false">IF($B19="","","Alvaro Leal")</f>
        <v/>
      </c>
      <c r="F19" s="117"/>
      <c r="G19" s="117"/>
      <c r="H19" s="118"/>
      <c r="I19" s="118"/>
      <c r="J19" s="33"/>
      <c r="K19" s="119"/>
      <c r="L19" s="119"/>
      <c r="M19" s="117"/>
      <c r="N19" s="117"/>
      <c r="O19" s="119"/>
      <c r="P19" s="117"/>
      <c r="Q19" s="140" t="str">
        <f aca="false">IF($B19="","",HYPERLINK("#Projects!A"&amp;MATCH($B19,Projects!$A:$A,0),"Open Project"))</f>
        <v/>
      </c>
    </row>
    <row r="20" customFormat="false" ht="30" hidden="false" customHeight="true" outlineLevel="0" collapsed="false">
      <c r="A20" s="137" t="str">
        <f aca="false">IF($B20="","","AL-"&amp;TEXT(ROW()-4,"000"))</f>
        <v/>
      </c>
      <c r="B20" s="118"/>
      <c r="C20" s="138" t="str">
        <f aca="false">IF($B20="","",IFERROR(VLOOKUP($B20,Lists!$A:$H,2,FALSE()),"unknown ID"))</f>
        <v/>
      </c>
      <c r="D20" s="138" t="str">
        <f aca="false">IF($B20="","",IFERROR(VLOOKUP($B20,Lists!$A:$H,3,FALSE()),""))</f>
        <v/>
      </c>
      <c r="E20" s="139" t="str">
        <f aca="false">IF($B20="","","Alvaro Leal")</f>
        <v/>
      </c>
      <c r="F20" s="117"/>
      <c r="G20" s="117"/>
      <c r="H20" s="118"/>
      <c r="I20" s="118"/>
      <c r="J20" s="33"/>
      <c r="K20" s="119"/>
      <c r="L20" s="119"/>
      <c r="M20" s="117"/>
      <c r="N20" s="117"/>
      <c r="O20" s="119"/>
      <c r="P20" s="117"/>
      <c r="Q20" s="140" t="str">
        <f aca="false">IF($B20="","",HYPERLINK("#Projects!A"&amp;MATCH($B20,Projects!$A:$A,0),"Open Project"))</f>
        <v/>
      </c>
    </row>
    <row r="21" customFormat="false" ht="30" hidden="false" customHeight="true" outlineLevel="0" collapsed="false">
      <c r="A21" s="137" t="str">
        <f aca="false">IF($B21="","","AL-"&amp;TEXT(ROW()-4,"000"))</f>
        <v/>
      </c>
      <c r="B21" s="118"/>
      <c r="C21" s="138" t="str">
        <f aca="false">IF($B21="","",IFERROR(VLOOKUP($B21,Lists!$A:$H,2,FALSE()),"unknown ID"))</f>
        <v/>
      </c>
      <c r="D21" s="138" t="str">
        <f aca="false">IF($B21="","",IFERROR(VLOOKUP($B21,Lists!$A:$H,3,FALSE()),""))</f>
        <v/>
      </c>
      <c r="E21" s="139" t="str">
        <f aca="false">IF($B21="","","Alvaro Leal")</f>
        <v/>
      </c>
      <c r="F21" s="117"/>
      <c r="G21" s="117"/>
      <c r="H21" s="118"/>
      <c r="I21" s="118"/>
      <c r="J21" s="33"/>
      <c r="K21" s="119"/>
      <c r="L21" s="119"/>
      <c r="M21" s="117"/>
      <c r="N21" s="117"/>
      <c r="O21" s="119"/>
      <c r="P21" s="117"/>
      <c r="Q21" s="140" t="str">
        <f aca="false">IF($B21="","",HYPERLINK("#Projects!A"&amp;MATCH($B21,Projects!$A:$A,0),"Open Project"))</f>
        <v/>
      </c>
    </row>
    <row r="22" customFormat="false" ht="30" hidden="false" customHeight="true" outlineLevel="0" collapsed="false">
      <c r="A22" s="137" t="str">
        <f aca="false">IF($B22="","","AL-"&amp;TEXT(ROW()-4,"000"))</f>
        <v/>
      </c>
      <c r="B22" s="118"/>
      <c r="C22" s="138" t="str">
        <f aca="false">IF($B22="","",IFERROR(VLOOKUP($B22,Lists!$A:$H,2,FALSE()),"unknown ID"))</f>
        <v/>
      </c>
      <c r="D22" s="138" t="str">
        <f aca="false">IF($B22="","",IFERROR(VLOOKUP($B22,Lists!$A:$H,3,FALSE()),""))</f>
        <v/>
      </c>
      <c r="E22" s="139" t="str">
        <f aca="false">IF($B22="","","Alvaro Leal")</f>
        <v/>
      </c>
      <c r="F22" s="117"/>
      <c r="G22" s="117"/>
      <c r="H22" s="118"/>
      <c r="I22" s="118"/>
      <c r="J22" s="33"/>
      <c r="K22" s="119"/>
      <c r="L22" s="119"/>
      <c r="M22" s="117"/>
      <c r="N22" s="117"/>
      <c r="O22" s="119"/>
      <c r="P22" s="117"/>
      <c r="Q22" s="140" t="str">
        <f aca="false">IF($B22="","",HYPERLINK("#Projects!A"&amp;MATCH($B22,Projects!$A:$A,0),"Open Project"))</f>
        <v/>
      </c>
    </row>
    <row r="23" customFormat="false" ht="30" hidden="false" customHeight="true" outlineLevel="0" collapsed="false">
      <c r="A23" s="137" t="str">
        <f aca="false">IF($B23="","","AL-"&amp;TEXT(ROW()-4,"000"))</f>
        <v/>
      </c>
      <c r="B23" s="118"/>
      <c r="C23" s="138" t="str">
        <f aca="false">IF($B23="","",IFERROR(VLOOKUP($B23,Lists!$A:$H,2,FALSE()),"unknown ID"))</f>
        <v/>
      </c>
      <c r="D23" s="138" t="str">
        <f aca="false">IF($B23="","",IFERROR(VLOOKUP($B23,Lists!$A:$H,3,FALSE()),""))</f>
        <v/>
      </c>
      <c r="E23" s="139" t="str">
        <f aca="false">IF($B23="","","Alvaro Leal")</f>
        <v/>
      </c>
      <c r="F23" s="117"/>
      <c r="G23" s="117"/>
      <c r="H23" s="118"/>
      <c r="I23" s="118"/>
      <c r="J23" s="33"/>
      <c r="K23" s="119"/>
      <c r="L23" s="119"/>
      <c r="M23" s="117"/>
      <c r="N23" s="117"/>
      <c r="O23" s="119"/>
      <c r="P23" s="117"/>
      <c r="Q23" s="140" t="str">
        <f aca="false">IF($B23="","",HYPERLINK("#Projects!A"&amp;MATCH($B23,Projects!$A:$A,0),"Open Project"))</f>
        <v/>
      </c>
    </row>
    <row r="24" customFormat="false" ht="30" hidden="false" customHeight="true" outlineLevel="0" collapsed="false">
      <c r="A24" s="137" t="str">
        <f aca="false">IF($B24="","","AL-"&amp;TEXT(ROW()-4,"000"))</f>
        <v/>
      </c>
      <c r="B24" s="118"/>
      <c r="C24" s="138" t="str">
        <f aca="false">IF($B24="","",IFERROR(VLOOKUP($B24,Lists!$A:$H,2,FALSE()),"unknown ID"))</f>
        <v/>
      </c>
      <c r="D24" s="138" t="str">
        <f aca="false">IF($B24="","",IFERROR(VLOOKUP($B24,Lists!$A:$H,3,FALSE()),""))</f>
        <v/>
      </c>
      <c r="E24" s="139" t="str">
        <f aca="false">IF($B24="","","Alvaro Leal")</f>
        <v/>
      </c>
      <c r="F24" s="117"/>
      <c r="G24" s="117"/>
      <c r="H24" s="118"/>
      <c r="I24" s="118"/>
      <c r="J24" s="33"/>
      <c r="K24" s="119"/>
      <c r="L24" s="119"/>
      <c r="M24" s="117"/>
      <c r="N24" s="117"/>
      <c r="O24" s="119"/>
      <c r="P24" s="117"/>
      <c r="Q24" s="140" t="str">
        <f aca="false">IF($B24="","",HYPERLINK("#Projects!A"&amp;MATCH($B24,Projects!$A:$A,0),"Open Project"))</f>
        <v/>
      </c>
    </row>
    <row r="25" customFormat="false" ht="30" hidden="false" customHeight="true" outlineLevel="0" collapsed="false">
      <c r="A25" s="137" t="str">
        <f aca="false">IF($B25="","","AL-"&amp;TEXT(ROW()-4,"000"))</f>
        <v/>
      </c>
      <c r="B25" s="118"/>
      <c r="C25" s="138" t="str">
        <f aca="false">IF($B25="","",IFERROR(VLOOKUP($B25,Lists!$A:$H,2,FALSE()),"unknown ID"))</f>
        <v/>
      </c>
      <c r="D25" s="138" t="str">
        <f aca="false">IF($B25="","",IFERROR(VLOOKUP($B25,Lists!$A:$H,3,FALSE()),""))</f>
        <v/>
      </c>
      <c r="E25" s="139" t="str">
        <f aca="false">IF($B25="","","Alvaro Leal")</f>
        <v/>
      </c>
      <c r="F25" s="117"/>
      <c r="G25" s="117"/>
      <c r="H25" s="118"/>
      <c r="I25" s="118"/>
      <c r="J25" s="33"/>
      <c r="K25" s="119"/>
      <c r="L25" s="119"/>
      <c r="M25" s="117"/>
      <c r="N25" s="117"/>
      <c r="O25" s="119"/>
      <c r="P25" s="117"/>
      <c r="Q25" s="140" t="str">
        <f aca="false">IF($B25="","",HYPERLINK("#Projects!A"&amp;MATCH($B25,Projects!$A:$A,0),"Open Project"))</f>
        <v/>
      </c>
    </row>
    <row r="26" customFormat="false" ht="30" hidden="false" customHeight="true" outlineLevel="0" collapsed="false">
      <c r="A26" s="137" t="str">
        <f aca="false">IF($B26="","","AL-"&amp;TEXT(ROW()-4,"000"))</f>
        <v/>
      </c>
      <c r="B26" s="118"/>
      <c r="C26" s="138" t="str">
        <f aca="false">IF($B26="","",IFERROR(VLOOKUP($B26,Lists!$A:$H,2,FALSE()),"unknown ID"))</f>
        <v/>
      </c>
      <c r="D26" s="138" t="str">
        <f aca="false">IF($B26="","",IFERROR(VLOOKUP($B26,Lists!$A:$H,3,FALSE()),""))</f>
        <v/>
      </c>
      <c r="E26" s="139" t="str">
        <f aca="false">IF($B26="","","Alvaro Leal")</f>
        <v/>
      </c>
      <c r="F26" s="117"/>
      <c r="G26" s="117"/>
      <c r="H26" s="118"/>
      <c r="I26" s="118"/>
      <c r="J26" s="33"/>
      <c r="K26" s="119"/>
      <c r="L26" s="119"/>
      <c r="M26" s="117"/>
      <c r="N26" s="117"/>
      <c r="O26" s="119"/>
      <c r="P26" s="117"/>
      <c r="Q26" s="140" t="str">
        <f aca="false">IF($B26="","",HYPERLINK("#Projects!A"&amp;MATCH($B26,Projects!$A:$A,0),"Open Project"))</f>
        <v/>
      </c>
    </row>
    <row r="27" customFormat="false" ht="30" hidden="false" customHeight="true" outlineLevel="0" collapsed="false">
      <c r="A27" s="137" t="str">
        <f aca="false">IF($B27="","","AL-"&amp;TEXT(ROW()-4,"000"))</f>
        <v/>
      </c>
      <c r="B27" s="118"/>
      <c r="C27" s="138" t="str">
        <f aca="false">IF($B27="","",IFERROR(VLOOKUP($B27,Lists!$A:$H,2,FALSE()),"unknown ID"))</f>
        <v/>
      </c>
      <c r="D27" s="138" t="str">
        <f aca="false">IF($B27="","",IFERROR(VLOOKUP($B27,Lists!$A:$H,3,FALSE()),""))</f>
        <v/>
      </c>
      <c r="E27" s="139" t="str">
        <f aca="false">IF($B27="","","Alvaro Leal")</f>
        <v/>
      </c>
      <c r="F27" s="117"/>
      <c r="G27" s="117"/>
      <c r="H27" s="118"/>
      <c r="I27" s="118"/>
      <c r="J27" s="33"/>
      <c r="K27" s="119"/>
      <c r="L27" s="119"/>
      <c r="M27" s="117"/>
      <c r="N27" s="117"/>
      <c r="O27" s="119"/>
      <c r="P27" s="117"/>
      <c r="Q27" s="140" t="str">
        <f aca="false">IF($B27="","",HYPERLINK("#Projects!A"&amp;MATCH($B27,Projects!$A:$A,0),"Open Project"))</f>
        <v/>
      </c>
    </row>
    <row r="28" customFormat="false" ht="30" hidden="false" customHeight="true" outlineLevel="0" collapsed="false">
      <c r="A28" s="137" t="str">
        <f aca="false">IF($B28="","","AL-"&amp;TEXT(ROW()-4,"000"))</f>
        <v/>
      </c>
      <c r="B28" s="118"/>
      <c r="C28" s="138" t="str">
        <f aca="false">IF($B28="","",IFERROR(VLOOKUP($B28,Lists!$A:$H,2,FALSE()),"unknown ID"))</f>
        <v/>
      </c>
      <c r="D28" s="138" t="str">
        <f aca="false">IF($B28="","",IFERROR(VLOOKUP($B28,Lists!$A:$H,3,FALSE()),""))</f>
        <v/>
      </c>
      <c r="E28" s="139" t="str">
        <f aca="false">IF($B28="","","Alvaro Leal")</f>
        <v/>
      </c>
      <c r="F28" s="117"/>
      <c r="G28" s="117"/>
      <c r="H28" s="118"/>
      <c r="I28" s="118"/>
      <c r="J28" s="33"/>
      <c r="K28" s="119"/>
      <c r="L28" s="119"/>
      <c r="M28" s="117"/>
      <c r="N28" s="117"/>
      <c r="O28" s="119"/>
      <c r="P28" s="117"/>
      <c r="Q28" s="140" t="str">
        <f aca="false">IF($B28="","",HYPERLINK("#Projects!A"&amp;MATCH($B28,Projects!$A:$A,0),"Open Project"))</f>
        <v/>
      </c>
    </row>
    <row r="29" customFormat="false" ht="30" hidden="false" customHeight="true" outlineLevel="0" collapsed="false">
      <c r="A29" s="137" t="str">
        <f aca="false">IF($B29="","","AL-"&amp;TEXT(ROW()-4,"000"))</f>
        <v/>
      </c>
      <c r="B29" s="118"/>
      <c r="C29" s="138" t="str">
        <f aca="false">IF($B29="","",IFERROR(VLOOKUP($B29,Lists!$A:$H,2,FALSE()),"unknown ID"))</f>
        <v/>
      </c>
      <c r="D29" s="138" t="str">
        <f aca="false">IF($B29="","",IFERROR(VLOOKUP($B29,Lists!$A:$H,3,FALSE()),""))</f>
        <v/>
      </c>
      <c r="E29" s="139" t="str">
        <f aca="false">IF($B29="","","Alvaro Leal")</f>
        <v/>
      </c>
      <c r="F29" s="117"/>
      <c r="G29" s="117"/>
      <c r="H29" s="118"/>
      <c r="I29" s="118"/>
      <c r="J29" s="33"/>
      <c r="K29" s="119"/>
      <c r="L29" s="119"/>
      <c r="M29" s="117"/>
      <c r="N29" s="117"/>
      <c r="O29" s="119"/>
      <c r="P29" s="117"/>
      <c r="Q29" s="140" t="str">
        <f aca="false">IF($B29="","",HYPERLINK("#Projects!A"&amp;MATCH($B29,Projects!$A:$A,0),"Open Project"))</f>
        <v/>
      </c>
    </row>
    <row r="30" customFormat="false" ht="30" hidden="false" customHeight="true" outlineLevel="0" collapsed="false">
      <c r="A30" s="137" t="str">
        <f aca="false">IF($B30="","","AL-"&amp;TEXT(ROW()-4,"000"))</f>
        <v/>
      </c>
      <c r="B30" s="118"/>
      <c r="C30" s="138" t="str">
        <f aca="false">IF($B30="","",IFERROR(VLOOKUP($B30,Lists!$A:$H,2,FALSE()),"unknown ID"))</f>
        <v/>
      </c>
      <c r="D30" s="138" t="str">
        <f aca="false">IF($B30="","",IFERROR(VLOOKUP($B30,Lists!$A:$H,3,FALSE()),""))</f>
        <v/>
      </c>
      <c r="E30" s="139" t="str">
        <f aca="false">IF($B30="","","Alvaro Leal")</f>
        <v/>
      </c>
      <c r="F30" s="117"/>
      <c r="G30" s="117"/>
      <c r="H30" s="118"/>
      <c r="I30" s="118"/>
      <c r="J30" s="33"/>
      <c r="K30" s="119"/>
      <c r="L30" s="119"/>
      <c r="M30" s="117"/>
      <c r="N30" s="117"/>
      <c r="O30" s="119"/>
      <c r="P30" s="117"/>
      <c r="Q30" s="140" t="str">
        <f aca="false">IF($B30="","",HYPERLINK("#Projects!A"&amp;MATCH($B30,Projects!$A:$A,0),"Open Project"))</f>
        <v/>
      </c>
    </row>
    <row r="31" customFormat="false" ht="30" hidden="false" customHeight="true" outlineLevel="0" collapsed="false">
      <c r="A31" s="137" t="str">
        <f aca="false">IF($B31="","","AL-"&amp;TEXT(ROW()-4,"000"))</f>
        <v/>
      </c>
      <c r="B31" s="118"/>
      <c r="C31" s="138" t="str">
        <f aca="false">IF($B31="","",IFERROR(VLOOKUP($B31,Lists!$A:$H,2,FALSE()),"unknown ID"))</f>
        <v/>
      </c>
      <c r="D31" s="138" t="str">
        <f aca="false">IF($B31="","",IFERROR(VLOOKUP($B31,Lists!$A:$H,3,FALSE()),""))</f>
        <v/>
      </c>
      <c r="E31" s="139" t="str">
        <f aca="false">IF($B31="","","Alvaro Leal")</f>
        <v/>
      </c>
      <c r="F31" s="117"/>
      <c r="G31" s="117"/>
      <c r="H31" s="118"/>
      <c r="I31" s="118"/>
      <c r="J31" s="33"/>
      <c r="K31" s="119"/>
      <c r="L31" s="119"/>
      <c r="M31" s="117"/>
      <c r="N31" s="117"/>
      <c r="O31" s="119"/>
      <c r="P31" s="117"/>
      <c r="Q31" s="140" t="str">
        <f aca="false">IF($B31="","",HYPERLINK("#Projects!A"&amp;MATCH($B31,Projects!$A:$A,0),"Open Project"))</f>
        <v/>
      </c>
    </row>
    <row r="32" customFormat="false" ht="30" hidden="false" customHeight="true" outlineLevel="0" collapsed="false">
      <c r="A32" s="137" t="str">
        <f aca="false">IF($B32="","","AL-"&amp;TEXT(ROW()-4,"000"))</f>
        <v/>
      </c>
      <c r="B32" s="118"/>
      <c r="C32" s="138" t="str">
        <f aca="false">IF($B32="","",IFERROR(VLOOKUP($B32,Lists!$A:$H,2,FALSE()),"unknown ID"))</f>
        <v/>
      </c>
      <c r="D32" s="138" t="str">
        <f aca="false">IF($B32="","",IFERROR(VLOOKUP($B32,Lists!$A:$H,3,FALSE()),""))</f>
        <v/>
      </c>
      <c r="E32" s="139" t="str">
        <f aca="false">IF($B32="","","Alvaro Leal")</f>
        <v/>
      </c>
      <c r="F32" s="117"/>
      <c r="G32" s="117"/>
      <c r="H32" s="118"/>
      <c r="I32" s="118"/>
      <c r="J32" s="33"/>
      <c r="K32" s="119"/>
      <c r="L32" s="119"/>
      <c r="M32" s="117"/>
      <c r="N32" s="117"/>
      <c r="O32" s="119"/>
      <c r="P32" s="117"/>
      <c r="Q32" s="140" t="str">
        <f aca="false">IF($B32="","",HYPERLINK("#Projects!A"&amp;MATCH($B32,Projects!$A:$A,0),"Open Project"))</f>
        <v/>
      </c>
    </row>
    <row r="33" customFormat="false" ht="30" hidden="false" customHeight="true" outlineLevel="0" collapsed="false">
      <c r="A33" s="137" t="str">
        <f aca="false">IF($B33="","","AL-"&amp;TEXT(ROW()-4,"000"))</f>
        <v/>
      </c>
      <c r="B33" s="118"/>
      <c r="C33" s="138" t="str">
        <f aca="false">IF($B33="","",IFERROR(VLOOKUP($B33,Lists!$A:$H,2,FALSE()),"unknown ID"))</f>
        <v/>
      </c>
      <c r="D33" s="138" t="str">
        <f aca="false">IF($B33="","",IFERROR(VLOOKUP($B33,Lists!$A:$H,3,FALSE()),""))</f>
        <v/>
      </c>
      <c r="E33" s="139" t="str">
        <f aca="false">IF($B33="","","Alvaro Leal")</f>
        <v/>
      </c>
      <c r="F33" s="117"/>
      <c r="G33" s="117"/>
      <c r="H33" s="118"/>
      <c r="I33" s="118"/>
      <c r="J33" s="33"/>
      <c r="K33" s="119"/>
      <c r="L33" s="119"/>
      <c r="M33" s="117"/>
      <c r="N33" s="117"/>
      <c r="O33" s="119"/>
      <c r="P33" s="117"/>
      <c r="Q33" s="140" t="str">
        <f aca="false">IF($B33="","",HYPERLINK("#Projects!A"&amp;MATCH($B33,Projects!$A:$A,0),"Open Project"))</f>
        <v/>
      </c>
    </row>
    <row r="34" customFormat="false" ht="30" hidden="false" customHeight="true" outlineLevel="0" collapsed="false">
      <c r="A34" s="137" t="str">
        <f aca="false">IF($B34="","","AL-"&amp;TEXT(ROW()-4,"000"))</f>
        <v/>
      </c>
      <c r="B34" s="118"/>
      <c r="C34" s="138" t="str">
        <f aca="false">IF($B34="","",IFERROR(VLOOKUP($B34,Lists!$A:$H,2,FALSE()),"unknown ID"))</f>
        <v/>
      </c>
      <c r="D34" s="138" t="str">
        <f aca="false">IF($B34="","",IFERROR(VLOOKUP($B34,Lists!$A:$H,3,FALSE()),""))</f>
        <v/>
      </c>
      <c r="E34" s="139" t="str">
        <f aca="false">IF($B34="","","Alvaro Leal")</f>
        <v/>
      </c>
      <c r="F34" s="117"/>
      <c r="G34" s="117"/>
      <c r="H34" s="118"/>
      <c r="I34" s="118"/>
      <c r="J34" s="33"/>
      <c r="K34" s="119"/>
      <c r="L34" s="119"/>
      <c r="M34" s="117"/>
      <c r="N34" s="117"/>
      <c r="O34" s="119"/>
      <c r="P34" s="117"/>
      <c r="Q34" s="140" t="str">
        <f aca="false">IF($B34="","",HYPERLINK("#Projects!A"&amp;MATCH($B34,Projects!$A:$A,0),"Open Project"))</f>
        <v/>
      </c>
    </row>
    <row r="35" customFormat="false" ht="30" hidden="false" customHeight="true" outlineLevel="0" collapsed="false">
      <c r="A35" s="137" t="str">
        <f aca="false">IF($B35="","","AL-"&amp;TEXT(ROW()-4,"000"))</f>
        <v/>
      </c>
      <c r="B35" s="118"/>
      <c r="C35" s="138" t="str">
        <f aca="false">IF($B35="","",IFERROR(VLOOKUP($B35,Lists!$A:$H,2,FALSE()),"unknown ID"))</f>
        <v/>
      </c>
      <c r="D35" s="138" t="str">
        <f aca="false">IF($B35="","",IFERROR(VLOOKUP($B35,Lists!$A:$H,3,FALSE()),""))</f>
        <v/>
      </c>
      <c r="E35" s="139" t="str">
        <f aca="false">IF($B35="","","Alvaro Leal")</f>
        <v/>
      </c>
      <c r="F35" s="117"/>
      <c r="G35" s="117"/>
      <c r="H35" s="118"/>
      <c r="I35" s="118"/>
      <c r="J35" s="33"/>
      <c r="K35" s="119"/>
      <c r="L35" s="119"/>
      <c r="M35" s="117"/>
      <c r="N35" s="117"/>
      <c r="O35" s="119"/>
      <c r="P35" s="117"/>
      <c r="Q35" s="140" t="str">
        <f aca="false">IF($B35="","",HYPERLINK("#Projects!A"&amp;MATCH($B35,Projects!$A:$A,0),"Open Project"))</f>
        <v/>
      </c>
    </row>
    <row r="36" customFormat="false" ht="30" hidden="false" customHeight="true" outlineLevel="0" collapsed="false">
      <c r="A36" s="137" t="str">
        <f aca="false">IF($B36="","","AL-"&amp;TEXT(ROW()-4,"000"))</f>
        <v/>
      </c>
      <c r="B36" s="118"/>
      <c r="C36" s="138" t="str">
        <f aca="false">IF($B36="","",IFERROR(VLOOKUP($B36,Lists!$A:$H,2,FALSE()),"unknown ID"))</f>
        <v/>
      </c>
      <c r="D36" s="138" t="str">
        <f aca="false">IF($B36="","",IFERROR(VLOOKUP($B36,Lists!$A:$H,3,FALSE()),""))</f>
        <v/>
      </c>
      <c r="E36" s="139" t="str">
        <f aca="false">IF($B36="","","Alvaro Leal")</f>
        <v/>
      </c>
      <c r="F36" s="117"/>
      <c r="G36" s="117"/>
      <c r="H36" s="118"/>
      <c r="I36" s="118"/>
      <c r="J36" s="33"/>
      <c r="K36" s="119"/>
      <c r="L36" s="119"/>
      <c r="M36" s="117"/>
      <c r="N36" s="117"/>
      <c r="O36" s="119"/>
      <c r="P36" s="117"/>
      <c r="Q36" s="140" t="str">
        <f aca="false">IF($B36="","",HYPERLINK("#Projects!A"&amp;MATCH($B36,Projects!$A:$A,0),"Open Project"))</f>
        <v/>
      </c>
    </row>
    <row r="37" customFormat="false" ht="30" hidden="false" customHeight="true" outlineLevel="0" collapsed="false">
      <c r="A37" s="137" t="str">
        <f aca="false">IF($B37="","","AL-"&amp;TEXT(ROW()-4,"000"))</f>
        <v/>
      </c>
      <c r="B37" s="118"/>
      <c r="C37" s="138" t="str">
        <f aca="false">IF($B37="","",IFERROR(VLOOKUP($B37,Lists!$A:$H,2,FALSE()),"unknown ID"))</f>
        <v/>
      </c>
      <c r="D37" s="138" t="str">
        <f aca="false">IF($B37="","",IFERROR(VLOOKUP($B37,Lists!$A:$H,3,FALSE()),""))</f>
        <v/>
      </c>
      <c r="E37" s="139" t="str">
        <f aca="false">IF($B37="","","Alvaro Leal")</f>
        <v/>
      </c>
      <c r="F37" s="117"/>
      <c r="G37" s="117"/>
      <c r="H37" s="118"/>
      <c r="I37" s="118"/>
      <c r="J37" s="33"/>
      <c r="K37" s="119"/>
      <c r="L37" s="119"/>
      <c r="M37" s="117"/>
      <c r="N37" s="117"/>
      <c r="O37" s="119"/>
      <c r="P37" s="117"/>
      <c r="Q37" s="140" t="str">
        <f aca="false">IF($B37="","",HYPERLINK("#Projects!A"&amp;MATCH($B37,Projects!$A:$A,0),"Open Project"))</f>
        <v/>
      </c>
    </row>
    <row r="38" customFormat="false" ht="30" hidden="false" customHeight="true" outlineLevel="0" collapsed="false">
      <c r="A38" s="137" t="str">
        <f aca="false">IF($B38="","","AL-"&amp;TEXT(ROW()-4,"000"))</f>
        <v/>
      </c>
      <c r="B38" s="118"/>
      <c r="C38" s="138" t="str">
        <f aca="false">IF($B38="","",IFERROR(VLOOKUP($B38,Lists!$A:$H,2,FALSE()),"unknown ID"))</f>
        <v/>
      </c>
      <c r="D38" s="138" t="str">
        <f aca="false">IF($B38="","",IFERROR(VLOOKUP($B38,Lists!$A:$H,3,FALSE()),""))</f>
        <v/>
      </c>
      <c r="E38" s="139" t="str">
        <f aca="false">IF($B38="","","Alvaro Leal")</f>
        <v/>
      </c>
      <c r="F38" s="117"/>
      <c r="G38" s="117"/>
      <c r="H38" s="118"/>
      <c r="I38" s="118"/>
      <c r="J38" s="33"/>
      <c r="K38" s="119"/>
      <c r="L38" s="119"/>
      <c r="M38" s="117"/>
      <c r="N38" s="117"/>
      <c r="O38" s="119"/>
      <c r="P38" s="117"/>
      <c r="Q38" s="140" t="str">
        <f aca="false">IF($B38="","",HYPERLINK("#Projects!A"&amp;MATCH($B38,Projects!$A:$A,0),"Open Project"))</f>
        <v/>
      </c>
    </row>
    <row r="39" customFormat="false" ht="30" hidden="false" customHeight="true" outlineLevel="0" collapsed="false">
      <c r="A39" s="137" t="str">
        <f aca="false">IF($B39="","","AL-"&amp;TEXT(ROW()-4,"000"))</f>
        <v/>
      </c>
      <c r="B39" s="118"/>
      <c r="C39" s="138" t="str">
        <f aca="false">IF($B39="","",IFERROR(VLOOKUP($B39,Lists!$A:$H,2,FALSE()),"unknown ID"))</f>
        <v/>
      </c>
      <c r="D39" s="138" t="str">
        <f aca="false">IF($B39="","",IFERROR(VLOOKUP($B39,Lists!$A:$H,3,FALSE()),""))</f>
        <v/>
      </c>
      <c r="E39" s="139" t="str">
        <f aca="false">IF($B39="","","Alvaro Leal")</f>
        <v/>
      </c>
      <c r="F39" s="117"/>
      <c r="G39" s="117"/>
      <c r="H39" s="118"/>
      <c r="I39" s="118"/>
      <c r="J39" s="33"/>
      <c r="K39" s="119"/>
      <c r="L39" s="119"/>
      <c r="M39" s="117"/>
      <c r="N39" s="117"/>
      <c r="O39" s="119"/>
      <c r="P39" s="117"/>
      <c r="Q39" s="140" t="str">
        <f aca="false">IF($B39="","",HYPERLINK("#Projects!A"&amp;MATCH($B39,Projects!$A:$A,0),"Open Project"))</f>
        <v/>
      </c>
    </row>
    <row r="40" customFormat="false" ht="30" hidden="false" customHeight="true" outlineLevel="0" collapsed="false">
      <c r="A40" s="137" t="str">
        <f aca="false">IF($B40="","","AL-"&amp;TEXT(ROW()-4,"000"))</f>
        <v/>
      </c>
      <c r="B40" s="118"/>
      <c r="C40" s="138" t="str">
        <f aca="false">IF($B40="","",IFERROR(VLOOKUP($B40,Lists!$A:$H,2,FALSE()),"unknown ID"))</f>
        <v/>
      </c>
      <c r="D40" s="138" t="str">
        <f aca="false">IF($B40="","",IFERROR(VLOOKUP($B40,Lists!$A:$H,3,FALSE()),""))</f>
        <v/>
      </c>
      <c r="E40" s="139" t="str">
        <f aca="false">IF($B40="","","Alvaro Leal")</f>
        <v/>
      </c>
      <c r="F40" s="117"/>
      <c r="G40" s="117"/>
      <c r="H40" s="118"/>
      <c r="I40" s="118"/>
      <c r="J40" s="33"/>
      <c r="K40" s="119"/>
      <c r="L40" s="119"/>
      <c r="M40" s="117"/>
      <c r="N40" s="117"/>
      <c r="O40" s="119"/>
      <c r="P40" s="117"/>
      <c r="Q40" s="140" t="str">
        <f aca="false">IF($B40="","",HYPERLINK("#Projects!A"&amp;MATCH($B40,Projects!$A:$A,0),"Open Project"))</f>
        <v/>
      </c>
    </row>
    <row r="41" customFormat="false" ht="30" hidden="false" customHeight="true" outlineLevel="0" collapsed="false">
      <c r="A41" s="137" t="str">
        <f aca="false">IF($B41="","","AL-"&amp;TEXT(ROW()-4,"000"))</f>
        <v/>
      </c>
      <c r="B41" s="118"/>
      <c r="C41" s="138" t="str">
        <f aca="false">IF($B41="","",IFERROR(VLOOKUP($B41,Lists!$A:$H,2,FALSE()),"unknown ID"))</f>
        <v/>
      </c>
      <c r="D41" s="138" t="str">
        <f aca="false">IF($B41="","",IFERROR(VLOOKUP($B41,Lists!$A:$H,3,FALSE()),""))</f>
        <v/>
      </c>
      <c r="E41" s="139" t="str">
        <f aca="false">IF($B41="","","Alvaro Leal")</f>
        <v/>
      </c>
      <c r="F41" s="117"/>
      <c r="G41" s="117"/>
      <c r="H41" s="118"/>
      <c r="I41" s="118"/>
      <c r="J41" s="33"/>
      <c r="K41" s="119"/>
      <c r="L41" s="119"/>
      <c r="M41" s="117"/>
      <c r="N41" s="117"/>
      <c r="O41" s="119"/>
      <c r="P41" s="117"/>
      <c r="Q41" s="140" t="str">
        <f aca="false">IF($B41="","",HYPERLINK("#Projects!A"&amp;MATCH($B41,Projects!$A:$A,0),"Open Project"))</f>
        <v/>
      </c>
    </row>
    <row r="42" customFormat="false" ht="30" hidden="false" customHeight="true" outlineLevel="0" collapsed="false">
      <c r="A42" s="137" t="str">
        <f aca="false">IF($B42="","","AL-"&amp;TEXT(ROW()-4,"000"))</f>
        <v/>
      </c>
      <c r="B42" s="118"/>
      <c r="C42" s="138" t="str">
        <f aca="false">IF($B42="","",IFERROR(VLOOKUP($B42,Lists!$A:$H,2,FALSE()),"unknown ID"))</f>
        <v/>
      </c>
      <c r="D42" s="138" t="str">
        <f aca="false">IF($B42="","",IFERROR(VLOOKUP($B42,Lists!$A:$H,3,FALSE()),""))</f>
        <v/>
      </c>
      <c r="E42" s="139" t="str">
        <f aca="false">IF($B42="","","Alvaro Leal")</f>
        <v/>
      </c>
      <c r="F42" s="117"/>
      <c r="G42" s="117"/>
      <c r="H42" s="118"/>
      <c r="I42" s="118"/>
      <c r="J42" s="33"/>
      <c r="K42" s="119"/>
      <c r="L42" s="119"/>
      <c r="M42" s="117"/>
      <c r="N42" s="117"/>
      <c r="O42" s="119"/>
      <c r="P42" s="117"/>
      <c r="Q42" s="140" t="str">
        <f aca="false">IF($B42="","",HYPERLINK("#Projects!A"&amp;MATCH($B42,Projects!$A:$A,0),"Open Project"))</f>
        <v/>
      </c>
    </row>
    <row r="43" customFormat="false" ht="30" hidden="false" customHeight="true" outlineLevel="0" collapsed="false">
      <c r="A43" s="137" t="str">
        <f aca="false">IF($B43="","","AL-"&amp;TEXT(ROW()-4,"000"))</f>
        <v/>
      </c>
      <c r="B43" s="118"/>
      <c r="C43" s="138" t="str">
        <f aca="false">IF($B43="","",IFERROR(VLOOKUP($B43,Lists!$A:$H,2,FALSE()),"unknown ID"))</f>
        <v/>
      </c>
      <c r="D43" s="138" t="str">
        <f aca="false">IF($B43="","",IFERROR(VLOOKUP($B43,Lists!$A:$H,3,FALSE()),""))</f>
        <v/>
      </c>
      <c r="E43" s="139" t="str">
        <f aca="false">IF($B43="","","Alvaro Leal")</f>
        <v/>
      </c>
      <c r="F43" s="117"/>
      <c r="G43" s="117"/>
      <c r="H43" s="118"/>
      <c r="I43" s="118"/>
      <c r="J43" s="33"/>
      <c r="K43" s="119"/>
      <c r="L43" s="119"/>
      <c r="M43" s="117"/>
      <c r="N43" s="117"/>
      <c r="O43" s="119"/>
      <c r="P43" s="117"/>
      <c r="Q43" s="140" t="str">
        <f aca="false">IF($B43="","",HYPERLINK("#Projects!A"&amp;MATCH($B43,Projects!$A:$A,0),"Open Project"))</f>
        <v/>
      </c>
    </row>
    <row r="44" customFormat="false" ht="30" hidden="false" customHeight="true" outlineLevel="0" collapsed="false">
      <c r="A44" s="137" t="str">
        <f aca="false">IF($B44="","","AL-"&amp;TEXT(ROW()-4,"000"))</f>
        <v/>
      </c>
      <c r="B44" s="118"/>
      <c r="C44" s="138" t="str">
        <f aca="false">IF($B44="","",IFERROR(VLOOKUP($B44,Lists!$A:$H,2,FALSE()),"unknown ID"))</f>
        <v/>
      </c>
      <c r="D44" s="138" t="str">
        <f aca="false">IF($B44="","",IFERROR(VLOOKUP($B44,Lists!$A:$H,3,FALSE()),""))</f>
        <v/>
      </c>
      <c r="E44" s="139" t="str">
        <f aca="false">IF($B44="","","Alvaro Leal")</f>
        <v/>
      </c>
      <c r="F44" s="117"/>
      <c r="G44" s="117"/>
      <c r="H44" s="118"/>
      <c r="I44" s="118"/>
      <c r="J44" s="33"/>
      <c r="K44" s="119"/>
      <c r="L44" s="119"/>
      <c r="M44" s="117"/>
      <c r="N44" s="117"/>
      <c r="O44" s="119"/>
      <c r="P44" s="117"/>
      <c r="Q44" s="140" t="str">
        <f aca="false">IF($B44="","",HYPERLINK("#Projects!A"&amp;MATCH($B44,Projects!$A:$A,0),"Open Project"))</f>
        <v/>
      </c>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sheetData>
  <mergeCells count="2">
    <mergeCell ref="A1:Q1"/>
    <mergeCell ref="A2:Q2"/>
  </mergeCells>
  <conditionalFormatting sqref="J7">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M6:M9">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J6 J8:J101">
    <cfRule type="cellIs" priority="16" operator="equal" aboveAverage="0" equalAverage="0" bottom="0" percent="0" rank="0" text="" dxfId="5">
      <formula>"C"</formula>
    </cfRule>
    <cfRule type="cellIs" priority="17" operator="equal" aboveAverage="0" equalAverage="0" bottom="0" percent="0" rank="0" text="" dxfId="6">
      <formula>"R"</formula>
    </cfRule>
    <cfRule type="cellIs" priority="18" operator="equal" aboveAverage="0" equalAverage="0" bottom="0" percent="0" rank="0" text="" dxfId="7">
      <formula>"Y"</formula>
    </cfRule>
    <cfRule type="cellIs" priority="19" operator="equal" aboveAverage="0" equalAverage="0" bottom="0" percent="0" rank="0" text="" dxfId="5">
      <formula>"G"</formula>
    </cfRule>
    <cfRule type="cellIs" priority="20" operator="equal" aboveAverage="0" equalAverage="0" bottom="0" percent="0" rank="0" text="" dxfId="8">
      <formula>"-"</formula>
    </cfRule>
    <cfRule type="cellIs" priority="21" operator="equal" aboveAverage="0" equalAverage="0" bottom="0" percent="0" rank="0" text="" dxfId="9">
      <formula>"--"</formula>
    </cfRule>
    <cfRule type="cellIs" priority="22" operator="equal" aboveAverage="0" equalAverage="0" bottom="0" percent="0" rank="0" text="" dxfId="10">
      <formula>"---"</formula>
    </cfRule>
  </conditionalFormatting>
  <conditionalFormatting sqref="I5:I44">
    <cfRule type="cellIs" priority="23" operator="equal" aboveAverage="0" equalAverage="0" bottom="0" percent="0" rank="0" text="" dxfId="29">
      <formula>"Complete"</formula>
    </cfRule>
    <cfRule type="cellIs" priority="24" operator="equal" aboveAverage="0" equalAverage="0" bottom="0" percent="0" rank="0" text="" dxfId="4">
      <formula>"Blocked"</formula>
    </cfRule>
    <cfRule type="cellIs" priority="25" operator="equal" aboveAverage="0" equalAverage="0" bottom="0" percent="0" rank="0" text="" dxfId="45">
      <formula>"Waiting on Someone"</formula>
    </cfRule>
    <cfRule type="cellIs" priority="26" operator="equal" aboveAverage="0" equalAverage="0" bottom="0" percent="0" rank="0" text="" dxfId="30">
      <formula>"In Progress"</formula>
    </cfRule>
    <cfRule type="cellIs" priority="27" operator="equal" aboveAverage="0" equalAverage="0" bottom="0" percent="0" rank="0" text="" dxfId="32">
      <formula>"Not Started"</formula>
    </cfRule>
  </conditionalFormatting>
  <conditionalFormatting sqref="L5:L44">
    <cfRule type="expression" priority="28" aboveAverage="0" equalAverage="0" bottom="0" percent="0" rank="0" text="" dxfId="4">
      <formula>AND($L5&lt;&gt;"",$L5&lt;TODAY(),$I5&lt;&gt;"Complete")</formula>
    </cfRule>
    <cfRule type="expression" priority="29" aboveAverage="0" equalAverage="0" bottom="0" percent="0" rank="0" text="" dxfId="46">
      <formula>AND($L5&lt;&gt;"",$L5&gt;=TODAY(),$L5&lt;=TODAY()+7,$I5&lt;&gt;"Complete")</formula>
    </cfRule>
  </conditionalFormatting>
  <conditionalFormatting sqref="G5:G44">
    <cfRule type="expression" priority="30" aboveAverage="0" equalAverage="0" bottom="0" percent="0" rank="0" text="" dxfId="47">
      <formula>$I5="Complete"</formula>
    </cfRule>
  </conditionalFormatting>
  <conditionalFormatting sqref="J5:J44">
    <cfRule type="dataBar" priority="31">
      <dataBar showValue="1" minLength="10" maxLength="90">
        <cfvo type="num" val="0"/>
        <cfvo type="num" val="1"/>
        <color rgb="FF2E75B6"/>
      </dataBar>
      <extLst>
        <ext xmlns:x14="http://schemas.microsoft.com/office/spreadsheetml/2009/9/main" uri="{B025F937-C7B1-47D3-B67F-A62EFF666E3E}">
          <x14:id>{C3806E35-FD88-4145-B1AF-A03E4510E345}</x14:id>
        </ext>
      </extLst>
    </cfRule>
  </conditionalFormatting>
  <dataValidations count="5">
    <dataValidation allowBlank="true" errorStyle="stop" operator="between" showDropDown="false" showErrorMessage="true" showInputMessage="true" sqref="J6:J10 M6:M9 J11:J101" type="list">
      <formula1>"C,G,Y,R,na"</formula1>
      <formula2>0</formula2>
    </dataValidation>
    <dataValidation allowBlank="true" error="Pick a value from the list" errorStyle="stop" errorTitle="Invalid entry" operator="between" showDropDown="false" showErrorMessage="false" showInputMessage="false" sqref="B5:B44" type="list">
      <formula1>ProjectIDList</formula1>
      <formula2>0</formula2>
    </dataValidation>
    <dataValidation allowBlank="true" error="Pick a value from the list" errorStyle="stop" errorTitle="Invalid entry" operator="between" showDropDown="false" showErrorMessage="false" showInputMessage="false" sqref="F5:F44" type="list">
      <formula1>RoleList</formula1>
      <formula2>0</formula2>
    </dataValidation>
    <dataValidation allowBlank="true" error="Pick a value from the list" errorStyle="stop" errorTitle="Invalid entry" operator="between" showDropDown="false" showErrorMessage="false" showInputMessage="false" sqref="H5:H44" type="list">
      <formula1>PriorityList</formula1>
      <formula2>0</formula2>
    </dataValidation>
    <dataValidation allowBlank="true" error="Pick a value from the list" errorStyle="stop" errorTitle="Invalid entry" operator="between" showDropDown="false" showErrorMessage="false" showInputMessage="false" sqref="I5:I44" type="list">
      <formula1>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C3806E35-FD88-4145-B1AF-A03E4510E345}">
            <x14:dataBar minLength="10" maxLength="90" axisPosition="none" gradient="true">
              <x14:cfvo type="num">
                <xm:f>0</xm:f>
              </x14:cfvo>
              <x14:cfvo type="num">
                <xm:f>1</xm:f>
              </x14:cfvo>
              <x14:negativeFillColor rgb="FF2E75B6"/>
              <x14:axisColor rgb="FF000000"/>
            </x14:dataBar>
          </x14:cfRule>
          <xm:sqref>J5:J44</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Q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H15" activeCellId="0" sqref="H15"/>
    </sheetView>
  </sheetViews>
  <sheetFormatPr defaultColWidth="8.5390625" defaultRowHeight="14.2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4"/>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36"/>
    <col collapsed="false" customWidth="true" hidden="false" outlineLevel="0" max="8" min="8" style="0" width="10"/>
    <col collapsed="false" customWidth="true" hidden="false" outlineLevel="0" max="9" min="9" style="0" width="16"/>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26"/>
    <col collapsed="false" customWidth="true" hidden="false" outlineLevel="0" max="15" min="15" style="0" width="12"/>
    <col collapsed="false" customWidth="true" hidden="false" outlineLevel="0" max="16" min="16" style="0" width="30"/>
    <col collapsed="false" customWidth="true" hidden="false" outlineLevel="0" max="17" min="17" style="0" width="15"/>
  </cols>
  <sheetData>
    <row r="1" customFormat="false" ht="30" hidden="false" customHeight="true" outlineLevel="0" collapsed="false">
      <c r="A1" s="114" t="s">
        <v>354</v>
      </c>
      <c r="B1" s="114"/>
      <c r="C1" s="114"/>
      <c r="D1" s="114"/>
      <c r="E1" s="114"/>
      <c r="F1" s="114"/>
      <c r="G1" s="114"/>
      <c r="H1" s="114"/>
      <c r="I1" s="114"/>
      <c r="J1" s="114"/>
      <c r="K1" s="114"/>
      <c r="L1" s="114"/>
      <c r="M1" s="114"/>
      <c r="N1" s="114"/>
      <c r="O1" s="114"/>
      <c r="P1" s="114"/>
      <c r="Q1" s="114"/>
    </row>
    <row r="2" customFormat="false" ht="24" hidden="false" customHeight="true" outlineLevel="0" collapsed="false">
      <c r="A2" s="115" t="s">
        <v>263</v>
      </c>
      <c r="B2" s="115"/>
      <c r="C2" s="115"/>
      <c r="D2" s="115"/>
      <c r="E2" s="115"/>
      <c r="F2" s="115"/>
      <c r="G2" s="115"/>
      <c r="H2" s="115"/>
      <c r="I2" s="115"/>
      <c r="J2" s="115"/>
      <c r="K2" s="115"/>
      <c r="L2" s="115"/>
      <c r="M2" s="115"/>
      <c r="N2" s="115"/>
      <c r="O2" s="115"/>
      <c r="P2" s="115"/>
      <c r="Q2" s="115"/>
    </row>
    <row r="3" customFormat="false" ht="24" hidden="false" customHeight="true" outlineLevel="0" collapsed="false"/>
    <row r="4" customFormat="false" ht="33.75" hidden="false" customHeight="true" outlineLevel="0" collapsed="false">
      <c r="A4" s="129" t="s">
        <v>237</v>
      </c>
      <c r="B4" s="136" t="s">
        <v>178</v>
      </c>
      <c r="C4" s="129" t="s">
        <v>16</v>
      </c>
      <c r="D4" s="129" t="s">
        <v>251</v>
      </c>
      <c r="E4" s="129" t="s">
        <v>238</v>
      </c>
      <c r="F4" s="136" t="s">
        <v>240</v>
      </c>
      <c r="G4" s="136" t="s">
        <v>239</v>
      </c>
      <c r="H4" s="136" t="s">
        <v>241</v>
      </c>
      <c r="I4" s="136" t="s">
        <v>50</v>
      </c>
      <c r="J4" s="136" t="s">
        <v>252</v>
      </c>
      <c r="K4" s="136" t="s">
        <v>253</v>
      </c>
      <c r="L4" s="136" t="s">
        <v>254</v>
      </c>
      <c r="M4" s="136" t="s">
        <v>255</v>
      </c>
      <c r="N4" s="136" t="s">
        <v>246</v>
      </c>
      <c r="O4" s="136" t="s">
        <v>247</v>
      </c>
      <c r="P4" s="136" t="s">
        <v>248</v>
      </c>
      <c r="Q4" s="129" t="s">
        <v>264</v>
      </c>
    </row>
    <row r="5" customFormat="false" ht="30" hidden="false" customHeight="true" outlineLevel="0" collapsed="false">
      <c r="A5" s="137" t="str">
        <f aca="false">IF($B5="","","CF-"&amp;TEXT(ROW()-4,"000"))</f>
        <v>CF-001</v>
      </c>
      <c r="B5" s="118" t="s">
        <v>187</v>
      </c>
      <c r="C5" s="138" t="str">
        <f aca="false">IF($B5="","",IFERROR(VLOOKUP($B5,Lists!$A:$H,2,FALSE()),"unknown ID"))</f>
        <v>1 – Unified Development System</v>
      </c>
      <c r="D5" s="138" t="str">
        <f aca="false">IF($B5="","",IFERROR(VLOOKUP($B5,Lists!$A:$H,3,FALSE()),""))</f>
        <v>Implement standardized Mutual Evaluation Process (MEP) across all brands</v>
      </c>
      <c r="E5" s="139" t="str">
        <f aca="false">IF($B5="","","Cassidy Ford")</f>
        <v>Cassidy Ford</v>
      </c>
      <c r="F5" s="117" t="s">
        <v>270</v>
      </c>
      <c r="G5" s="117" t="s">
        <v>271</v>
      </c>
      <c r="H5" s="118" t="s">
        <v>272</v>
      </c>
      <c r="I5" s="118" t="s">
        <v>18</v>
      </c>
      <c r="J5" s="33" t="n">
        <v>0.5</v>
      </c>
      <c r="K5" s="119" t="n">
        <v>46162</v>
      </c>
      <c r="L5" s="119" t="n">
        <v>46186</v>
      </c>
      <c r="M5" s="117"/>
      <c r="N5" s="117"/>
      <c r="O5" s="119" t="s">
        <v>273</v>
      </c>
      <c r="P5" s="117" t="s">
        <v>274</v>
      </c>
      <c r="Q5" s="140" t="str">
        <f aca="false">IF($B5="","",HYPERLINK("#Projects!A"&amp;MATCH($B5,Projects!$A:$A,0),"Open Project"))</f>
        <v>Open Project</v>
      </c>
    </row>
    <row r="6" customFormat="false" ht="30" hidden="false" customHeight="true" outlineLevel="0" collapsed="false">
      <c r="A6" s="137" t="str">
        <f aca="false">IF($B6="","","CF-"&amp;TEXT(ROW()-4,"000"))</f>
        <v/>
      </c>
      <c r="B6" s="118"/>
      <c r="C6" s="138" t="str">
        <f aca="false">IF($B6="","",IFERROR(VLOOKUP($B6,Lists!$A:$H,2,FALSE()),"unknown ID"))</f>
        <v/>
      </c>
      <c r="D6" s="138" t="str">
        <f aca="false">IF($B6="","",IFERROR(VLOOKUP($B6,Lists!$A:$H,3,FALSE()),""))</f>
        <v/>
      </c>
      <c r="E6" s="139" t="str">
        <f aca="false">IF($B6="","","Cassidy Ford")</f>
        <v/>
      </c>
      <c r="F6" s="117"/>
      <c r="G6" s="117"/>
      <c r="H6" s="118"/>
      <c r="I6" s="118"/>
      <c r="J6" s="33"/>
      <c r="K6" s="119"/>
      <c r="L6" s="119"/>
      <c r="M6" s="117"/>
      <c r="N6" s="117"/>
      <c r="O6" s="119"/>
      <c r="P6" s="117"/>
      <c r="Q6" s="140" t="str">
        <f aca="false">IF($B6="","",HYPERLINK("#Projects!A"&amp;MATCH($B6,Projects!$A:$A,0),"Open Project"))</f>
        <v/>
      </c>
    </row>
    <row r="7" customFormat="false" ht="30" hidden="false" customHeight="true" outlineLevel="0" collapsed="false">
      <c r="A7" s="137" t="str">
        <f aca="false">IF($B7="","","CF-"&amp;TEXT(ROW()-4,"000"))</f>
        <v/>
      </c>
      <c r="B7" s="118"/>
      <c r="C7" s="138" t="str">
        <f aca="false">IF($B7="","",IFERROR(VLOOKUP($B7,Lists!$A:$H,2,FALSE()),"unknown ID"))</f>
        <v/>
      </c>
      <c r="D7" s="138" t="str">
        <f aca="false">IF($B7="","",IFERROR(VLOOKUP($B7,Lists!$A:$H,3,FALSE()),""))</f>
        <v/>
      </c>
      <c r="E7" s="139" t="str">
        <f aca="false">IF($B7="","","Cassidy Ford")</f>
        <v/>
      </c>
      <c r="F7" s="117"/>
      <c r="G7" s="117"/>
      <c r="H7" s="118"/>
      <c r="I7" s="118"/>
      <c r="J7" s="33"/>
      <c r="K7" s="119"/>
      <c r="L7" s="119"/>
      <c r="M7" s="117"/>
      <c r="N7" s="117"/>
      <c r="O7" s="119"/>
      <c r="P7" s="117"/>
      <c r="Q7" s="140" t="str">
        <f aca="false">IF($B7="","",HYPERLINK("#Projects!A"&amp;MATCH($B7,Projects!$A:$A,0),"Open Project"))</f>
        <v/>
      </c>
    </row>
    <row r="8" customFormat="false" ht="30" hidden="false" customHeight="true" outlineLevel="0" collapsed="false">
      <c r="A8" s="137" t="str">
        <f aca="false">IF($B8="","","CF-"&amp;TEXT(ROW()-4,"000"))</f>
        <v/>
      </c>
      <c r="B8" s="118"/>
      <c r="C8" s="138" t="str">
        <f aca="false">IF($B8="","",IFERROR(VLOOKUP($B8,Lists!$A:$H,2,FALSE()),"unknown ID"))</f>
        <v/>
      </c>
      <c r="D8" s="138" t="str">
        <f aca="false">IF($B8="","",IFERROR(VLOOKUP($B8,Lists!$A:$H,3,FALSE()),""))</f>
        <v/>
      </c>
      <c r="E8" s="139" t="str">
        <f aca="false">IF($B8="","","Cassidy Ford")</f>
        <v/>
      </c>
      <c r="F8" s="117"/>
      <c r="G8" s="117"/>
      <c r="H8" s="118"/>
      <c r="I8" s="118"/>
      <c r="J8" s="33"/>
      <c r="K8" s="119"/>
      <c r="L8" s="119"/>
      <c r="M8" s="117"/>
      <c r="N8" s="117"/>
      <c r="O8" s="119"/>
      <c r="P8" s="117"/>
      <c r="Q8" s="140" t="str">
        <f aca="false">IF($B8="","",HYPERLINK("#Projects!A"&amp;MATCH($B8,Projects!$A:$A,0),"Open Project"))</f>
        <v/>
      </c>
    </row>
    <row r="9" customFormat="false" ht="30" hidden="false" customHeight="true" outlineLevel="0" collapsed="false">
      <c r="A9" s="137" t="str">
        <f aca="false">IF($B9="","","CF-"&amp;TEXT(ROW()-4,"000"))</f>
        <v/>
      </c>
      <c r="B9" s="118"/>
      <c r="C9" s="138" t="str">
        <f aca="false">IF($B9="","",IFERROR(VLOOKUP($B9,Lists!$A:$H,2,FALSE()),"unknown ID"))</f>
        <v/>
      </c>
      <c r="D9" s="138" t="str">
        <f aca="false">IF($B9="","",IFERROR(VLOOKUP($B9,Lists!$A:$H,3,FALSE()),""))</f>
        <v/>
      </c>
      <c r="E9" s="139" t="str">
        <f aca="false">IF($B9="","","Cassidy Ford")</f>
        <v/>
      </c>
      <c r="F9" s="117"/>
      <c r="G9" s="117"/>
      <c r="H9" s="118"/>
      <c r="I9" s="118"/>
      <c r="J9" s="33"/>
      <c r="K9" s="119"/>
      <c r="L9" s="119"/>
      <c r="M9" s="117"/>
      <c r="N9" s="117"/>
      <c r="O9" s="119"/>
      <c r="P9" s="117"/>
      <c r="Q9" s="140" t="str">
        <f aca="false">IF($B9="","",HYPERLINK("#Projects!A"&amp;MATCH($B9,Projects!$A:$A,0),"Open Project"))</f>
        <v/>
      </c>
    </row>
    <row r="10" customFormat="false" ht="30" hidden="false" customHeight="true" outlineLevel="0" collapsed="false">
      <c r="A10" s="137" t="str">
        <f aca="false">IF($B10="","","CF-"&amp;TEXT(ROW()-4,"000"))</f>
        <v/>
      </c>
      <c r="B10" s="118"/>
      <c r="C10" s="138" t="str">
        <f aca="false">IF($B10="","",IFERROR(VLOOKUP($B10,Lists!$A:$H,2,FALSE()),"unknown ID"))</f>
        <v/>
      </c>
      <c r="D10" s="138" t="str">
        <f aca="false">IF($B10="","",IFERROR(VLOOKUP($B10,Lists!$A:$H,3,FALSE()),""))</f>
        <v/>
      </c>
      <c r="E10" s="139" t="str">
        <f aca="false">IF($B10="","","Cassidy Ford")</f>
        <v/>
      </c>
      <c r="F10" s="117"/>
      <c r="G10" s="117"/>
      <c r="H10" s="118"/>
      <c r="I10" s="118"/>
      <c r="J10" s="33"/>
      <c r="K10" s="119"/>
      <c r="L10" s="119"/>
      <c r="M10" s="117"/>
      <c r="N10" s="117"/>
      <c r="O10" s="119"/>
      <c r="P10" s="117"/>
      <c r="Q10" s="140" t="str">
        <f aca="false">IF($B10="","",HYPERLINK("#Projects!A"&amp;MATCH($B10,Projects!$A:$A,0),"Open Project"))</f>
        <v/>
      </c>
    </row>
    <row r="11" customFormat="false" ht="30" hidden="false" customHeight="true" outlineLevel="0" collapsed="false">
      <c r="A11" s="137" t="str">
        <f aca="false">IF($B11="","","CF-"&amp;TEXT(ROW()-4,"000"))</f>
        <v/>
      </c>
      <c r="B11" s="118"/>
      <c r="C11" s="138" t="str">
        <f aca="false">IF($B11="","",IFERROR(VLOOKUP($B11,Lists!$A:$H,2,FALSE()),"unknown ID"))</f>
        <v/>
      </c>
      <c r="D11" s="138" t="str">
        <f aca="false">IF($B11="","",IFERROR(VLOOKUP($B11,Lists!$A:$H,3,FALSE()),""))</f>
        <v/>
      </c>
      <c r="E11" s="139" t="str">
        <f aca="false">IF($B11="","","Cassidy Ford")</f>
        <v/>
      </c>
      <c r="F11" s="117"/>
      <c r="G11" s="117"/>
      <c r="H11" s="118"/>
      <c r="I11" s="118"/>
      <c r="J11" s="33"/>
      <c r="K11" s="119"/>
      <c r="L11" s="119"/>
      <c r="M11" s="117"/>
      <c r="N11" s="117"/>
      <c r="O11" s="119"/>
      <c r="P11" s="117"/>
      <c r="Q11" s="140" t="str">
        <f aca="false">IF($B11="","",HYPERLINK("#Projects!A"&amp;MATCH($B11,Projects!$A:$A,0),"Open Project"))</f>
        <v/>
      </c>
    </row>
    <row r="12" customFormat="false" ht="30" hidden="false" customHeight="true" outlineLevel="0" collapsed="false">
      <c r="A12" s="137" t="str">
        <f aca="false">IF($B12="","","CF-"&amp;TEXT(ROW()-4,"000"))</f>
        <v/>
      </c>
      <c r="B12" s="118"/>
      <c r="C12" s="138" t="str">
        <f aca="false">IF($B12="","",IFERROR(VLOOKUP($B12,Lists!$A:$H,2,FALSE()),"unknown ID"))</f>
        <v/>
      </c>
      <c r="D12" s="138" t="str">
        <f aca="false">IF($B12="","",IFERROR(VLOOKUP($B12,Lists!$A:$H,3,FALSE()),""))</f>
        <v/>
      </c>
      <c r="E12" s="139" t="str">
        <f aca="false">IF($B12="","","Cassidy Ford")</f>
        <v/>
      </c>
      <c r="F12" s="117"/>
      <c r="G12" s="117"/>
      <c r="H12" s="118"/>
      <c r="I12" s="118"/>
      <c r="J12" s="33"/>
      <c r="K12" s="119"/>
      <c r="L12" s="119"/>
      <c r="M12" s="117"/>
      <c r="N12" s="117"/>
      <c r="O12" s="119"/>
      <c r="P12" s="117"/>
      <c r="Q12" s="140" t="str">
        <f aca="false">IF($B12="","",HYPERLINK("#Projects!A"&amp;MATCH($B12,Projects!$A:$A,0),"Open Project"))</f>
        <v/>
      </c>
    </row>
    <row r="13" customFormat="false" ht="30" hidden="false" customHeight="true" outlineLevel="0" collapsed="false">
      <c r="A13" s="137" t="str">
        <f aca="false">IF($B13="","","CF-"&amp;TEXT(ROW()-4,"000"))</f>
        <v/>
      </c>
      <c r="B13" s="118"/>
      <c r="C13" s="138" t="str">
        <f aca="false">IF($B13="","",IFERROR(VLOOKUP($B13,Lists!$A:$H,2,FALSE()),"unknown ID"))</f>
        <v/>
      </c>
      <c r="D13" s="138" t="str">
        <f aca="false">IF($B13="","",IFERROR(VLOOKUP($B13,Lists!$A:$H,3,FALSE()),""))</f>
        <v/>
      </c>
      <c r="E13" s="139" t="str">
        <f aca="false">IF($B13="","","Cassidy Ford")</f>
        <v/>
      </c>
      <c r="F13" s="117"/>
      <c r="G13" s="117"/>
      <c r="H13" s="118"/>
      <c r="I13" s="118"/>
      <c r="J13" s="33"/>
      <c r="K13" s="119"/>
      <c r="L13" s="119"/>
      <c r="M13" s="117"/>
      <c r="N13" s="117"/>
      <c r="O13" s="119"/>
      <c r="P13" s="117"/>
      <c r="Q13" s="140" t="str">
        <f aca="false">IF($B13="","",HYPERLINK("#Projects!A"&amp;MATCH($B13,Projects!$A:$A,0),"Open Project"))</f>
        <v/>
      </c>
    </row>
    <row r="14" customFormat="false" ht="30" hidden="false" customHeight="true" outlineLevel="0" collapsed="false">
      <c r="A14" s="137" t="str">
        <f aca="false">IF($B14="","","CF-"&amp;TEXT(ROW()-4,"000"))</f>
        <v/>
      </c>
      <c r="B14" s="118"/>
      <c r="C14" s="138" t="str">
        <f aca="false">IF($B14="","",IFERROR(VLOOKUP($B14,Lists!$A:$H,2,FALSE()),"unknown ID"))</f>
        <v/>
      </c>
      <c r="D14" s="138" t="str">
        <f aca="false">IF($B14="","",IFERROR(VLOOKUP($B14,Lists!$A:$H,3,FALSE()),""))</f>
        <v/>
      </c>
      <c r="E14" s="139" t="str">
        <f aca="false">IF($B14="","","Cassidy Ford")</f>
        <v/>
      </c>
      <c r="F14" s="117"/>
      <c r="G14" s="117"/>
      <c r="H14" s="118"/>
      <c r="I14" s="118"/>
      <c r="J14" s="33"/>
      <c r="K14" s="119"/>
      <c r="L14" s="119"/>
      <c r="M14" s="117"/>
      <c r="N14" s="117"/>
      <c r="O14" s="119"/>
      <c r="P14" s="117"/>
      <c r="Q14" s="140" t="str">
        <f aca="false">IF($B14="","",HYPERLINK("#Projects!A"&amp;MATCH($B14,Projects!$A:$A,0),"Open Project"))</f>
        <v/>
      </c>
    </row>
    <row r="15" customFormat="false" ht="30" hidden="false" customHeight="true" outlineLevel="0" collapsed="false">
      <c r="A15" s="137" t="str">
        <f aca="false">IF($B15="","","CF-"&amp;TEXT(ROW()-4,"000"))</f>
        <v/>
      </c>
      <c r="B15" s="118"/>
      <c r="C15" s="138" t="str">
        <f aca="false">IF($B15="","",IFERROR(VLOOKUP($B15,Lists!$A:$H,2,FALSE()),"unknown ID"))</f>
        <v/>
      </c>
      <c r="D15" s="138" t="str">
        <f aca="false">IF($B15="","",IFERROR(VLOOKUP($B15,Lists!$A:$H,3,FALSE()),""))</f>
        <v/>
      </c>
      <c r="E15" s="139" t="str">
        <f aca="false">IF($B15="","","Cassidy Ford")</f>
        <v/>
      </c>
      <c r="F15" s="117"/>
      <c r="G15" s="117"/>
      <c r="H15" s="118"/>
      <c r="I15" s="118"/>
      <c r="J15" s="33"/>
      <c r="K15" s="119"/>
      <c r="L15" s="119"/>
      <c r="M15" s="117"/>
      <c r="N15" s="117"/>
      <c r="O15" s="119"/>
      <c r="P15" s="117"/>
      <c r="Q15" s="140" t="str">
        <f aca="false">IF($B15="","",HYPERLINK("#Projects!A"&amp;MATCH($B15,Projects!$A:$A,0),"Open Project"))</f>
        <v/>
      </c>
    </row>
    <row r="16" customFormat="false" ht="30" hidden="false" customHeight="true" outlineLevel="0" collapsed="false">
      <c r="A16" s="137" t="str">
        <f aca="false">IF($B16="","","CF-"&amp;TEXT(ROW()-4,"000"))</f>
        <v/>
      </c>
      <c r="B16" s="118"/>
      <c r="C16" s="138" t="str">
        <f aca="false">IF($B16="","",IFERROR(VLOOKUP($B16,Lists!$A:$H,2,FALSE()),"unknown ID"))</f>
        <v/>
      </c>
      <c r="D16" s="138" t="str">
        <f aca="false">IF($B16="","",IFERROR(VLOOKUP($B16,Lists!$A:$H,3,FALSE()),""))</f>
        <v/>
      </c>
      <c r="E16" s="139" t="str">
        <f aca="false">IF($B16="","","Cassidy Ford")</f>
        <v/>
      </c>
      <c r="F16" s="117"/>
      <c r="G16" s="117"/>
      <c r="H16" s="118"/>
      <c r="I16" s="118"/>
      <c r="J16" s="33"/>
      <c r="K16" s="119"/>
      <c r="L16" s="119"/>
      <c r="M16" s="117"/>
      <c r="N16" s="117"/>
      <c r="O16" s="119"/>
      <c r="P16" s="117"/>
      <c r="Q16" s="140" t="str">
        <f aca="false">IF($B16="","",HYPERLINK("#Projects!A"&amp;MATCH($B16,Projects!$A:$A,0),"Open Project"))</f>
        <v/>
      </c>
    </row>
    <row r="17" customFormat="false" ht="30" hidden="false" customHeight="true" outlineLevel="0" collapsed="false">
      <c r="A17" s="137" t="str">
        <f aca="false">IF($B17="","","CF-"&amp;TEXT(ROW()-4,"000"))</f>
        <v/>
      </c>
      <c r="B17" s="118"/>
      <c r="C17" s="138" t="str">
        <f aca="false">IF($B17="","",IFERROR(VLOOKUP($B17,Lists!$A:$H,2,FALSE()),"unknown ID"))</f>
        <v/>
      </c>
      <c r="D17" s="138" t="str">
        <f aca="false">IF($B17="","",IFERROR(VLOOKUP($B17,Lists!$A:$H,3,FALSE()),""))</f>
        <v/>
      </c>
      <c r="E17" s="139" t="str">
        <f aca="false">IF($B17="","","Cassidy Ford")</f>
        <v/>
      </c>
      <c r="F17" s="117"/>
      <c r="G17" s="117"/>
      <c r="H17" s="118"/>
      <c r="I17" s="118"/>
      <c r="J17" s="33"/>
      <c r="K17" s="119"/>
      <c r="L17" s="119"/>
      <c r="M17" s="117"/>
      <c r="N17" s="117"/>
      <c r="O17" s="119"/>
      <c r="P17" s="117"/>
      <c r="Q17" s="140" t="str">
        <f aca="false">IF($B17="","",HYPERLINK("#Projects!A"&amp;MATCH($B17,Projects!$A:$A,0),"Open Project"))</f>
        <v/>
      </c>
    </row>
    <row r="18" customFormat="false" ht="30" hidden="false" customHeight="true" outlineLevel="0" collapsed="false">
      <c r="A18" s="137" t="str">
        <f aca="false">IF($B18="","","CF-"&amp;TEXT(ROW()-4,"000"))</f>
        <v/>
      </c>
      <c r="B18" s="118"/>
      <c r="C18" s="138" t="str">
        <f aca="false">IF($B18="","",IFERROR(VLOOKUP($B18,Lists!$A:$H,2,FALSE()),"unknown ID"))</f>
        <v/>
      </c>
      <c r="D18" s="138" t="str">
        <f aca="false">IF($B18="","",IFERROR(VLOOKUP($B18,Lists!$A:$H,3,FALSE()),""))</f>
        <v/>
      </c>
      <c r="E18" s="139" t="str">
        <f aca="false">IF($B18="","","Cassidy Ford")</f>
        <v/>
      </c>
      <c r="F18" s="117"/>
      <c r="G18" s="117"/>
      <c r="H18" s="118"/>
      <c r="I18" s="118"/>
      <c r="J18" s="33"/>
      <c r="K18" s="119"/>
      <c r="L18" s="119"/>
      <c r="M18" s="117"/>
      <c r="N18" s="117"/>
      <c r="O18" s="119"/>
      <c r="P18" s="117"/>
      <c r="Q18" s="140" t="str">
        <f aca="false">IF($B18="","",HYPERLINK("#Projects!A"&amp;MATCH($B18,Projects!$A:$A,0),"Open Project"))</f>
        <v/>
      </c>
    </row>
    <row r="19" customFormat="false" ht="30" hidden="false" customHeight="true" outlineLevel="0" collapsed="false">
      <c r="A19" s="137" t="str">
        <f aca="false">IF($B19="","","CF-"&amp;TEXT(ROW()-4,"000"))</f>
        <v/>
      </c>
      <c r="B19" s="118"/>
      <c r="C19" s="138" t="str">
        <f aca="false">IF($B19="","",IFERROR(VLOOKUP($B19,Lists!$A:$H,2,FALSE()),"unknown ID"))</f>
        <v/>
      </c>
      <c r="D19" s="138" t="str">
        <f aca="false">IF($B19="","",IFERROR(VLOOKUP($B19,Lists!$A:$H,3,FALSE()),""))</f>
        <v/>
      </c>
      <c r="E19" s="139" t="str">
        <f aca="false">IF($B19="","","Cassidy Ford")</f>
        <v/>
      </c>
      <c r="F19" s="117"/>
      <c r="G19" s="117"/>
      <c r="H19" s="118"/>
      <c r="I19" s="118"/>
      <c r="J19" s="33"/>
      <c r="K19" s="119"/>
      <c r="L19" s="119"/>
      <c r="M19" s="117"/>
      <c r="N19" s="117"/>
      <c r="O19" s="119"/>
      <c r="P19" s="117"/>
      <c r="Q19" s="140" t="str">
        <f aca="false">IF($B19="","",HYPERLINK("#Projects!A"&amp;MATCH($B19,Projects!$A:$A,0),"Open Project"))</f>
        <v/>
      </c>
    </row>
    <row r="20" customFormat="false" ht="30" hidden="false" customHeight="true" outlineLevel="0" collapsed="false">
      <c r="A20" s="137" t="str">
        <f aca="false">IF($B20="","","CF-"&amp;TEXT(ROW()-4,"000"))</f>
        <v/>
      </c>
      <c r="B20" s="118"/>
      <c r="C20" s="138" t="str">
        <f aca="false">IF($B20="","",IFERROR(VLOOKUP($B20,Lists!$A:$H,2,FALSE()),"unknown ID"))</f>
        <v/>
      </c>
      <c r="D20" s="138" t="str">
        <f aca="false">IF($B20="","",IFERROR(VLOOKUP($B20,Lists!$A:$H,3,FALSE()),""))</f>
        <v/>
      </c>
      <c r="E20" s="139" t="str">
        <f aca="false">IF($B20="","","Cassidy Ford")</f>
        <v/>
      </c>
      <c r="F20" s="117"/>
      <c r="G20" s="117"/>
      <c r="H20" s="118"/>
      <c r="I20" s="118"/>
      <c r="J20" s="33"/>
      <c r="K20" s="119"/>
      <c r="L20" s="119"/>
      <c r="M20" s="117"/>
      <c r="N20" s="117"/>
      <c r="O20" s="119"/>
      <c r="P20" s="117"/>
      <c r="Q20" s="140" t="str">
        <f aca="false">IF($B20="","",HYPERLINK("#Projects!A"&amp;MATCH($B20,Projects!$A:$A,0),"Open Project"))</f>
        <v/>
      </c>
    </row>
    <row r="21" customFormat="false" ht="30" hidden="false" customHeight="true" outlineLevel="0" collapsed="false">
      <c r="A21" s="137" t="str">
        <f aca="false">IF($B21="","","CF-"&amp;TEXT(ROW()-4,"000"))</f>
        <v/>
      </c>
      <c r="B21" s="118"/>
      <c r="C21" s="138" t="str">
        <f aca="false">IF($B21="","",IFERROR(VLOOKUP($B21,Lists!$A:$H,2,FALSE()),"unknown ID"))</f>
        <v/>
      </c>
      <c r="D21" s="138" t="str">
        <f aca="false">IF($B21="","",IFERROR(VLOOKUP($B21,Lists!$A:$H,3,FALSE()),""))</f>
        <v/>
      </c>
      <c r="E21" s="139" t="str">
        <f aca="false">IF($B21="","","Cassidy Ford")</f>
        <v/>
      </c>
      <c r="F21" s="117"/>
      <c r="G21" s="117"/>
      <c r="H21" s="118"/>
      <c r="I21" s="118"/>
      <c r="J21" s="33"/>
      <c r="K21" s="119"/>
      <c r="L21" s="119"/>
      <c r="M21" s="117"/>
      <c r="N21" s="117"/>
      <c r="O21" s="119"/>
      <c r="P21" s="117"/>
      <c r="Q21" s="140" t="str">
        <f aca="false">IF($B21="","",HYPERLINK("#Projects!A"&amp;MATCH($B21,Projects!$A:$A,0),"Open Project"))</f>
        <v/>
      </c>
    </row>
    <row r="22" customFormat="false" ht="30" hidden="false" customHeight="true" outlineLevel="0" collapsed="false">
      <c r="A22" s="137" t="str">
        <f aca="false">IF($B22="","","CF-"&amp;TEXT(ROW()-4,"000"))</f>
        <v/>
      </c>
      <c r="B22" s="118"/>
      <c r="C22" s="138" t="str">
        <f aca="false">IF($B22="","",IFERROR(VLOOKUP($B22,Lists!$A:$H,2,FALSE()),"unknown ID"))</f>
        <v/>
      </c>
      <c r="D22" s="138" t="str">
        <f aca="false">IF($B22="","",IFERROR(VLOOKUP($B22,Lists!$A:$H,3,FALSE()),""))</f>
        <v/>
      </c>
      <c r="E22" s="139" t="str">
        <f aca="false">IF($B22="","","Cassidy Ford")</f>
        <v/>
      </c>
      <c r="F22" s="117"/>
      <c r="G22" s="117"/>
      <c r="H22" s="118"/>
      <c r="I22" s="118"/>
      <c r="J22" s="33"/>
      <c r="K22" s="119"/>
      <c r="L22" s="119"/>
      <c r="M22" s="117"/>
      <c r="N22" s="117"/>
      <c r="O22" s="119"/>
      <c r="P22" s="117"/>
      <c r="Q22" s="140" t="str">
        <f aca="false">IF($B22="","",HYPERLINK("#Projects!A"&amp;MATCH($B22,Projects!$A:$A,0),"Open Project"))</f>
        <v/>
      </c>
    </row>
    <row r="23" customFormat="false" ht="30" hidden="false" customHeight="true" outlineLevel="0" collapsed="false">
      <c r="A23" s="137" t="str">
        <f aca="false">IF($B23="","","CF-"&amp;TEXT(ROW()-4,"000"))</f>
        <v/>
      </c>
      <c r="B23" s="118"/>
      <c r="C23" s="138" t="str">
        <f aca="false">IF($B23="","",IFERROR(VLOOKUP($B23,Lists!$A:$H,2,FALSE()),"unknown ID"))</f>
        <v/>
      </c>
      <c r="D23" s="138" t="str">
        <f aca="false">IF($B23="","",IFERROR(VLOOKUP($B23,Lists!$A:$H,3,FALSE()),""))</f>
        <v/>
      </c>
      <c r="E23" s="139" t="str">
        <f aca="false">IF($B23="","","Cassidy Ford")</f>
        <v/>
      </c>
      <c r="F23" s="117"/>
      <c r="G23" s="117"/>
      <c r="H23" s="118"/>
      <c r="I23" s="118"/>
      <c r="J23" s="33"/>
      <c r="K23" s="119"/>
      <c r="L23" s="119"/>
      <c r="M23" s="117"/>
      <c r="N23" s="117"/>
      <c r="O23" s="119"/>
      <c r="P23" s="117"/>
      <c r="Q23" s="140" t="str">
        <f aca="false">IF($B23="","",HYPERLINK("#Projects!A"&amp;MATCH($B23,Projects!$A:$A,0),"Open Project"))</f>
        <v/>
      </c>
    </row>
    <row r="24" customFormat="false" ht="30" hidden="false" customHeight="true" outlineLevel="0" collapsed="false">
      <c r="A24" s="137" t="str">
        <f aca="false">IF($B24="","","CF-"&amp;TEXT(ROW()-4,"000"))</f>
        <v/>
      </c>
      <c r="B24" s="118"/>
      <c r="C24" s="138" t="str">
        <f aca="false">IF($B24="","",IFERROR(VLOOKUP($B24,Lists!$A:$H,2,FALSE()),"unknown ID"))</f>
        <v/>
      </c>
      <c r="D24" s="138" t="str">
        <f aca="false">IF($B24="","",IFERROR(VLOOKUP($B24,Lists!$A:$H,3,FALSE()),""))</f>
        <v/>
      </c>
      <c r="E24" s="139" t="str">
        <f aca="false">IF($B24="","","Cassidy Ford")</f>
        <v/>
      </c>
      <c r="F24" s="117"/>
      <c r="G24" s="117"/>
      <c r="H24" s="118"/>
      <c r="I24" s="118"/>
      <c r="J24" s="33"/>
      <c r="K24" s="119"/>
      <c r="L24" s="119"/>
      <c r="M24" s="117"/>
      <c r="N24" s="117"/>
      <c r="O24" s="119"/>
      <c r="P24" s="117"/>
      <c r="Q24" s="140" t="str">
        <f aca="false">IF($B24="","",HYPERLINK("#Projects!A"&amp;MATCH($B24,Projects!$A:$A,0),"Open Project"))</f>
        <v/>
      </c>
    </row>
    <row r="25" customFormat="false" ht="30" hidden="false" customHeight="true" outlineLevel="0" collapsed="false">
      <c r="A25" s="137" t="str">
        <f aca="false">IF($B25="","","CF-"&amp;TEXT(ROW()-4,"000"))</f>
        <v/>
      </c>
      <c r="B25" s="118"/>
      <c r="C25" s="138" t="str">
        <f aca="false">IF($B25="","",IFERROR(VLOOKUP($B25,Lists!$A:$H,2,FALSE()),"unknown ID"))</f>
        <v/>
      </c>
      <c r="D25" s="138" t="str">
        <f aca="false">IF($B25="","",IFERROR(VLOOKUP($B25,Lists!$A:$H,3,FALSE()),""))</f>
        <v/>
      </c>
      <c r="E25" s="139" t="str">
        <f aca="false">IF($B25="","","Cassidy Ford")</f>
        <v/>
      </c>
      <c r="F25" s="117"/>
      <c r="G25" s="117"/>
      <c r="H25" s="118"/>
      <c r="I25" s="118"/>
      <c r="J25" s="33"/>
      <c r="K25" s="119"/>
      <c r="L25" s="119"/>
      <c r="M25" s="117"/>
      <c r="N25" s="117"/>
      <c r="O25" s="119"/>
      <c r="P25" s="117"/>
      <c r="Q25" s="140" t="str">
        <f aca="false">IF($B25="","",HYPERLINK("#Projects!A"&amp;MATCH($B25,Projects!$A:$A,0),"Open Project"))</f>
        <v/>
      </c>
    </row>
    <row r="26" customFormat="false" ht="30" hidden="false" customHeight="true" outlineLevel="0" collapsed="false">
      <c r="A26" s="137" t="str">
        <f aca="false">IF($B26="","","CF-"&amp;TEXT(ROW()-4,"000"))</f>
        <v/>
      </c>
      <c r="B26" s="118"/>
      <c r="C26" s="138" t="str">
        <f aca="false">IF($B26="","",IFERROR(VLOOKUP($B26,Lists!$A:$H,2,FALSE()),"unknown ID"))</f>
        <v/>
      </c>
      <c r="D26" s="138" t="str">
        <f aca="false">IF($B26="","",IFERROR(VLOOKUP($B26,Lists!$A:$H,3,FALSE()),""))</f>
        <v/>
      </c>
      <c r="E26" s="139" t="str">
        <f aca="false">IF($B26="","","Cassidy Ford")</f>
        <v/>
      </c>
      <c r="F26" s="117"/>
      <c r="G26" s="117"/>
      <c r="H26" s="118"/>
      <c r="I26" s="118"/>
      <c r="J26" s="33"/>
      <c r="K26" s="119"/>
      <c r="L26" s="119"/>
      <c r="M26" s="117"/>
      <c r="N26" s="117"/>
      <c r="O26" s="119"/>
      <c r="P26" s="117"/>
      <c r="Q26" s="140" t="str">
        <f aca="false">IF($B26="","",HYPERLINK("#Projects!A"&amp;MATCH($B26,Projects!$A:$A,0),"Open Project"))</f>
        <v/>
      </c>
    </row>
    <row r="27" customFormat="false" ht="30" hidden="false" customHeight="true" outlineLevel="0" collapsed="false">
      <c r="A27" s="137" t="str">
        <f aca="false">IF($B27="","","CF-"&amp;TEXT(ROW()-4,"000"))</f>
        <v/>
      </c>
      <c r="B27" s="118"/>
      <c r="C27" s="138" t="str">
        <f aca="false">IF($B27="","",IFERROR(VLOOKUP($B27,Lists!$A:$H,2,FALSE()),"unknown ID"))</f>
        <v/>
      </c>
      <c r="D27" s="138" t="str">
        <f aca="false">IF($B27="","",IFERROR(VLOOKUP($B27,Lists!$A:$H,3,FALSE()),""))</f>
        <v/>
      </c>
      <c r="E27" s="139" t="str">
        <f aca="false">IF($B27="","","Cassidy Ford")</f>
        <v/>
      </c>
      <c r="F27" s="117"/>
      <c r="G27" s="117"/>
      <c r="H27" s="118"/>
      <c r="I27" s="118"/>
      <c r="J27" s="33"/>
      <c r="K27" s="119"/>
      <c r="L27" s="119"/>
      <c r="M27" s="117"/>
      <c r="N27" s="117"/>
      <c r="O27" s="119"/>
      <c r="P27" s="117"/>
      <c r="Q27" s="140" t="str">
        <f aca="false">IF($B27="","",HYPERLINK("#Projects!A"&amp;MATCH($B27,Projects!$A:$A,0),"Open Project"))</f>
        <v/>
      </c>
    </row>
    <row r="28" customFormat="false" ht="30" hidden="false" customHeight="true" outlineLevel="0" collapsed="false">
      <c r="A28" s="137" t="str">
        <f aca="false">IF($B28="","","CF-"&amp;TEXT(ROW()-4,"000"))</f>
        <v/>
      </c>
      <c r="B28" s="118"/>
      <c r="C28" s="138" t="str">
        <f aca="false">IF($B28="","",IFERROR(VLOOKUP($B28,Lists!$A:$H,2,FALSE()),"unknown ID"))</f>
        <v/>
      </c>
      <c r="D28" s="138" t="str">
        <f aca="false">IF($B28="","",IFERROR(VLOOKUP($B28,Lists!$A:$H,3,FALSE()),""))</f>
        <v/>
      </c>
      <c r="E28" s="139" t="str">
        <f aca="false">IF($B28="","","Cassidy Ford")</f>
        <v/>
      </c>
      <c r="F28" s="117"/>
      <c r="G28" s="117"/>
      <c r="H28" s="118"/>
      <c r="I28" s="118"/>
      <c r="J28" s="33"/>
      <c r="K28" s="119"/>
      <c r="L28" s="119"/>
      <c r="M28" s="117"/>
      <c r="N28" s="117"/>
      <c r="O28" s="119"/>
      <c r="P28" s="117"/>
      <c r="Q28" s="140" t="str">
        <f aca="false">IF($B28="","",HYPERLINK("#Projects!A"&amp;MATCH($B28,Projects!$A:$A,0),"Open Project"))</f>
        <v/>
      </c>
    </row>
    <row r="29" customFormat="false" ht="30" hidden="false" customHeight="true" outlineLevel="0" collapsed="false">
      <c r="A29" s="137" t="str">
        <f aca="false">IF($B29="","","CF-"&amp;TEXT(ROW()-4,"000"))</f>
        <v/>
      </c>
      <c r="B29" s="118"/>
      <c r="C29" s="138" t="str">
        <f aca="false">IF($B29="","",IFERROR(VLOOKUP($B29,Lists!$A:$H,2,FALSE()),"unknown ID"))</f>
        <v/>
      </c>
      <c r="D29" s="138" t="str">
        <f aca="false">IF($B29="","",IFERROR(VLOOKUP($B29,Lists!$A:$H,3,FALSE()),""))</f>
        <v/>
      </c>
      <c r="E29" s="139" t="str">
        <f aca="false">IF($B29="","","Cassidy Ford")</f>
        <v/>
      </c>
      <c r="F29" s="117"/>
      <c r="G29" s="117"/>
      <c r="H29" s="118"/>
      <c r="I29" s="118"/>
      <c r="J29" s="33"/>
      <c r="K29" s="119"/>
      <c r="L29" s="119"/>
      <c r="M29" s="117"/>
      <c r="N29" s="117"/>
      <c r="O29" s="119"/>
      <c r="P29" s="117"/>
      <c r="Q29" s="140" t="str">
        <f aca="false">IF($B29="","",HYPERLINK("#Projects!A"&amp;MATCH($B29,Projects!$A:$A,0),"Open Project"))</f>
        <v/>
      </c>
    </row>
    <row r="30" customFormat="false" ht="30" hidden="false" customHeight="true" outlineLevel="0" collapsed="false">
      <c r="A30" s="137" t="str">
        <f aca="false">IF($B30="","","CF-"&amp;TEXT(ROW()-4,"000"))</f>
        <v/>
      </c>
      <c r="B30" s="118"/>
      <c r="C30" s="138" t="str">
        <f aca="false">IF($B30="","",IFERROR(VLOOKUP($B30,Lists!$A:$H,2,FALSE()),"unknown ID"))</f>
        <v/>
      </c>
      <c r="D30" s="138" t="str">
        <f aca="false">IF($B30="","",IFERROR(VLOOKUP($B30,Lists!$A:$H,3,FALSE()),""))</f>
        <v/>
      </c>
      <c r="E30" s="139" t="str">
        <f aca="false">IF($B30="","","Cassidy Ford")</f>
        <v/>
      </c>
      <c r="F30" s="117"/>
      <c r="G30" s="117"/>
      <c r="H30" s="118"/>
      <c r="I30" s="118"/>
      <c r="J30" s="33"/>
      <c r="K30" s="119"/>
      <c r="L30" s="119"/>
      <c r="M30" s="117"/>
      <c r="N30" s="117"/>
      <c r="O30" s="119"/>
      <c r="P30" s="117"/>
      <c r="Q30" s="140" t="str">
        <f aca="false">IF($B30="","",HYPERLINK("#Projects!A"&amp;MATCH($B30,Projects!$A:$A,0),"Open Project"))</f>
        <v/>
      </c>
    </row>
    <row r="31" customFormat="false" ht="30" hidden="false" customHeight="true" outlineLevel="0" collapsed="false">
      <c r="A31" s="137" t="str">
        <f aca="false">IF($B31="","","CF-"&amp;TEXT(ROW()-4,"000"))</f>
        <v/>
      </c>
      <c r="B31" s="118"/>
      <c r="C31" s="138" t="str">
        <f aca="false">IF($B31="","",IFERROR(VLOOKUP($B31,Lists!$A:$H,2,FALSE()),"unknown ID"))</f>
        <v/>
      </c>
      <c r="D31" s="138" t="str">
        <f aca="false">IF($B31="","",IFERROR(VLOOKUP($B31,Lists!$A:$H,3,FALSE()),""))</f>
        <v/>
      </c>
      <c r="E31" s="139" t="str">
        <f aca="false">IF($B31="","","Cassidy Ford")</f>
        <v/>
      </c>
      <c r="F31" s="117"/>
      <c r="G31" s="117"/>
      <c r="H31" s="118"/>
      <c r="I31" s="118"/>
      <c r="J31" s="33"/>
      <c r="K31" s="119"/>
      <c r="L31" s="119"/>
      <c r="M31" s="117"/>
      <c r="N31" s="117"/>
      <c r="O31" s="119"/>
      <c r="P31" s="117"/>
      <c r="Q31" s="140" t="str">
        <f aca="false">IF($B31="","",HYPERLINK("#Projects!A"&amp;MATCH($B31,Projects!$A:$A,0),"Open Project"))</f>
        <v/>
      </c>
    </row>
    <row r="32" customFormat="false" ht="30" hidden="false" customHeight="true" outlineLevel="0" collapsed="false">
      <c r="A32" s="137" t="str">
        <f aca="false">IF($B32="","","CF-"&amp;TEXT(ROW()-4,"000"))</f>
        <v/>
      </c>
      <c r="B32" s="118"/>
      <c r="C32" s="138" t="str">
        <f aca="false">IF($B32="","",IFERROR(VLOOKUP($B32,Lists!$A:$H,2,FALSE()),"unknown ID"))</f>
        <v/>
      </c>
      <c r="D32" s="138" t="str">
        <f aca="false">IF($B32="","",IFERROR(VLOOKUP($B32,Lists!$A:$H,3,FALSE()),""))</f>
        <v/>
      </c>
      <c r="E32" s="139" t="str">
        <f aca="false">IF($B32="","","Cassidy Ford")</f>
        <v/>
      </c>
      <c r="F32" s="117"/>
      <c r="G32" s="117"/>
      <c r="H32" s="118"/>
      <c r="I32" s="118"/>
      <c r="J32" s="33"/>
      <c r="K32" s="119"/>
      <c r="L32" s="119"/>
      <c r="M32" s="117"/>
      <c r="N32" s="117"/>
      <c r="O32" s="119"/>
      <c r="P32" s="117"/>
      <c r="Q32" s="140" t="str">
        <f aca="false">IF($B32="","",HYPERLINK("#Projects!A"&amp;MATCH($B32,Projects!$A:$A,0),"Open Project"))</f>
        <v/>
      </c>
    </row>
    <row r="33" customFormat="false" ht="30" hidden="false" customHeight="true" outlineLevel="0" collapsed="false">
      <c r="A33" s="137" t="str">
        <f aca="false">IF($B33="","","CF-"&amp;TEXT(ROW()-4,"000"))</f>
        <v/>
      </c>
      <c r="B33" s="118"/>
      <c r="C33" s="138" t="str">
        <f aca="false">IF($B33="","",IFERROR(VLOOKUP($B33,Lists!$A:$H,2,FALSE()),"unknown ID"))</f>
        <v/>
      </c>
      <c r="D33" s="138" t="str">
        <f aca="false">IF($B33="","",IFERROR(VLOOKUP($B33,Lists!$A:$H,3,FALSE()),""))</f>
        <v/>
      </c>
      <c r="E33" s="139" t="str">
        <f aca="false">IF($B33="","","Cassidy Ford")</f>
        <v/>
      </c>
      <c r="F33" s="117"/>
      <c r="G33" s="117"/>
      <c r="H33" s="118"/>
      <c r="I33" s="118"/>
      <c r="J33" s="33"/>
      <c r="K33" s="119"/>
      <c r="L33" s="119"/>
      <c r="M33" s="117"/>
      <c r="N33" s="117"/>
      <c r="O33" s="119"/>
      <c r="P33" s="117"/>
      <c r="Q33" s="140" t="str">
        <f aca="false">IF($B33="","",HYPERLINK("#Projects!A"&amp;MATCH($B33,Projects!$A:$A,0),"Open Project"))</f>
        <v/>
      </c>
    </row>
    <row r="34" customFormat="false" ht="30" hidden="false" customHeight="true" outlineLevel="0" collapsed="false">
      <c r="A34" s="137" t="str">
        <f aca="false">IF($B34="","","CF-"&amp;TEXT(ROW()-4,"000"))</f>
        <v/>
      </c>
      <c r="B34" s="118"/>
      <c r="C34" s="138" t="str">
        <f aca="false">IF($B34="","",IFERROR(VLOOKUP($B34,Lists!$A:$H,2,FALSE()),"unknown ID"))</f>
        <v/>
      </c>
      <c r="D34" s="138" t="str">
        <f aca="false">IF($B34="","",IFERROR(VLOOKUP($B34,Lists!$A:$H,3,FALSE()),""))</f>
        <v/>
      </c>
      <c r="E34" s="139" t="str">
        <f aca="false">IF($B34="","","Cassidy Ford")</f>
        <v/>
      </c>
      <c r="F34" s="117"/>
      <c r="G34" s="117"/>
      <c r="H34" s="118"/>
      <c r="I34" s="118"/>
      <c r="J34" s="33"/>
      <c r="K34" s="119"/>
      <c r="L34" s="119"/>
      <c r="M34" s="117"/>
      <c r="N34" s="117"/>
      <c r="O34" s="119"/>
      <c r="P34" s="117"/>
      <c r="Q34" s="140" t="str">
        <f aca="false">IF($B34="","",HYPERLINK("#Projects!A"&amp;MATCH($B34,Projects!$A:$A,0),"Open Project"))</f>
        <v/>
      </c>
    </row>
    <row r="35" customFormat="false" ht="30" hidden="false" customHeight="true" outlineLevel="0" collapsed="false">
      <c r="A35" s="137" t="str">
        <f aca="false">IF($B35="","","CF-"&amp;TEXT(ROW()-4,"000"))</f>
        <v/>
      </c>
      <c r="B35" s="118"/>
      <c r="C35" s="138" t="str">
        <f aca="false">IF($B35="","",IFERROR(VLOOKUP($B35,Lists!$A:$H,2,FALSE()),"unknown ID"))</f>
        <v/>
      </c>
      <c r="D35" s="138" t="str">
        <f aca="false">IF($B35="","",IFERROR(VLOOKUP($B35,Lists!$A:$H,3,FALSE()),""))</f>
        <v/>
      </c>
      <c r="E35" s="139" t="str">
        <f aca="false">IF($B35="","","Cassidy Ford")</f>
        <v/>
      </c>
      <c r="F35" s="117"/>
      <c r="G35" s="117"/>
      <c r="H35" s="118"/>
      <c r="I35" s="118"/>
      <c r="J35" s="33"/>
      <c r="K35" s="119"/>
      <c r="L35" s="119"/>
      <c r="M35" s="117"/>
      <c r="N35" s="117"/>
      <c r="O35" s="119"/>
      <c r="P35" s="117"/>
      <c r="Q35" s="140" t="str">
        <f aca="false">IF($B35="","",HYPERLINK("#Projects!A"&amp;MATCH($B35,Projects!$A:$A,0),"Open Project"))</f>
        <v/>
      </c>
    </row>
    <row r="36" customFormat="false" ht="30" hidden="false" customHeight="true" outlineLevel="0" collapsed="false">
      <c r="A36" s="137" t="str">
        <f aca="false">IF($B36="","","CF-"&amp;TEXT(ROW()-4,"000"))</f>
        <v/>
      </c>
      <c r="B36" s="118"/>
      <c r="C36" s="138" t="str">
        <f aca="false">IF($B36="","",IFERROR(VLOOKUP($B36,Lists!$A:$H,2,FALSE()),"unknown ID"))</f>
        <v/>
      </c>
      <c r="D36" s="138" t="str">
        <f aca="false">IF($B36="","",IFERROR(VLOOKUP($B36,Lists!$A:$H,3,FALSE()),""))</f>
        <v/>
      </c>
      <c r="E36" s="139" t="str">
        <f aca="false">IF($B36="","","Cassidy Ford")</f>
        <v/>
      </c>
      <c r="F36" s="117"/>
      <c r="G36" s="117"/>
      <c r="H36" s="118"/>
      <c r="I36" s="118"/>
      <c r="J36" s="33"/>
      <c r="K36" s="119"/>
      <c r="L36" s="119"/>
      <c r="M36" s="117"/>
      <c r="N36" s="117"/>
      <c r="O36" s="119"/>
      <c r="P36" s="117"/>
      <c r="Q36" s="140" t="str">
        <f aca="false">IF($B36="","",HYPERLINK("#Projects!A"&amp;MATCH($B36,Projects!$A:$A,0),"Open Project"))</f>
        <v/>
      </c>
    </row>
    <row r="37" customFormat="false" ht="30" hidden="false" customHeight="true" outlineLevel="0" collapsed="false">
      <c r="A37" s="137" t="str">
        <f aca="false">IF($B37="","","CF-"&amp;TEXT(ROW()-4,"000"))</f>
        <v/>
      </c>
      <c r="B37" s="118"/>
      <c r="C37" s="138" t="str">
        <f aca="false">IF($B37="","",IFERROR(VLOOKUP($B37,Lists!$A:$H,2,FALSE()),"unknown ID"))</f>
        <v/>
      </c>
      <c r="D37" s="138" t="str">
        <f aca="false">IF($B37="","",IFERROR(VLOOKUP($B37,Lists!$A:$H,3,FALSE()),""))</f>
        <v/>
      </c>
      <c r="E37" s="139" t="str">
        <f aca="false">IF($B37="","","Cassidy Ford")</f>
        <v/>
      </c>
      <c r="F37" s="117"/>
      <c r="G37" s="117"/>
      <c r="H37" s="118"/>
      <c r="I37" s="118"/>
      <c r="J37" s="33"/>
      <c r="K37" s="119"/>
      <c r="L37" s="119"/>
      <c r="M37" s="117"/>
      <c r="N37" s="117"/>
      <c r="O37" s="119"/>
      <c r="P37" s="117"/>
      <c r="Q37" s="140" t="str">
        <f aca="false">IF($B37="","",HYPERLINK("#Projects!A"&amp;MATCH($B37,Projects!$A:$A,0),"Open Project"))</f>
        <v/>
      </c>
    </row>
    <row r="38" customFormat="false" ht="30" hidden="false" customHeight="true" outlineLevel="0" collapsed="false">
      <c r="A38" s="137" t="str">
        <f aca="false">IF($B38="","","CF-"&amp;TEXT(ROW()-4,"000"))</f>
        <v/>
      </c>
      <c r="B38" s="118"/>
      <c r="C38" s="138" t="str">
        <f aca="false">IF($B38="","",IFERROR(VLOOKUP($B38,Lists!$A:$H,2,FALSE()),"unknown ID"))</f>
        <v/>
      </c>
      <c r="D38" s="138" t="str">
        <f aca="false">IF($B38="","",IFERROR(VLOOKUP($B38,Lists!$A:$H,3,FALSE()),""))</f>
        <v/>
      </c>
      <c r="E38" s="139" t="str">
        <f aca="false">IF($B38="","","Cassidy Ford")</f>
        <v/>
      </c>
      <c r="F38" s="117"/>
      <c r="G38" s="117"/>
      <c r="H38" s="118"/>
      <c r="I38" s="118"/>
      <c r="J38" s="33"/>
      <c r="K38" s="119"/>
      <c r="L38" s="119"/>
      <c r="M38" s="117"/>
      <c r="N38" s="117"/>
      <c r="O38" s="119"/>
      <c r="P38" s="117"/>
      <c r="Q38" s="140" t="str">
        <f aca="false">IF($B38="","",HYPERLINK("#Projects!A"&amp;MATCH($B38,Projects!$A:$A,0),"Open Project"))</f>
        <v/>
      </c>
    </row>
    <row r="39" customFormat="false" ht="30" hidden="false" customHeight="true" outlineLevel="0" collapsed="false">
      <c r="A39" s="137" t="str">
        <f aca="false">IF($B39="","","CF-"&amp;TEXT(ROW()-4,"000"))</f>
        <v/>
      </c>
      <c r="B39" s="118"/>
      <c r="C39" s="138" t="str">
        <f aca="false">IF($B39="","",IFERROR(VLOOKUP($B39,Lists!$A:$H,2,FALSE()),"unknown ID"))</f>
        <v/>
      </c>
      <c r="D39" s="138" t="str">
        <f aca="false">IF($B39="","",IFERROR(VLOOKUP($B39,Lists!$A:$H,3,FALSE()),""))</f>
        <v/>
      </c>
      <c r="E39" s="139" t="str">
        <f aca="false">IF($B39="","","Cassidy Ford")</f>
        <v/>
      </c>
      <c r="F39" s="117"/>
      <c r="G39" s="117"/>
      <c r="H39" s="118"/>
      <c r="I39" s="118"/>
      <c r="J39" s="33"/>
      <c r="K39" s="119"/>
      <c r="L39" s="119"/>
      <c r="M39" s="117"/>
      <c r="N39" s="117"/>
      <c r="O39" s="119"/>
      <c r="P39" s="117"/>
      <c r="Q39" s="140" t="str">
        <f aca="false">IF($B39="","",HYPERLINK("#Projects!A"&amp;MATCH($B39,Projects!$A:$A,0),"Open Project"))</f>
        <v/>
      </c>
    </row>
    <row r="40" customFormat="false" ht="30" hidden="false" customHeight="true" outlineLevel="0" collapsed="false">
      <c r="A40" s="137" t="str">
        <f aca="false">IF($B40="","","CF-"&amp;TEXT(ROW()-4,"000"))</f>
        <v/>
      </c>
      <c r="B40" s="118"/>
      <c r="C40" s="138" t="str">
        <f aca="false">IF($B40="","",IFERROR(VLOOKUP($B40,Lists!$A:$H,2,FALSE()),"unknown ID"))</f>
        <v/>
      </c>
      <c r="D40" s="138" t="str">
        <f aca="false">IF($B40="","",IFERROR(VLOOKUP($B40,Lists!$A:$H,3,FALSE()),""))</f>
        <v/>
      </c>
      <c r="E40" s="139" t="str">
        <f aca="false">IF($B40="","","Cassidy Ford")</f>
        <v/>
      </c>
      <c r="F40" s="117"/>
      <c r="G40" s="117"/>
      <c r="H40" s="118"/>
      <c r="I40" s="118"/>
      <c r="J40" s="33"/>
      <c r="K40" s="119"/>
      <c r="L40" s="119"/>
      <c r="M40" s="117"/>
      <c r="N40" s="117"/>
      <c r="O40" s="119"/>
      <c r="P40" s="117"/>
      <c r="Q40" s="140" t="str">
        <f aca="false">IF($B40="","",HYPERLINK("#Projects!A"&amp;MATCH($B40,Projects!$A:$A,0),"Open Project"))</f>
        <v/>
      </c>
    </row>
    <row r="41" customFormat="false" ht="30" hidden="false" customHeight="true" outlineLevel="0" collapsed="false">
      <c r="A41" s="137" t="str">
        <f aca="false">IF($B41="","","CF-"&amp;TEXT(ROW()-4,"000"))</f>
        <v/>
      </c>
      <c r="B41" s="118"/>
      <c r="C41" s="138" t="str">
        <f aca="false">IF($B41="","",IFERROR(VLOOKUP($B41,Lists!$A:$H,2,FALSE()),"unknown ID"))</f>
        <v/>
      </c>
      <c r="D41" s="138" t="str">
        <f aca="false">IF($B41="","",IFERROR(VLOOKUP($B41,Lists!$A:$H,3,FALSE()),""))</f>
        <v/>
      </c>
      <c r="E41" s="139" t="str">
        <f aca="false">IF($B41="","","Cassidy Ford")</f>
        <v/>
      </c>
      <c r="F41" s="117"/>
      <c r="G41" s="117"/>
      <c r="H41" s="118"/>
      <c r="I41" s="118"/>
      <c r="J41" s="33"/>
      <c r="K41" s="119"/>
      <c r="L41" s="119"/>
      <c r="M41" s="117"/>
      <c r="N41" s="117"/>
      <c r="O41" s="119"/>
      <c r="P41" s="117"/>
      <c r="Q41" s="140" t="str">
        <f aca="false">IF($B41="","",HYPERLINK("#Projects!A"&amp;MATCH($B41,Projects!$A:$A,0),"Open Project"))</f>
        <v/>
      </c>
    </row>
    <row r="42" customFormat="false" ht="30" hidden="false" customHeight="true" outlineLevel="0" collapsed="false">
      <c r="A42" s="137" t="str">
        <f aca="false">IF($B42="","","CF-"&amp;TEXT(ROW()-4,"000"))</f>
        <v/>
      </c>
      <c r="B42" s="118"/>
      <c r="C42" s="138" t="str">
        <f aca="false">IF($B42="","",IFERROR(VLOOKUP($B42,Lists!$A:$H,2,FALSE()),"unknown ID"))</f>
        <v/>
      </c>
      <c r="D42" s="138" t="str">
        <f aca="false">IF($B42="","",IFERROR(VLOOKUP($B42,Lists!$A:$H,3,FALSE()),""))</f>
        <v/>
      </c>
      <c r="E42" s="139" t="str">
        <f aca="false">IF($B42="","","Cassidy Ford")</f>
        <v/>
      </c>
      <c r="F42" s="117"/>
      <c r="G42" s="117"/>
      <c r="H42" s="118"/>
      <c r="I42" s="118"/>
      <c r="J42" s="33"/>
      <c r="K42" s="119"/>
      <c r="L42" s="119"/>
      <c r="M42" s="117"/>
      <c r="N42" s="117"/>
      <c r="O42" s="119"/>
      <c r="P42" s="117"/>
      <c r="Q42" s="140" t="str">
        <f aca="false">IF($B42="","",HYPERLINK("#Projects!A"&amp;MATCH($B42,Projects!$A:$A,0),"Open Project"))</f>
        <v/>
      </c>
    </row>
    <row r="43" customFormat="false" ht="30" hidden="false" customHeight="true" outlineLevel="0" collapsed="false">
      <c r="A43" s="137" t="str">
        <f aca="false">IF($B43="","","CF-"&amp;TEXT(ROW()-4,"000"))</f>
        <v/>
      </c>
      <c r="B43" s="118"/>
      <c r="C43" s="138" t="str">
        <f aca="false">IF($B43="","",IFERROR(VLOOKUP($B43,Lists!$A:$H,2,FALSE()),"unknown ID"))</f>
        <v/>
      </c>
      <c r="D43" s="138" t="str">
        <f aca="false">IF($B43="","",IFERROR(VLOOKUP($B43,Lists!$A:$H,3,FALSE()),""))</f>
        <v/>
      </c>
      <c r="E43" s="139" t="str">
        <f aca="false">IF($B43="","","Cassidy Ford")</f>
        <v/>
      </c>
      <c r="F43" s="117"/>
      <c r="G43" s="117"/>
      <c r="H43" s="118"/>
      <c r="I43" s="118"/>
      <c r="J43" s="33"/>
      <c r="K43" s="119"/>
      <c r="L43" s="119"/>
      <c r="M43" s="117"/>
      <c r="N43" s="117"/>
      <c r="O43" s="119"/>
      <c r="P43" s="117"/>
      <c r="Q43" s="140" t="str">
        <f aca="false">IF($B43="","",HYPERLINK("#Projects!A"&amp;MATCH($B43,Projects!$A:$A,0),"Open Project"))</f>
        <v/>
      </c>
    </row>
    <row r="44" customFormat="false" ht="30" hidden="false" customHeight="true" outlineLevel="0" collapsed="false">
      <c r="A44" s="137" t="str">
        <f aca="false">IF($B44="","","CF-"&amp;TEXT(ROW()-4,"000"))</f>
        <v/>
      </c>
      <c r="B44" s="118"/>
      <c r="C44" s="138" t="str">
        <f aca="false">IF($B44="","",IFERROR(VLOOKUP($B44,Lists!$A:$H,2,FALSE()),"unknown ID"))</f>
        <v/>
      </c>
      <c r="D44" s="138" t="str">
        <f aca="false">IF($B44="","",IFERROR(VLOOKUP($B44,Lists!$A:$H,3,FALSE()),""))</f>
        <v/>
      </c>
      <c r="E44" s="139" t="str">
        <f aca="false">IF($B44="","","Cassidy Ford")</f>
        <v/>
      </c>
      <c r="F44" s="117"/>
      <c r="G44" s="117"/>
      <c r="H44" s="118"/>
      <c r="I44" s="118"/>
      <c r="J44" s="33"/>
      <c r="K44" s="119"/>
      <c r="L44" s="119"/>
      <c r="M44" s="117"/>
      <c r="N44" s="117"/>
      <c r="O44" s="119"/>
      <c r="P44" s="117"/>
      <c r="Q44" s="140" t="str">
        <f aca="false">IF($B44="","",HYPERLINK("#Projects!A"&amp;MATCH($B44,Projects!$A:$A,0),"Open Project"))</f>
        <v/>
      </c>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sheetData>
  <mergeCells count="2">
    <mergeCell ref="A1:Q1"/>
    <mergeCell ref="A2:Q2"/>
  </mergeCells>
  <conditionalFormatting sqref="M6:M9">
    <cfRule type="cellIs" priority="2" operator="equal" aboveAverage="0" equalAverage="0" bottom="0" percent="0" rank="0" text="" dxfId="5">
      <formula>"C"</formula>
    </cfRule>
    <cfRule type="cellIs" priority="3" operator="equal" aboveAverage="0" equalAverage="0" bottom="0" percent="0" rank="0" text="" dxfId="6">
      <formula>"R"</formula>
    </cfRule>
    <cfRule type="cellIs" priority="4" operator="equal" aboveAverage="0" equalAverage="0" bottom="0" percent="0" rank="0" text="" dxfId="7">
      <formula>"Y"</formula>
    </cfRule>
    <cfRule type="cellIs" priority="5" operator="equal" aboveAverage="0" equalAverage="0" bottom="0" percent="0" rank="0" text="" dxfId="5">
      <formula>"G"</formula>
    </cfRule>
    <cfRule type="cellIs" priority="6" operator="equal" aboveAverage="0" equalAverage="0" bottom="0" percent="0" rank="0" text="" dxfId="8">
      <formula>"-"</formula>
    </cfRule>
    <cfRule type="cellIs" priority="7" operator="equal" aboveAverage="0" equalAverage="0" bottom="0" percent="0" rank="0" text="" dxfId="9">
      <formula>"--"</formula>
    </cfRule>
    <cfRule type="cellIs" priority="8" operator="equal" aboveAverage="0" equalAverage="0" bottom="0" percent="0" rank="0" text="" dxfId="10">
      <formula>"---"</formula>
    </cfRule>
  </conditionalFormatting>
  <conditionalFormatting sqref="J6:J101">
    <cfRule type="cellIs" priority="9" operator="equal" aboveAverage="0" equalAverage="0" bottom="0" percent="0" rank="0" text="" dxfId="5">
      <formula>"C"</formula>
    </cfRule>
    <cfRule type="cellIs" priority="10" operator="equal" aboveAverage="0" equalAverage="0" bottom="0" percent="0" rank="0" text="" dxfId="6">
      <formula>"R"</formula>
    </cfRule>
    <cfRule type="cellIs" priority="11" operator="equal" aboveAverage="0" equalAverage="0" bottom="0" percent="0" rank="0" text="" dxfId="7">
      <formula>"Y"</formula>
    </cfRule>
    <cfRule type="cellIs" priority="12" operator="equal" aboveAverage="0" equalAverage="0" bottom="0" percent="0" rank="0" text="" dxfId="5">
      <formula>"G"</formula>
    </cfRule>
    <cfRule type="cellIs" priority="13" operator="equal" aboveAverage="0" equalAverage="0" bottom="0" percent="0" rank="0" text="" dxfId="8">
      <formula>"-"</formula>
    </cfRule>
    <cfRule type="cellIs" priority="14" operator="equal" aboveAverage="0" equalAverage="0" bottom="0" percent="0" rank="0" text="" dxfId="9">
      <formula>"--"</formula>
    </cfRule>
    <cfRule type="cellIs" priority="15" operator="equal" aboveAverage="0" equalAverage="0" bottom="0" percent="0" rank="0" text="" dxfId="10">
      <formula>"---"</formula>
    </cfRule>
  </conditionalFormatting>
  <conditionalFormatting sqref="I5:I44">
    <cfRule type="cellIs" priority="16" operator="equal" aboveAverage="0" equalAverage="0" bottom="0" percent="0" rank="0" text="" dxfId="29">
      <formula>"Complete"</formula>
    </cfRule>
    <cfRule type="cellIs" priority="17" operator="equal" aboveAverage="0" equalAverage="0" bottom="0" percent="0" rank="0" text="" dxfId="4">
      <formula>"Blocked"</formula>
    </cfRule>
    <cfRule type="cellIs" priority="18" operator="equal" aboveAverage="0" equalAverage="0" bottom="0" percent="0" rank="0" text="" dxfId="45">
      <formula>"Waiting on Someone"</formula>
    </cfRule>
    <cfRule type="cellIs" priority="19" operator="equal" aboveAverage="0" equalAverage="0" bottom="0" percent="0" rank="0" text="" dxfId="30">
      <formula>"In Progress"</formula>
    </cfRule>
    <cfRule type="cellIs" priority="20" operator="equal" aboveAverage="0" equalAverage="0" bottom="0" percent="0" rank="0" text="" dxfId="32">
      <formula>"Not Started"</formula>
    </cfRule>
  </conditionalFormatting>
  <conditionalFormatting sqref="L5:L44">
    <cfRule type="expression" priority="21" aboveAverage="0" equalAverage="0" bottom="0" percent="0" rank="0" text="" dxfId="4">
      <formula>AND($L5&lt;&gt;"",$L5&lt;TODAY(),$I5&lt;&gt;"Complete")</formula>
    </cfRule>
    <cfRule type="expression" priority="22" aboveAverage="0" equalAverage="0" bottom="0" percent="0" rank="0" text="" dxfId="46">
      <formula>AND($L5&lt;&gt;"",$L5&gt;=TODAY(),$L5&lt;=TODAY()+7,$I5&lt;&gt;"Complete")</formula>
    </cfRule>
  </conditionalFormatting>
  <conditionalFormatting sqref="G5:G44">
    <cfRule type="expression" priority="23" aboveAverage="0" equalAverage="0" bottom="0" percent="0" rank="0" text="" dxfId="47">
      <formula>$I5="Complete"</formula>
    </cfRule>
  </conditionalFormatting>
  <conditionalFormatting sqref="J5:J44">
    <cfRule type="dataBar" priority="24">
      <dataBar showValue="1" minLength="10" maxLength="90">
        <cfvo type="num" val="0"/>
        <cfvo type="num" val="1"/>
        <color rgb="FF2E75B6"/>
      </dataBar>
      <extLst>
        <ext xmlns:x14="http://schemas.microsoft.com/office/spreadsheetml/2009/9/main" uri="{B025F937-C7B1-47D3-B67F-A62EFF666E3E}">
          <x14:id>{AD8BF13B-8B64-4464-9CA1-7F401B4CC07F}</x14:id>
        </ext>
      </extLst>
    </cfRule>
  </conditionalFormatting>
  <dataValidations count="5">
    <dataValidation allowBlank="true" errorStyle="stop" operator="between" showDropDown="false" showErrorMessage="true" showInputMessage="true" sqref="J6:J10 M6:M9 J11:J101" type="list">
      <formula1>"C,G,Y,R,na"</formula1>
      <formula2>0</formula2>
    </dataValidation>
    <dataValidation allowBlank="true" error="Pick a value from the list" errorStyle="stop" errorTitle="Invalid entry" operator="between" showDropDown="false" showErrorMessage="false" showInputMessage="false" sqref="B5:B44" type="list">
      <formula1>ProjectIDList</formula1>
      <formula2>0</formula2>
    </dataValidation>
    <dataValidation allowBlank="true" error="Pick a value from the list" errorStyle="stop" errorTitle="Invalid entry" operator="between" showDropDown="false" showErrorMessage="false" showInputMessage="false" sqref="F5:F44" type="list">
      <formula1>RoleList</formula1>
      <formula2>0</formula2>
    </dataValidation>
    <dataValidation allowBlank="true" error="Pick a value from the list" errorStyle="stop" errorTitle="Invalid entry" operator="between" showDropDown="false" showErrorMessage="false" showInputMessage="false" sqref="H5:H44" type="list">
      <formula1>PriorityList</formula1>
      <formula2>0</formula2>
    </dataValidation>
    <dataValidation allowBlank="true" error="Pick a value from the list" errorStyle="stop" errorTitle="Invalid entry" operator="between" showDropDown="false" showErrorMessage="false" showInputMessage="false" sqref="I5:I44" type="list">
      <formula1>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AD8BF13B-8B64-4464-9CA1-7F401B4CC07F}">
            <x14:dataBar minLength="10" maxLength="90" axisPosition="none" gradient="true">
              <x14:cfvo type="num">
                <xm:f>0</xm:f>
              </x14:cfvo>
              <x14:cfvo type="num">
                <xm:f>1</xm:f>
              </x14:cfvo>
              <x14:negativeFillColor rgb="FF2E75B6"/>
              <x14:axisColor rgb="FF000000"/>
            </x14:dataBar>
          </x14:cfRule>
          <xm:sqref>J5:J44</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4.25" zeroHeight="false" outlineLevelRow="0" outlineLevelCol="0"/>
  <cols>
    <col collapsed="false" customWidth="true" hidden="false" outlineLevel="0" max="1" min="1" style="0" width="1.71"/>
    <col collapsed="false" customWidth="true" hidden="false" outlineLevel="0" max="2" min="2" style="0" width="29.72"/>
    <col collapsed="false" customWidth="true" hidden="false" outlineLevel="0" max="3" min="3" style="0" width="61.14"/>
    <col collapsed="false" customWidth="true" hidden="false" outlineLevel="0" max="4" min="4" style="0" width="22.86"/>
    <col collapsed="false" customWidth="true" hidden="false" outlineLevel="0" max="5" min="5" style="0" width="47.57"/>
  </cols>
  <sheetData>
    <row r="1" customFormat="false" ht="7.5" hidden="false" customHeight="true" outlineLevel="0" collapsed="false"/>
    <row r="2" customFormat="false" ht="26.25" hidden="false" customHeight="true" outlineLevel="0" collapsed="false">
      <c r="B2" s="141" t="s">
        <v>355</v>
      </c>
      <c r="C2" s="141"/>
      <c r="D2" s="141"/>
      <c r="E2" s="141"/>
    </row>
    <row r="3" customFormat="false" ht="18" hidden="false" customHeight="true" outlineLevel="0" collapsed="false">
      <c r="B3" s="142" t="s">
        <v>356</v>
      </c>
      <c r="C3" s="143" t="s">
        <v>357</v>
      </c>
      <c r="D3" s="144"/>
      <c r="E3" s="145"/>
    </row>
    <row r="4" customFormat="false" ht="18" hidden="false" customHeight="true" outlineLevel="0" collapsed="false">
      <c r="B4" s="142" t="s">
        <v>358</v>
      </c>
      <c r="C4" s="143" t="s">
        <v>359</v>
      </c>
      <c r="D4" s="144"/>
      <c r="E4" s="145"/>
    </row>
    <row r="5" customFormat="false" ht="18" hidden="false" customHeight="true" outlineLevel="0" collapsed="false">
      <c r="B5" s="142" t="s">
        <v>360</v>
      </c>
      <c r="C5" s="143" t="s">
        <v>361</v>
      </c>
      <c r="D5" s="144"/>
      <c r="E5" s="145"/>
    </row>
    <row r="6" customFormat="false" ht="11.25" hidden="false" customHeight="true" outlineLevel="0" collapsed="false">
      <c r="B6" s="146"/>
      <c r="C6" s="146"/>
      <c r="D6" s="146"/>
      <c r="E6" s="146"/>
    </row>
    <row r="7" customFormat="false" ht="15" hidden="false" customHeight="true" outlineLevel="0" collapsed="false">
      <c r="B7" s="147" t="s">
        <v>16</v>
      </c>
      <c r="C7" s="148" t="s">
        <v>362</v>
      </c>
      <c r="D7" s="149" t="s">
        <v>363</v>
      </c>
      <c r="E7" s="150" t="s">
        <v>364</v>
      </c>
      <c r="F7" s="151"/>
    </row>
    <row r="8" customFormat="false" ht="15" hidden="false" customHeight="true" outlineLevel="0" collapsed="false">
      <c r="B8" s="147"/>
      <c r="C8" s="148"/>
      <c r="D8" s="152" t="s">
        <v>365</v>
      </c>
      <c r="E8" s="153" t="s">
        <v>366</v>
      </c>
      <c r="F8" s="151"/>
    </row>
    <row r="9" customFormat="false" ht="28.5" hidden="false" customHeight="true" outlineLevel="0" collapsed="false">
      <c r="B9" s="154" t="s">
        <v>367</v>
      </c>
      <c r="C9" s="155" t="s">
        <v>368</v>
      </c>
      <c r="D9" s="156" t="s">
        <v>369</v>
      </c>
      <c r="E9" s="156" t="s">
        <v>370</v>
      </c>
      <c r="F9" s="151"/>
    </row>
    <row r="10" customFormat="false" ht="42.75" hidden="false" customHeight="true" outlineLevel="0" collapsed="false">
      <c r="B10" s="154"/>
      <c r="C10" s="157" t="s">
        <v>371</v>
      </c>
      <c r="D10" s="158" t="s">
        <v>372</v>
      </c>
      <c r="E10" s="159" t="s">
        <v>373</v>
      </c>
    </row>
    <row r="11" customFormat="false" ht="28.5" hidden="false" customHeight="true" outlineLevel="0" collapsed="false">
      <c r="B11" s="154"/>
      <c r="C11" s="160" t="s">
        <v>374</v>
      </c>
      <c r="D11" s="159" t="s">
        <v>372</v>
      </c>
      <c r="E11" s="159" t="s">
        <v>373</v>
      </c>
    </row>
    <row r="12" customFormat="false" ht="42.75" hidden="false" customHeight="true" outlineLevel="0" collapsed="false">
      <c r="B12" s="154"/>
      <c r="C12" s="161" t="s">
        <v>375</v>
      </c>
      <c r="D12" s="162" t="s">
        <v>372</v>
      </c>
      <c r="E12" s="162" t="s">
        <v>373</v>
      </c>
    </row>
    <row r="13" customFormat="false" ht="28.5" hidden="false" customHeight="true" outlineLevel="0" collapsed="false">
      <c r="B13" s="154" t="s">
        <v>376</v>
      </c>
      <c r="C13" s="155" t="s">
        <v>377</v>
      </c>
      <c r="D13" s="163" t="s">
        <v>372</v>
      </c>
      <c r="E13" s="163" t="s">
        <v>373</v>
      </c>
    </row>
    <row r="14" customFormat="false" ht="42.75" hidden="false" customHeight="true" outlineLevel="0" collapsed="false">
      <c r="B14" s="154"/>
      <c r="C14" s="164" t="s">
        <v>378</v>
      </c>
      <c r="D14" s="158" t="s">
        <v>379</v>
      </c>
      <c r="E14" s="158" t="s">
        <v>373</v>
      </c>
    </row>
    <row r="15" customFormat="false" ht="42.75" hidden="false" customHeight="true" outlineLevel="0" collapsed="false">
      <c r="B15" s="154"/>
      <c r="C15" s="160" t="s">
        <v>380</v>
      </c>
      <c r="D15" s="159" t="s">
        <v>379</v>
      </c>
      <c r="E15" s="159" t="s">
        <v>381</v>
      </c>
    </row>
    <row r="16" customFormat="false" ht="72" hidden="false" customHeight="true" outlineLevel="0" collapsed="false">
      <c r="B16" s="154"/>
      <c r="C16" s="164" t="s">
        <v>382</v>
      </c>
      <c r="D16" s="158" t="s">
        <v>379</v>
      </c>
      <c r="E16" s="158" t="s">
        <v>381</v>
      </c>
    </row>
    <row r="17" customFormat="false" ht="42.75" hidden="false" customHeight="true" outlineLevel="0" collapsed="false">
      <c r="B17" s="154"/>
      <c r="C17" s="165" t="s">
        <v>383</v>
      </c>
      <c r="D17" s="166" t="s">
        <v>384</v>
      </c>
      <c r="E17" s="166" t="s">
        <v>373</v>
      </c>
    </row>
    <row r="18" customFormat="false" ht="42.75" hidden="false" customHeight="true" outlineLevel="0" collapsed="false">
      <c r="B18" s="154" t="s">
        <v>385</v>
      </c>
      <c r="C18" s="167" t="s">
        <v>386</v>
      </c>
      <c r="D18" s="168" t="s">
        <v>379</v>
      </c>
      <c r="E18" s="158" t="s">
        <v>373</v>
      </c>
    </row>
    <row r="19" customFormat="false" ht="72" hidden="false" customHeight="true" outlineLevel="0" collapsed="false">
      <c r="B19" s="154"/>
      <c r="C19" s="160" t="s">
        <v>387</v>
      </c>
      <c r="D19" s="159" t="s">
        <v>372</v>
      </c>
      <c r="E19" s="159" t="s">
        <v>373</v>
      </c>
    </row>
    <row r="20" customFormat="false" ht="86.25" hidden="false" customHeight="true" outlineLevel="0" collapsed="false">
      <c r="B20" s="154"/>
      <c r="C20" s="161" t="s">
        <v>388</v>
      </c>
      <c r="D20" s="162" t="s">
        <v>372</v>
      </c>
      <c r="E20" s="162" t="s">
        <v>373</v>
      </c>
    </row>
    <row r="21" customFormat="false" ht="42.75" hidden="false" customHeight="true" outlineLevel="0" collapsed="false">
      <c r="B21" s="154" t="s">
        <v>389</v>
      </c>
      <c r="C21" s="155" t="s">
        <v>390</v>
      </c>
      <c r="D21" s="163" t="s">
        <v>379</v>
      </c>
      <c r="E21" s="159" t="s">
        <v>373</v>
      </c>
    </row>
    <row r="22" customFormat="false" ht="72" hidden="false" customHeight="true" outlineLevel="0" collapsed="false">
      <c r="B22" s="154"/>
      <c r="C22" s="169" t="s">
        <v>391</v>
      </c>
      <c r="D22" s="158" t="s">
        <v>379</v>
      </c>
      <c r="E22" s="158" t="s">
        <v>373</v>
      </c>
    </row>
    <row r="23" customFormat="false" ht="42.75" hidden="false" customHeight="true" outlineLevel="0" collapsed="false">
      <c r="B23" s="154"/>
      <c r="C23" s="170" t="s">
        <v>392</v>
      </c>
      <c r="D23" s="159" t="s">
        <v>393</v>
      </c>
      <c r="E23" s="159" t="s">
        <v>373</v>
      </c>
    </row>
    <row r="24" customFormat="false" ht="57" hidden="false" customHeight="true" outlineLevel="0" collapsed="false">
      <c r="B24" s="154"/>
      <c r="C24" s="161" t="s">
        <v>394</v>
      </c>
      <c r="D24" s="162" t="s">
        <v>379</v>
      </c>
      <c r="E24" s="162" t="s">
        <v>381</v>
      </c>
    </row>
    <row r="25" customFormat="false" ht="7.5" hidden="false" customHeight="true" outlineLevel="0" collapsed="false">
      <c r="C25" s="171"/>
      <c r="D25" s="172"/>
      <c r="E25" s="172"/>
    </row>
    <row r="26" customFormat="false" ht="14.25" hidden="false" customHeight="false" outlineLevel="0" collapsed="false">
      <c r="B26" s="173"/>
      <c r="D26" s="172"/>
      <c r="E26" s="172"/>
    </row>
    <row r="27" customFormat="false" ht="14.25" hidden="false" customHeight="false" outlineLevel="0" collapsed="false">
      <c r="D27" s="172"/>
      <c r="E27" s="172"/>
    </row>
    <row r="28" customFormat="false" ht="14.25" hidden="false" customHeight="false" outlineLevel="0" collapsed="false">
      <c r="D28" s="172"/>
      <c r="E28" s="172"/>
    </row>
    <row r="29" customFormat="false" ht="14.25" hidden="false" customHeight="false" outlineLevel="0" collapsed="false">
      <c r="D29" s="174"/>
      <c r="E29" s="174"/>
    </row>
    <row r="30" customFormat="false" ht="14.25" hidden="false" customHeight="false" outlineLevel="0" collapsed="false">
      <c r="D30" s="174"/>
      <c r="E30" s="174"/>
    </row>
    <row r="31" customFormat="false" ht="14.25" hidden="false" customHeight="false" outlineLevel="0" collapsed="false">
      <c r="D31" s="174"/>
      <c r="E31" s="174"/>
    </row>
    <row r="32" customFormat="false" ht="14.25" hidden="false" customHeight="false" outlineLevel="0" collapsed="false">
      <c r="D32" s="174"/>
      <c r="E32" s="174"/>
    </row>
    <row r="33" customFormat="false" ht="14.25" hidden="false" customHeight="false" outlineLevel="0" collapsed="false">
      <c r="D33" s="174"/>
      <c r="E33" s="174"/>
    </row>
    <row r="34" customFormat="false" ht="14.25" hidden="false" customHeight="false" outlineLevel="0" collapsed="false">
      <c r="D34" s="174"/>
      <c r="E34" s="174"/>
    </row>
    <row r="35" customFormat="false" ht="14.25" hidden="false" customHeight="false" outlineLevel="0" collapsed="false">
      <c r="D35" s="174"/>
      <c r="E35" s="174"/>
    </row>
  </sheetData>
  <mergeCells count="6">
    <mergeCell ref="B2:E2"/>
    <mergeCell ref="B6:E6"/>
    <mergeCell ref="B9:B12"/>
    <mergeCell ref="B13:B17"/>
    <mergeCell ref="B18:B20"/>
    <mergeCell ref="B21:B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M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52"/>
    <col collapsed="false" customWidth="true" hidden="false" outlineLevel="0" max="4" min="4" style="0" width="16"/>
    <col collapsed="false" customWidth="true" hidden="false" outlineLevel="0" max="5" min="5" style="0" width="60"/>
    <col collapsed="false" customWidth="true" hidden="false" outlineLevel="0" max="6" min="6" style="0" width="12"/>
    <col collapsed="false" customWidth="true" hidden="false" outlineLevel="0" max="7" min="7" style="0" width="10"/>
    <col collapsed="false" customWidth="true" hidden="false" outlineLevel="0" max="8" min="8" style="0" width="22"/>
    <col collapsed="false" customWidth="true" hidden="false" outlineLevel="0" max="11" min="11" style="0" width="18"/>
    <col collapsed="false" customWidth="true" hidden="false" outlineLevel="0" max="12" min="12" style="0" width="12"/>
    <col collapsed="false" customWidth="true" hidden="false" outlineLevel="0" max="13" min="13" style="0" width="14"/>
  </cols>
  <sheetData>
    <row r="1" customFormat="false" ht="15" hidden="false" customHeight="false" outlineLevel="0" collapsed="false">
      <c r="A1" s="175" t="s">
        <v>395</v>
      </c>
      <c r="B1" s="175" t="s">
        <v>16</v>
      </c>
      <c r="C1" s="175" t="s">
        <v>179</v>
      </c>
      <c r="D1" s="175" t="s">
        <v>234</v>
      </c>
      <c r="E1" s="175" t="s">
        <v>182</v>
      </c>
      <c r="F1" s="175" t="s">
        <v>49</v>
      </c>
      <c r="G1" s="175" t="s">
        <v>396</v>
      </c>
      <c r="H1" s="175" t="s">
        <v>181</v>
      </c>
      <c r="K1" s="176" t="s">
        <v>397</v>
      </c>
      <c r="L1" s="176" t="s">
        <v>398</v>
      </c>
      <c r="M1" s="176" t="s">
        <v>399</v>
      </c>
    </row>
    <row r="2" customFormat="false" ht="22.35" hidden="false" customHeight="false" outlineLevel="0" collapsed="false">
      <c r="A2" s="27" t="s">
        <v>187</v>
      </c>
      <c r="B2" s="27" t="s">
        <v>24</v>
      </c>
      <c r="C2" s="117" t="s">
        <v>54</v>
      </c>
      <c r="D2" s="27" t="s">
        <v>56</v>
      </c>
      <c r="E2" s="117" t="s">
        <v>59</v>
      </c>
      <c r="F2" s="27" t="s">
        <v>57</v>
      </c>
      <c r="G2" s="27" t="s">
        <v>58</v>
      </c>
      <c r="H2" s="27" t="s">
        <v>55</v>
      </c>
      <c r="K2" s="177" t="s">
        <v>11</v>
      </c>
      <c r="L2" s="177" t="s">
        <v>317</v>
      </c>
      <c r="M2" s="177" t="s">
        <v>265</v>
      </c>
    </row>
    <row r="3" customFormat="false" ht="22.35" hidden="false" customHeight="false" outlineLevel="0" collapsed="false">
      <c r="A3" s="27" t="s">
        <v>188</v>
      </c>
      <c r="B3" s="27" t="s">
        <v>24</v>
      </c>
      <c r="C3" s="117" t="s">
        <v>62</v>
      </c>
      <c r="D3" s="27" t="s">
        <v>56</v>
      </c>
      <c r="E3" s="117" t="s">
        <v>64</v>
      </c>
      <c r="F3" s="27" t="s">
        <v>57</v>
      </c>
      <c r="G3" s="27" t="s">
        <v>58</v>
      </c>
      <c r="H3" s="27" t="s">
        <v>63</v>
      </c>
      <c r="K3" s="177" t="s">
        <v>18</v>
      </c>
      <c r="L3" s="177" t="s">
        <v>267</v>
      </c>
      <c r="M3" s="177" t="s">
        <v>270</v>
      </c>
    </row>
    <row r="4" customFormat="false" ht="22.35" hidden="false" customHeight="false" outlineLevel="0" collapsed="false">
      <c r="A4" s="27" t="s">
        <v>189</v>
      </c>
      <c r="B4" s="27" t="s">
        <v>24</v>
      </c>
      <c r="C4" s="117" t="s">
        <v>66</v>
      </c>
      <c r="D4" s="27" t="s">
        <v>56</v>
      </c>
      <c r="E4" s="117" t="s">
        <v>67</v>
      </c>
      <c r="F4" s="27" t="s">
        <v>57</v>
      </c>
      <c r="G4" s="27" t="s">
        <v>58</v>
      </c>
      <c r="H4" s="27" t="s">
        <v>55</v>
      </c>
      <c r="K4" s="177" t="s">
        <v>400</v>
      </c>
      <c r="L4" s="177" t="s">
        <v>272</v>
      </c>
      <c r="M4" s="177" t="s">
        <v>337</v>
      </c>
    </row>
    <row r="5" customFormat="false" ht="22.35" hidden="false" customHeight="false" outlineLevel="0" collapsed="false">
      <c r="A5" s="27" t="s">
        <v>190</v>
      </c>
      <c r="B5" s="27" t="s">
        <v>24</v>
      </c>
      <c r="C5" s="117" t="s">
        <v>70</v>
      </c>
      <c r="D5" s="27" t="s">
        <v>56</v>
      </c>
      <c r="E5" s="117" t="s">
        <v>72</v>
      </c>
      <c r="F5" s="27" t="s">
        <v>71</v>
      </c>
      <c r="G5" s="27" t="s">
        <v>60</v>
      </c>
      <c r="H5" s="27" t="s">
        <v>55</v>
      </c>
      <c r="K5" s="177" t="s">
        <v>5</v>
      </c>
      <c r="L5" s="177" t="s">
        <v>339</v>
      </c>
    </row>
    <row r="6" customFormat="false" ht="22.35" hidden="false" customHeight="false" outlineLevel="0" collapsed="false">
      <c r="A6" s="27" t="s">
        <v>191</v>
      </c>
      <c r="B6" s="27" t="s">
        <v>24</v>
      </c>
      <c r="C6" s="117" t="s">
        <v>75</v>
      </c>
      <c r="D6" s="27" t="s">
        <v>56</v>
      </c>
      <c r="E6" s="117" t="s">
        <v>76</v>
      </c>
      <c r="F6" s="27" t="s">
        <v>57</v>
      </c>
      <c r="G6" s="27" t="s">
        <v>60</v>
      </c>
      <c r="H6" s="27" t="s">
        <v>63</v>
      </c>
      <c r="K6" s="177" t="s">
        <v>6</v>
      </c>
    </row>
    <row r="7" customFormat="false" ht="15" hidden="false" customHeight="false" outlineLevel="0" collapsed="false">
      <c r="A7" s="27" t="s">
        <v>192</v>
      </c>
      <c r="B7" s="27" t="s">
        <v>24</v>
      </c>
      <c r="C7" s="117" t="s">
        <v>77</v>
      </c>
      <c r="D7" s="27" t="s">
        <v>56</v>
      </c>
      <c r="E7" s="117" t="s">
        <v>79</v>
      </c>
      <c r="F7" s="27" t="s">
        <v>57</v>
      </c>
      <c r="G7" s="27" t="s">
        <v>78</v>
      </c>
      <c r="H7" s="27" t="s">
        <v>55</v>
      </c>
    </row>
    <row r="8" customFormat="false" ht="22.35" hidden="false" customHeight="false" outlineLevel="0" collapsed="false">
      <c r="A8" s="27" t="s">
        <v>193</v>
      </c>
      <c r="B8" s="27" t="s">
        <v>26</v>
      </c>
      <c r="C8" s="117" t="s">
        <v>81</v>
      </c>
      <c r="D8" s="27" t="s">
        <v>56</v>
      </c>
      <c r="E8" s="117" t="s">
        <v>194</v>
      </c>
      <c r="F8" s="27" t="s">
        <v>57</v>
      </c>
      <c r="G8" s="27" t="s">
        <v>78</v>
      </c>
      <c r="H8" s="27" t="s">
        <v>82</v>
      </c>
    </row>
    <row r="9" customFormat="false" ht="22.35" hidden="false" customHeight="false" outlineLevel="0" collapsed="false">
      <c r="A9" s="27" t="s">
        <v>195</v>
      </c>
      <c r="B9" s="27" t="s">
        <v>26</v>
      </c>
      <c r="C9" s="117" t="s">
        <v>84</v>
      </c>
      <c r="D9" s="27" t="s">
        <v>56</v>
      </c>
      <c r="E9" s="117" t="s">
        <v>86</v>
      </c>
      <c r="F9" s="27" t="s">
        <v>57</v>
      </c>
      <c r="G9" s="27" t="s">
        <v>60</v>
      </c>
      <c r="H9" s="27" t="s">
        <v>85</v>
      </c>
    </row>
    <row r="10" customFormat="false" ht="22.35" hidden="false" customHeight="false" outlineLevel="0" collapsed="false">
      <c r="A10" s="27" t="s">
        <v>196</v>
      </c>
      <c r="B10" s="27" t="s">
        <v>26</v>
      </c>
      <c r="C10" s="117" t="s">
        <v>87</v>
      </c>
      <c r="D10" s="27" t="s">
        <v>56</v>
      </c>
      <c r="E10" s="117" t="s">
        <v>89</v>
      </c>
      <c r="F10" s="27" t="s">
        <v>57</v>
      </c>
      <c r="G10" s="27" t="s">
        <v>58</v>
      </c>
      <c r="H10" s="27" t="s">
        <v>88</v>
      </c>
    </row>
    <row r="11" customFormat="false" ht="22.35" hidden="false" customHeight="false" outlineLevel="0" collapsed="false">
      <c r="A11" s="27" t="s">
        <v>197</v>
      </c>
      <c r="B11" s="27" t="s">
        <v>26</v>
      </c>
      <c r="C11" s="117" t="s">
        <v>90</v>
      </c>
      <c r="D11" s="27" t="s">
        <v>56</v>
      </c>
      <c r="E11" s="117" t="s">
        <v>92</v>
      </c>
      <c r="F11" s="27" t="s">
        <v>71</v>
      </c>
      <c r="G11" s="27" t="s">
        <v>60</v>
      </c>
      <c r="H11" s="27" t="s">
        <v>91</v>
      </c>
    </row>
    <row r="12" customFormat="false" ht="22.35" hidden="false" customHeight="false" outlineLevel="0" collapsed="false">
      <c r="A12" s="27" t="s">
        <v>198</v>
      </c>
      <c r="B12" s="27" t="s">
        <v>26</v>
      </c>
      <c r="C12" s="117" t="s">
        <v>93</v>
      </c>
      <c r="D12" s="27" t="s">
        <v>56</v>
      </c>
      <c r="E12" s="117" t="s">
        <v>94</v>
      </c>
      <c r="F12" s="27" t="s">
        <v>57</v>
      </c>
      <c r="G12" s="27" t="s">
        <v>60</v>
      </c>
      <c r="H12" s="27" t="s">
        <v>82</v>
      </c>
    </row>
    <row r="13" customFormat="false" ht="22.35" hidden="false" customHeight="false" outlineLevel="0" collapsed="false">
      <c r="A13" s="27" t="s">
        <v>199</v>
      </c>
      <c r="B13" s="27" t="s">
        <v>28</v>
      </c>
      <c r="C13" s="117" t="s">
        <v>96</v>
      </c>
      <c r="D13" s="27" t="s">
        <v>56</v>
      </c>
      <c r="E13" s="117" t="s">
        <v>98</v>
      </c>
      <c r="F13" s="27" t="s">
        <v>57</v>
      </c>
      <c r="G13" s="27" t="s">
        <v>78</v>
      </c>
      <c r="H13" s="27" t="s">
        <v>97</v>
      </c>
    </row>
    <row r="14" customFormat="false" ht="22.35" hidden="false" customHeight="false" outlineLevel="0" collapsed="false">
      <c r="A14" s="27" t="s">
        <v>200</v>
      </c>
      <c r="B14" s="27" t="s">
        <v>28</v>
      </c>
      <c r="C14" s="117" t="s">
        <v>99</v>
      </c>
      <c r="D14" s="27" t="s">
        <v>56</v>
      </c>
      <c r="E14" s="117" t="s">
        <v>100</v>
      </c>
      <c r="F14" s="27" t="s">
        <v>57</v>
      </c>
      <c r="G14" s="27" t="s">
        <v>58</v>
      </c>
      <c r="H14" s="27" t="s">
        <v>91</v>
      </c>
    </row>
    <row r="15" customFormat="false" ht="22.35" hidden="false" customHeight="false" outlineLevel="0" collapsed="false">
      <c r="A15" s="27" t="s">
        <v>201</v>
      </c>
      <c r="B15" s="27" t="s">
        <v>28</v>
      </c>
      <c r="C15" s="117" t="s">
        <v>101</v>
      </c>
      <c r="D15" s="27" t="s">
        <v>56</v>
      </c>
      <c r="E15" s="117" t="s">
        <v>102</v>
      </c>
      <c r="F15" s="27" t="s">
        <v>57</v>
      </c>
      <c r="G15" s="27" t="s">
        <v>60</v>
      </c>
      <c r="H15" s="27" t="s">
        <v>63</v>
      </c>
    </row>
    <row r="16" customFormat="false" ht="22.35" hidden="false" customHeight="false" outlineLevel="0" collapsed="false">
      <c r="A16" s="27" t="s">
        <v>202</v>
      </c>
      <c r="B16" s="27" t="s">
        <v>28</v>
      </c>
      <c r="C16" s="117" t="s">
        <v>103</v>
      </c>
      <c r="D16" s="27" t="s">
        <v>56</v>
      </c>
      <c r="E16" s="117" t="s">
        <v>104</v>
      </c>
      <c r="F16" s="27" t="s">
        <v>57</v>
      </c>
      <c r="G16" s="27" t="s">
        <v>60</v>
      </c>
      <c r="H16" s="27" t="s">
        <v>97</v>
      </c>
    </row>
    <row r="17" customFormat="false" ht="22.35" hidden="false" customHeight="false" outlineLevel="0" collapsed="false">
      <c r="A17" s="27" t="s">
        <v>203</v>
      </c>
      <c r="B17" s="27" t="s">
        <v>28</v>
      </c>
      <c r="C17" s="117" t="s">
        <v>105</v>
      </c>
      <c r="D17" s="27" t="s">
        <v>56</v>
      </c>
      <c r="E17" s="117" t="s">
        <v>106</v>
      </c>
      <c r="F17" s="27"/>
      <c r="G17" s="27" t="s">
        <v>60</v>
      </c>
      <c r="H17" s="27" t="s">
        <v>97</v>
      </c>
    </row>
    <row r="18" customFormat="false" ht="22.35" hidden="false" customHeight="false" outlineLevel="0" collapsed="false">
      <c r="A18" s="27" t="s">
        <v>204</v>
      </c>
      <c r="B18" s="27" t="s">
        <v>28</v>
      </c>
      <c r="C18" s="117" t="s">
        <v>107</v>
      </c>
      <c r="D18" s="27" t="s">
        <v>56</v>
      </c>
      <c r="E18" s="117" t="s">
        <v>108</v>
      </c>
      <c r="F18" s="27"/>
      <c r="G18" s="27" t="s">
        <v>60</v>
      </c>
      <c r="H18" s="27" t="s">
        <v>63</v>
      </c>
    </row>
    <row r="19" customFormat="false" ht="22.35" hidden="false" customHeight="false" outlineLevel="0" collapsed="false">
      <c r="A19" s="27" t="s">
        <v>205</v>
      </c>
      <c r="B19" s="27" t="s">
        <v>28</v>
      </c>
      <c r="C19" s="117" t="s">
        <v>109</v>
      </c>
      <c r="D19" s="27" t="s">
        <v>56</v>
      </c>
      <c r="E19" s="117" t="s">
        <v>110</v>
      </c>
      <c r="F19" s="27" t="s">
        <v>57</v>
      </c>
      <c r="G19" s="27" t="s">
        <v>60</v>
      </c>
      <c r="H19" s="27" t="s">
        <v>63</v>
      </c>
    </row>
    <row r="20" customFormat="false" ht="22.35" hidden="false" customHeight="false" outlineLevel="0" collapsed="false">
      <c r="A20" s="27" t="s">
        <v>206</v>
      </c>
      <c r="B20" s="27" t="s">
        <v>30</v>
      </c>
      <c r="C20" s="117" t="s">
        <v>112</v>
      </c>
      <c r="D20" s="27" t="s">
        <v>56</v>
      </c>
      <c r="E20" s="117" t="s">
        <v>114</v>
      </c>
      <c r="F20" s="27" t="s">
        <v>57</v>
      </c>
      <c r="G20" s="27" t="s">
        <v>58</v>
      </c>
      <c r="H20" s="27" t="s">
        <v>113</v>
      </c>
    </row>
    <row r="21" customFormat="false" ht="22.35" hidden="false" customHeight="false" outlineLevel="0" collapsed="false">
      <c r="A21" s="27" t="s">
        <v>207</v>
      </c>
      <c r="B21" s="27" t="s">
        <v>30</v>
      </c>
      <c r="C21" s="117" t="s">
        <v>115</v>
      </c>
      <c r="D21" s="27" t="s">
        <v>56</v>
      </c>
      <c r="E21" s="117" t="s">
        <v>116</v>
      </c>
      <c r="F21" s="27" t="s">
        <v>57</v>
      </c>
      <c r="G21" s="27" t="s">
        <v>58</v>
      </c>
      <c r="H21" s="27" t="s">
        <v>113</v>
      </c>
    </row>
    <row r="22" customFormat="false" ht="22.35" hidden="false" customHeight="false" outlineLevel="0" collapsed="false">
      <c r="A22" s="27" t="s">
        <v>208</v>
      </c>
      <c r="B22" s="27" t="s">
        <v>30</v>
      </c>
      <c r="C22" s="117" t="s">
        <v>117</v>
      </c>
      <c r="D22" s="27" t="s">
        <v>56</v>
      </c>
      <c r="E22" s="117" t="s">
        <v>120</v>
      </c>
      <c r="F22" s="27" t="s">
        <v>119</v>
      </c>
      <c r="G22" s="27" t="s">
        <v>58</v>
      </c>
      <c r="H22" s="27" t="s">
        <v>118</v>
      </c>
    </row>
    <row r="23" customFormat="false" ht="22.35" hidden="false" customHeight="false" outlineLevel="0" collapsed="false">
      <c r="A23" s="27" t="s">
        <v>209</v>
      </c>
      <c r="B23" s="27" t="s">
        <v>30</v>
      </c>
      <c r="C23" s="117" t="s">
        <v>121</v>
      </c>
      <c r="D23" s="27" t="s">
        <v>56</v>
      </c>
      <c r="E23" s="117" t="s">
        <v>122</v>
      </c>
      <c r="F23" s="27" t="s">
        <v>57</v>
      </c>
      <c r="G23" s="27" t="s">
        <v>58</v>
      </c>
      <c r="H23" s="27" t="s">
        <v>113</v>
      </c>
    </row>
    <row r="24" customFormat="false" ht="22.35" hidden="false" customHeight="false" outlineLevel="0" collapsed="false">
      <c r="A24" s="27" t="s">
        <v>210</v>
      </c>
      <c r="B24" s="27" t="s">
        <v>30</v>
      </c>
      <c r="C24" s="117" t="s">
        <v>123</v>
      </c>
      <c r="D24" s="27" t="s">
        <v>56</v>
      </c>
      <c r="E24" s="117" t="s">
        <v>125</v>
      </c>
      <c r="F24" s="27" t="s">
        <v>57</v>
      </c>
      <c r="G24" s="27" t="s">
        <v>58</v>
      </c>
      <c r="H24" s="27" t="s">
        <v>124</v>
      </c>
    </row>
    <row r="25" customFormat="false" ht="22.35" hidden="false" customHeight="false" outlineLevel="0" collapsed="false">
      <c r="A25" s="27" t="s">
        <v>211</v>
      </c>
      <c r="B25" s="27" t="s">
        <v>30</v>
      </c>
      <c r="C25" s="117" t="s">
        <v>126</v>
      </c>
      <c r="D25" s="27" t="s">
        <v>56</v>
      </c>
      <c r="E25" s="117" t="s">
        <v>128</v>
      </c>
      <c r="F25" s="27" t="s">
        <v>71</v>
      </c>
      <c r="G25" s="27" t="s">
        <v>58</v>
      </c>
      <c r="H25" s="27" t="s">
        <v>127</v>
      </c>
    </row>
    <row r="26" customFormat="false" ht="22.35" hidden="false" customHeight="false" outlineLevel="0" collapsed="false">
      <c r="A26" s="27" t="s">
        <v>212</v>
      </c>
      <c r="B26" s="27" t="s">
        <v>30</v>
      </c>
      <c r="C26" s="117" t="s">
        <v>129</v>
      </c>
      <c r="D26" s="27" t="s">
        <v>56</v>
      </c>
      <c r="E26" s="117" t="s">
        <v>131</v>
      </c>
      <c r="F26" s="27" t="s">
        <v>119</v>
      </c>
      <c r="G26" s="27" t="s">
        <v>60</v>
      </c>
      <c r="H26" s="27" t="s">
        <v>130</v>
      </c>
    </row>
    <row r="27" customFormat="false" ht="22.35" hidden="false" customHeight="false" outlineLevel="0" collapsed="false">
      <c r="A27" s="27" t="s">
        <v>213</v>
      </c>
      <c r="B27" s="27" t="s">
        <v>32</v>
      </c>
      <c r="C27" s="117" t="s">
        <v>133</v>
      </c>
      <c r="D27" s="27" t="s">
        <v>56</v>
      </c>
      <c r="E27" s="117" t="s">
        <v>134</v>
      </c>
      <c r="F27" s="27" t="s">
        <v>57</v>
      </c>
      <c r="G27" s="27" t="s">
        <v>60</v>
      </c>
      <c r="H27" s="27" t="s">
        <v>91</v>
      </c>
    </row>
    <row r="28" customFormat="false" ht="15" hidden="false" customHeight="false" outlineLevel="0" collapsed="false">
      <c r="A28" s="27" t="s">
        <v>214</v>
      </c>
      <c r="B28" s="27" t="s">
        <v>32</v>
      </c>
      <c r="C28" s="117" t="s">
        <v>135</v>
      </c>
      <c r="D28" s="27" t="s">
        <v>56</v>
      </c>
      <c r="E28" s="117" t="s">
        <v>136</v>
      </c>
      <c r="F28" s="27" t="s">
        <v>57</v>
      </c>
      <c r="G28" s="27" t="s">
        <v>58</v>
      </c>
      <c r="H28" s="27" t="s">
        <v>97</v>
      </c>
    </row>
    <row r="29" customFormat="false" ht="22.35" hidden="false" customHeight="false" outlineLevel="0" collapsed="false">
      <c r="A29" s="27" t="s">
        <v>215</v>
      </c>
      <c r="B29" s="27" t="s">
        <v>32</v>
      </c>
      <c r="C29" s="117" t="s">
        <v>137</v>
      </c>
      <c r="D29" s="27" t="s">
        <v>56</v>
      </c>
      <c r="E29" s="117" t="s">
        <v>138</v>
      </c>
      <c r="F29" s="27" t="s">
        <v>57</v>
      </c>
      <c r="G29" s="27" t="s">
        <v>60</v>
      </c>
      <c r="H29" s="27" t="s">
        <v>91</v>
      </c>
    </row>
    <row r="30" customFormat="false" ht="15" hidden="false" customHeight="false" outlineLevel="0" collapsed="false">
      <c r="A30" s="27" t="s">
        <v>216</v>
      </c>
      <c r="B30" s="27" t="s">
        <v>32</v>
      </c>
      <c r="C30" s="117" t="s">
        <v>139</v>
      </c>
      <c r="D30" s="27" t="s">
        <v>56</v>
      </c>
      <c r="E30" s="117" t="s">
        <v>140</v>
      </c>
      <c r="F30" s="27" t="s">
        <v>71</v>
      </c>
      <c r="G30" s="27" t="s">
        <v>60</v>
      </c>
      <c r="H30" s="27" t="s">
        <v>63</v>
      </c>
    </row>
    <row r="31" customFormat="false" ht="15" hidden="false" customHeight="false" outlineLevel="0" collapsed="false">
      <c r="A31" s="27" t="s">
        <v>217</v>
      </c>
      <c r="B31" s="27" t="s">
        <v>32</v>
      </c>
      <c r="C31" s="117" t="s">
        <v>141</v>
      </c>
      <c r="D31" s="27" t="s">
        <v>142</v>
      </c>
      <c r="E31" s="117" t="s">
        <v>143</v>
      </c>
      <c r="F31" s="27" t="s">
        <v>57</v>
      </c>
      <c r="G31" s="27" t="s">
        <v>58</v>
      </c>
      <c r="H31" s="27" t="s">
        <v>55</v>
      </c>
    </row>
    <row r="32" customFormat="false" ht="22.35" hidden="false" customHeight="false" outlineLevel="0" collapsed="false">
      <c r="A32" s="27" t="s">
        <v>218</v>
      </c>
      <c r="B32" s="27" t="s">
        <v>34</v>
      </c>
      <c r="C32" s="117" t="s">
        <v>145</v>
      </c>
      <c r="D32" s="27" t="s">
        <v>56</v>
      </c>
      <c r="E32" s="117" t="s">
        <v>147</v>
      </c>
      <c r="F32" s="27" t="s">
        <v>71</v>
      </c>
      <c r="G32" s="27" t="s">
        <v>58</v>
      </c>
      <c r="H32" s="27" t="s">
        <v>146</v>
      </c>
    </row>
    <row r="33" customFormat="false" ht="15" hidden="false" customHeight="false" outlineLevel="0" collapsed="false">
      <c r="A33" s="27" t="s">
        <v>219</v>
      </c>
      <c r="B33" s="27" t="s">
        <v>34</v>
      </c>
      <c r="C33" s="117" t="s">
        <v>148</v>
      </c>
      <c r="D33" s="27" t="s">
        <v>149</v>
      </c>
      <c r="E33" s="117" t="s">
        <v>150</v>
      </c>
      <c r="F33" s="27" t="s">
        <v>57</v>
      </c>
      <c r="G33" s="27" t="s">
        <v>58</v>
      </c>
      <c r="H33" s="27" t="s">
        <v>56</v>
      </c>
    </row>
    <row r="34" customFormat="false" ht="15" hidden="false" customHeight="false" outlineLevel="0" collapsed="false">
      <c r="A34" s="27" t="s">
        <v>220</v>
      </c>
      <c r="B34" s="27" t="s">
        <v>34</v>
      </c>
      <c r="C34" s="117" t="s">
        <v>151</v>
      </c>
      <c r="D34" s="27" t="s">
        <v>56</v>
      </c>
      <c r="E34" s="117" t="s">
        <v>152</v>
      </c>
      <c r="F34" s="27" t="s">
        <v>57</v>
      </c>
      <c r="G34" s="27" t="s">
        <v>60</v>
      </c>
      <c r="H34" s="27" t="s">
        <v>146</v>
      </c>
    </row>
    <row r="35" customFormat="false" ht="22.35" hidden="false" customHeight="false" outlineLevel="0" collapsed="false">
      <c r="A35" s="27" t="s">
        <v>221</v>
      </c>
      <c r="B35" s="27" t="s">
        <v>34</v>
      </c>
      <c r="C35" s="117" t="s">
        <v>153</v>
      </c>
      <c r="D35" s="27" t="s">
        <v>56</v>
      </c>
      <c r="E35" s="117" t="s">
        <v>154</v>
      </c>
      <c r="F35" s="27" t="s">
        <v>119</v>
      </c>
      <c r="G35" s="27" t="s">
        <v>58</v>
      </c>
      <c r="H35" s="27" t="s">
        <v>146</v>
      </c>
    </row>
    <row r="36" customFormat="false" ht="15" hidden="false" customHeight="false" outlineLevel="0" collapsed="false">
      <c r="A36" s="27" t="s">
        <v>222</v>
      </c>
      <c r="B36" s="27" t="s">
        <v>34</v>
      </c>
      <c r="C36" s="117" t="s">
        <v>155</v>
      </c>
      <c r="D36" s="27" t="s">
        <v>56</v>
      </c>
      <c r="E36" s="117" t="s">
        <v>156</v>
      </c>
      <c r="F36" s="27" t="s">
        <v>71</v>
      </c>
      <c r="G36" s="27" t="s">
        <v>58</v>
      </c>
      <c r="H36" s="27" t="s">
        <v>63</v>
      </c>
    </row>
    <row r="37" customFormat="false" ht="15" hidden="false" customHeight="false" outlineLevel="0" collapsed="false">
      <c r="A37" s="27" t="s">
        <v>223</v>
      </c>
      <c r="B37" s="27" t="s">
        <v>36</v>
      </c>
      <c r="C37" s="117" t="s">
        <v>158</v>
      </c>
      <c r="D37" s="27" t="s">
        <v>56</v>
      </c>
      <c r="E37" s="117" t="s">
        <v>159</v>
      </c>
      <c r="F37" s="27" t="s">
        <v>71</v>
      </c>
      <c r="G37" s="27" t="s">
        <v>58</v>
      </c>
      <c r="H37" s="27" t="s">
        <v>91</v>
      </c>
    </row>
    <row r="38" customFormat="false" ht="22.35" hidden="false" customHeight="false" outlineLevel="0" collapsed="false">
      <c r="A38" s="27" t="s">
        <v>224</v>
      </c>
      <c r="B38" s="27" t="s">
        <v>36</v>
      </c>
      <c r="C38" s="117" t="s">
        <v>160</v>
      </c>
      <c r="D38" s="27" t="s">
        <v>56</v>
      </c>
      <c r="E38" s="117" t="s">
        <v>162</v>
      </c>
      <c r="F38" s="27" t="s">
        <v>57</v>
      </c>
      <c r="G38" s="27" t="s">
        <v>58</v>
      </c>
      <c r="H38" s="27" t="s">
        <v>161</v>
      </c>
    </row>
    <row r="39" customFormat="false" ht="15" hidden="false" customHeight="false" outlineLevel="0" collapsed="false">
      <c r="A39" s="27" t="s">
        <v>225</v>
      </c>
      <c r="B39" s="27" t="s">
        <v>36</v>
      </c>
      <c r="C39" s="117" t="s">
        <v>163</v>
      </c>
      <c r="D39" s="27" t="s">
        <v>56</v>
      </c>
      <c r="E39" s="117" t="s">
        <v>164</v>
      </c>
      <c r="F39" s="27" t="s">
        <v>57</v>
      </c>
      <c r="G39" s="27" t="s">
        <v>58</v>
      </c>
      <c r="H39" s="27" t="s">
        <v>91</v>
      </c>
    </row>
    <row r="40" customFormat="false" ht="22.35" hidden="false" customHeight="false" outlineLevel="0" collapsed="false">
      <c r="A40" s="27" t="s">
        <v>226</v>
      </c>
      <c r="B40" s="27" t="s">
        <v>36</v>
      </c>
      <c r="C40" s="117" t="s">
        <v>165</v>
      </c>
      <c r="D40" s="27" t="s">
        <v>149</v>
      </c>
      <c r="E40" s="117" t="s">
        <v>166</v>
      </c>
      <c r="F40" s="27" t="s">
        <v>57</v>
      </c>
      <c r="G40" s="27" t="s">
        <v>58</v>
      </c>
      <c r="H40" s="27" t="s">
        <v>56</v>
      </c>
    </row>
    <row r="41" customFormat="false" ht="22.35" hidden="false" customHeight="false" outlineLevel="0" collapsed="false">
      <c r="A41" s="27" t="s">
        <v>227</v>
      </c>
      <c r="B41" s="27" t="s">
        <v>38</v>
      </c>
      <c r="C41" s="117" t="s">
        <v>168</v>
      </c>
      <c r="D41" s="27" t="s">
        <v>149</v>
      </c>
      <c r="E41" s="117" t="s">
        <v>169</v>
      </c>
      <c r="F41" s="27" t="s">
        <v>57</v>
      </c>
      <c r="G41" s="27" t="s">
        <v>58</v>
      </c>
      <c r="H41" s="27" t="s">
        <v>56</v>
      </c>
    </row>
    <row r="42" customFormat="false" ht="22.35" hidden="false" customHeight="false" outlineLevel="0" collapsed="false">
      <c r="A42" s="27" t="s">
        <v>228</v>
      </c>
      <c r="B42" s="27" t="s">
        <v>38</v>
      </c>
      <c r="C42" s="117" t="s">
        <v>170</v>
      </c>
      <c r="D42" s="27" t="s">
        <v>149</v>
      </c>
      <c r="E42" s="117" t="s">
        <v>171</v>
      </c>
      <c r="F42" s="27" t="s">
        <v>57</v>
      </c>
      <c r="G42" s="27" t="s">
        <v>58</v>
      </c>
      <c r="H42" s="27" t="s">
        <v>56</v>
      </c>
    </row>
    <row r="43" customFormat="false" ht="22.35" hidden="false" customHeight="false" outlineLevel="0" collapsed="false">
      <c r="A43" s="27" t="s">
        <v>229</v>
      </c>
      <c r="B43" s="27" t="s">
        <v>38</v>
      </c>
      <c r="C43" s="117" t="s">
        <v>172</v>
      </c>
      <c r="D43" s="27" t="s">
        <v>149</v>
      </c>
      <c r="E43" s="117" t="s">
        <v>173</v>
      </c>
      <c r="F43" s="27" t="s">
        <v>57</v>
      </c>
      <c r="G43" s="27" t="s">
        <v>58</v>
      </c>
      <c r="H43" s="27" t="s">
        <v>56</v>
      </c>
    </row>
    <row r="44" customFormat="false" ht="22.35" hidden="false" customHeight="false" outlineLevel="0" collapsed="false">
      <c r="A44" s="27" t="s">
        <v>230</v>
      </c>
      <c r="B44" s="27" t="s">
        <v>38</v>
      </c>
      <c r="C44" s="117" t="s">
        <v>174</v>
      </c>
      <c r="D44" s="27" t="s">
        <v>149</v>
      </c>
      <c r="E44" s="117" t="s">
        <v>175</v>
      </c>
      <c r="F44" s="27" t="s">
        <v>57</v>
      </c>
      <c r="G44" s="27" t="s">
        <v>58</v>
      </c>
      <c r="H44" s="27"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2026-04-28T20:30:39Z</dcterms:created>
  <dc:creator>Justin Ghadery</dc:creator>
  <dc:description/>
  <dc:language>en-US</dc:language>
  <cp:lastModifiedBy/>
  <dcterms:modified xsi:type="dcterms:W3CDTF">2026-05-28T13:26:08Z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